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avo A" sheetId="1" r:id="rId4"/>
    <sheet state="visible" name="octavo B" sheetId="2" r:id="rId5"/>
    <sheet state="visible" name="noveno A" sheetId="3" r:id="rId6"/>
    <sheet state="visible" name="noveno B" sheetId="4" r:id="rId7"/>
    <sheet state="visible" name="décimo A" sheetId="5" r:id="rId8"/>
    <sheet state="visible" name="décimo B" sheetId="6" r:id="rId9"/>
    <sheet state="hidden" name="ESCALA EVALUACION" sheetId="7" r:id="rId10"/>
    <sheet state="hidden" name="Hoja1" sheetId="8" r:id="rId11"/>
  </sheets>
  <definedNames>
    <definedName name="OCTAVO_A_VES">#REF!</definedName>
    <definedName localSheetId="0" name="MATRIZ_TUTOR_1">'octavo A'!$A$8:$O$52</definedName>
    <definedName name="MATRIZ_TUTOR_2">#REF!</definedName>
    <definedName name="OCTAVO_B_MATU">#REF!</definedName>
    <definedName name="DÉCIMO_B_MATU">#REF!</definedName>
    <definedName name="ESCALA_CUALITATIVA_SUPERIOR">#REF!</definedName>
    <definedName name="SEPTIMO_A_MATU">#REF!</definedName>
    <definedName name="QUINTO_B_MATU">#REF!</definedName>
    <definedName localSheetId="3" name="MATRIZ_TUTOR_1">'noveno B'!$A$8:$O$47</definedName>
    <definedName name="SEXTO_A_MATU">#REF!</definedName>
    <definedName name="SEXTO_B_MATU">#REF!</definedName>
    <definedName localSheetId="2" name="MATRIZ_TUTOR_1">'noveno A'!$A$8:$O$52</definedName>
    <definedName name="DESCRIPCION_OV_AL">Hoja1!$D$4:$E$13</definedName>
    <definedName name="QUINTO_B_VES">#REF!</definedName>
    <definedName name="DÉCIMO_B_VES">#REF!</definedName>
    <definedName name="QUINTO_A_MATU">#REF!</definedName>
    <definedName name="NOVENO_A_VES">#REF!</definedName>
    <definedName name="INFORME_2">#REF!</definedName>
    <definedName name="MATRIZ_COMPORTAMENTAL">'ESCALA EVALUACION'!$B$2:$C$11</definedName>
    <definedName name="OCTAVO_B_VES">#REF!</definedName>
    <definedName name="QUINTO_A_VES">#REF!</definedName>
    <definedName name="NOVENO_A_MATU">#REF!</definedName>
    <definedName name="MATRIZ_TUTOR_3">#REF!</definedName>
    <definedName name="CUALITATIVA_ECA">'noveno A'!$AD$6:$AE$15</definedName>
    <definedName name="SEXTO_B_VES">#REF!</definedName>
    <definedName name="DECIMO_A_VES">#REF!</definedName>
    <definedName name="NOVENO_B_VES">#REF!</definedName>
    <definedName name="NOVENO_B_MATU">#REF!</definedName>
    <definedName name="SEPTIMO_A_VES">#REF!</definedName>
    <definedName name="SEPTIMO_B_MATU">#REF!</definedName>
    <definedName name="MATRIZ_TUTOR_1">'décimo B'!$A$7:$O$41</definedName>
    <definedName name="INFORME_DE_PRENDIZAJES_DEL_SEGUNDO_TRIMESTRE">#REF!</definedName>
    <definedName localSheetId="4" name="MATRIZ_TUTOR_1">'décimo A'!$A$7:$O$44</definedName>
    <definedName localSheetId="1" name="MATRIZ_TUTOR_1">'octavo B'!$A$7:$O$50</definedName>
    <definedName name="SEPTIMO_B_VES">#REF!</definedName>
    <definedName name="SEXTO_A_VES">#REF!</definedName>
    <definedName name="DÉCIMO_A_MATU">#REF!</definedName>
    <definedName name="OCTAVO_A_MATU">#REF!</definedName>
    <definedName name="CAI">#REF!</definedName>
  </definedNames>
  <calcPr/>
  <extLst>
    <ext uri="GoogleSheetsCustomDataVersion2">
      <go:sheetsCustomData xmlns:go="http://customooxmlschemas.google.com/" r:id="rId12" roundtripDataChecksum="AmaDddbw4QXX39pq3cn0QUI4GRZxnVNGnOfInLoSOV0="/>
    </ext>
  </extLst>
</workbook>
</file>

<file path=xl/sharedStrings.xml><?xml version="1.0" encoding="utf-8"?>
<sst xmlns="http://schemas.openxmlformats.org/spreadsheetml/2006/main" count="1695" uniqueCount="374">
  <si>
    <r>
      <rPr>
        <rFont val="Calibri"/>
        <b/>
        <color rgb="FF000000"/>
        <sz val="11.0"/>
      </rPr>
      <t xml:space="preserve">UNIDAD EDUCATIVA "ESTADOS UNIDOS DE NORTE AMÉRICA" </t>
    </r>
    <r>
      <rPr>
        <rFont val="Calibri"/>
        <b/>
        <color rgb="FF000000"/>
        <sz val="12.0"/>
      </rPr>
      <t xml:space="preserve">
</t>
    </r>
    <r>
      <rPr>
        <rFont val="Calibri"/>
        <b val="0"/>
        <color rgb="FF000000"/>
        <sz val="10.0"/>
      </rPr>
      <t>Correo electrónico: eeuuescuela@gmail.com  eeuuvicerrectorado@gmail.com
Teléfono: (07)289-0677 Distrito: 01D01  Zona:6</t>
    </r>
  </si>
  <si>
    <t>AÑO LECTIVO: 2025-2026</t>
  </si>
  <si>
    <t>Docente: Lcda. Marcia Siavichay</t>
  </si>
  <si>
    <t xml:space="preserve">JORNADA: </t>
  </si>
  <si>
    <t>MATUTINA</t>
  </si>
  <si>
    <t xml:space="preserve">AÑO DE EGB:        </t>
  </si>
  <si>
    <t>OCTAVO A</t>
  </si>
  <si>
    <t>CONSOLIDADO FINAL</t>
  </si>
  <si>
    <t>No</t>
  </si>
  <si>
    <t>NOMINA</t>
  </si>
  <si>
    <t>LENGUA Y LITERATURA</t>
  </si>
  <si>
    <t>MATEMÁTICA</t>
  </si>
  <si>
    <t>CIENCIAS NATURALES</t>
  </si>
  <si>
    <t>ESTUDIOS SOCIALES</t>
  </si>
  <si>
    <t>INGLÉS</t>
  </si>
  <si>
    <t>EDUCACIÓN CULTURAL Y ARTISTICA</t>
  </si>
  <si>
    <t>EDUCACIÓN FÍSICA</t>
  </si>
  <si>
    <t>ANIMACIÓN A LA LECTURA</t>
  </si>
  <si>
    <t>ACOMPAÑAMIENTO INTEGRAL EN EL AULA</t>
  </si>
  <si>
    <t>ORIENTACIÓN VOCACIONAL</t>
  </si>
  <si>
    <t>PROMEDIO FINAL</t>
  </si>
  <si>
    <t>CCOMPORTAMIENTO</t>
  </si>
  <si>
    <t>OBSERVACIONES</t>
  </si>
  <si>
    <t>-</t>
  </si>
  <si>
    <t>APOLO CACAY EMILY ANALIA</t>
  </si>
  <si>
    <t>A-</t>
  </si>
  <si>
    <t>A+</t>
  </si>
  <si>
    <t>S</t>
  </si>
  <si>
    <t>PROMOVIDO</t>
  </si>
  <si>
    <t>ARCE ORELLANA DARWIN FERNANDO</t>
  </si>
  <si>
    <t>PRIMER LUGAR</t>
  </si>
  <si>
    <t>ARCE</t>
  </si>
  <si>
    <t>ARIAS CALLE ANTHONY ALEXANDER</t>
  </si>
  <si>
    <t>B-</t>
  </si>
  <si>
    <t>F</t>
  </si>
  <si>
    <t>SEGUNDO LUGAR</t>
  </si>
  <si>
    <t>PIÑA</t>
  </si>
  <si>
    <t>ATANCURI LOPEZ CHELSEA ABIGAIL</t>
  </si>
  <si>
    <t>TERCER LUGAR</t>
  </si>
  <si>
    <t>CASTRO</t>
  </si>
  <si>
    <t>AVILA CORTE MARIA GRACIA</t>
  </si>
  <si>
    <t>AVILA NAREA MELISA GISSELLE</t>
  </si>
  <si>
    <t>BARROS CARDENAS DAVID ALEXANDER</t>
  </si>
  <si>
    <t>BARROS VELESACA JUANA DANIELA</t>
  </si>
  <si>
    <t>BARSALLO CORAISACA FRANKLIN JESUS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</si>
  <si>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-+++++++</t>
  </si>
  <si>
    <t>CABRERA SOTO ANDERSON PAUL</t>
  </si>
  <si>
    <t>CABRERA VIÑANSACA ARIEL SEBASTIAN</t>
  </si>
  <si>
    <t>CAGUANA UZHCA ELIANA VALENTINA</t>
  </si>
  <si>
    <t>CALLE SIMBAÑA DOMENICA GUADALUPE</t>
  </si>
  <si>
    <t>CASTRO USHCA LESLY SAMANTA</t>
  </si>
  <si>
    <t>CORONEL ROMERO HERNAN MATEO</t>
  </si>
  <si>
    <t>B+</t>
  </si>
  <si>
    <t>CORREA SUMBA ALISSON KARELIS</t>
  </si>
  <si>
    <t>CORTE PAREDES ALEX FERNANDO</t>
  </si>
  <si>
    <t>DOMINGUEZ LANDI VANESA NICOL</t>
  </si>
  <si>
    <t>FERNANDEZ PATIÑO BRYAN ALEXIS</t>
  </si>
  <si>
    <t>GOMEZ JUELA BIANCA CAMILA</t>
  </si>
  <si>
    <t>GUERRA ROMÁN DYLAN ALEXANDER</t>
  </si>
  <si>
    <t>GUZHÑAY OLAYA IKER ARIEL</t>
  </si>
  <si>
    <t>LALVAY PALTA SHIRLEY VALENTINA</t>
  </si>
  <si>
    <t>MAILA CUZCO JOSUE DAVID</t>
  </si>
  <si>
    <t>MALLA CHIMBO ERIKA TATIANA</t>
  </si>
  <si>
    <t>MARTINEZ ORELLANA JEYMI ISAAC</t>
  </si>
  <si>
    <t>MENDEZ CALLE CHRISTOPHER SEBASTIAN</t>
  </si>
  <si>
    <t>MOROCHO CHILLOGALLI DENISSE ALEJANDRA</t>
  </si>
  <si>
    <t>NAULA GARZON ANDERSON JHOSUE</t>
  </si>
  <si>
    <t>PANDO CARVAJAL JUAN FRANCISCO</t>
  </si>
  <si>
    <t>PERALTA DELGADO ALIXON JAIR</t>
  </si>
  <si>
    <t>O</t>
  </si>
  <si>
    <t>NO PROMOVIDO</t>
  </si>
  <si>
    <t>PIÑA GUARQUILA JARED ISMAEL</t>
  </si>
  <si>
    <t>POZO ZHAÑAY MILENA ANAHI</t>
  </si>
  <si>
    <t>PULGARIN CUENCA CAMILA ELIZABETH</t>
  </si>
  <si>
    <t>ROMAN BELDUMA DAYRON JAEL</t>
  </si>
  <si>
    <t>ROMERO NARVAEZ PAOLA FERNANDA</t>
  </si>
  <si>
    <t>SEGARRA GUERRERO JORDY NICOLAS</t>
  </si>
  <si>
    <t>SIMBAÑA ESPADERO KEVIN ANDRÉS</t>
  </si>
  <si>
    <t>Promedio</t>
  </si>
  <si>
    <t xml:space="preserve">Ing. Sonia Chicaiza Mgtr. </t>
  </si>
  <si>
    <t xml:space="preserve">Lcda. Isabel Carpio Mgtr. </t>
  </si>
  <si>
    <t>Lcda. Marcia Siavichay</t>
  </si>
  <si>
    <t>Rectora (e)</t>
  </si>
  <si>
    <t>Vicerrectora (e)Matutina</t>
  </si>
  <si>
    <t>Docente Tutora</t>
  </si>
  <si>
    <r>
      <rPr>
        <rFont val="Calibri"/>
        <b/>
        <color rgb="FF000000"/>
        <sz val="11.0"/>
      </rPr>
      <t xml:space="preserve">UNIDAD EDUCATIVA "ESTADOS UNIDOS DE NORTE AMÉRICA" </t>
    </r>
    <r>
      <rPr>
        <rFont val="Calibri"/>
        <b/>
        <color rgb="FF000000"/>
        <sz val="12.0"/>
      </rPr>
      <t xml:space="preserve">
</t>
    </r>
    <r>
      <rPr>
        <rFont val="Calibri"/>
        <b val="0"/>
        <color rgb="FF000000"/>
        <sz val="10.0"/>
      </rPr>
      <t>Correo electrónico: eeuuescuela@gmail.com  eeuuvicerrectorado@gmail.com
Teléfono: (07)289-0677 Distrito: 01D01  Zona:6</t>
    </r>
  </si>
  <si>
    <r>
      <rPr>
        <rFont val="Calibri"/>
        <b/>
        <color rgb="FF000000"/>
        <sz val="12.0"/>
      </rPr>
      <t xml:space="preserve">DOCENTE:            </t>
    </r>
    <r>
      <rPr>
        <rFont val="Calibri"/>
        <b val="0"/>
        <color rgb="FF000000"/>
        <sz val="12.0"/>
      </rPr>
      <t xml:space="preserve"> </t>
    </r>
  </si>
  <si>
    <t>Lcda. Nancy Quiranza</t>
  </si>
  <si>
    <t>OCTAVO B</t>
  </si>
  <si>
    <t>B</t>
  </si>
  <si>
    <t xml:space="preserve"> </t>
  </si>
  <si>
    <t>ARIAS CUZCO JOSUE DAVID</t>
  </si>
  <si>
    <t>8,93</t>
  </si>
  <si>
    <t>ATANCURI LALVAY JOEL MATIAS</t>
  </si>
  <si>
    <t>9,09</t>
  </si>
  <si>
    <t>QUINDE ZUMBA DANIEL ANDRES</t>
  </si>
  <si>
    <t>BARBECHO TELLO EMILY BRIGITTE</t>
  </si>
  <si>
    <t>9,94</t>
  </si>
  <si>
    <t>MAXI SIAVICHAY ANTHONY ALEXIS</t>
  </si>
  <si>
    <t>BELTRAN CARDENAS CRISTEL ALEJANDRA</t>
  </si>
  <si>
    <t>9,76</t>
  </si>
  <si>
    <t>SUCUZHAÑAY FERNANDEZ JENNIFER MISHELL</t>
  </si>
  <si>
    <t>BRAVO FERNANDEZ LUIS ANTHONY</t>
  </si>
  <si>
    <t>7,82</t>
  </si>
  <si>
    <t>CHAPA MARIN ANTHONY TOMAS</t>
  </si>
  <si>
    <t>7,56</t>
  </si>
  <si>
    <t>CHIMBOLEMA AREVALO WILLIAM ELIAS</t>
  </si>
  <si>
    <t>9,03</t>
  </si>
  <si>
    <t>CRESPO BARROS DAVID SEBASTIAN</t>
  </si>
  <si>
    <t>8,70</t>
  </si>
  <si>
    <t>FARFAN ALVARADO MAYKEL YAHIR</t>
  </si>
  <si>
    <t>9,53</t>
  </si>
  <si>
    <t>GUALLPA JARA NATHALY GABRIELA</t>
  </si>
  <si>
    <t>8,33</t>
  </si>
  <si>
    <t>JARA GUZHÑAY SAMANTHA ABIGAIL</t>
  </si>
  <si>
    <t>9,06</t>
  </si>
  <si>
    <t>JUELA GOMEZ DOMENICA VALENTINA</t>
  </si>
  <si>
    <t>9,52</t>
  </si>
  <si>
    <t>LONDA ASMAL ANDERSON JULIAN</t>
  </si>
  <si>
    <t>8,03</t>
  </si>
  <si>
    <t>LONDA PASTUIZACA ANTONY MATEO</t>
  </si>
  <si>
    <t>9,02</t>
  </si>
  <si>
    <t xml:space="preserve">LOZADA FAJARDO JUSTIN SEBASTIAN </t>
  </si>
  <si>
    <t>7,80</t>
  </si>
  <si>
    <t>9,96</t>
  </si>
  <si>
    <t>MAYORGA JIMBO CHRISTOFER STALIN</t>
  </si>
  <si>
    <t>7,12</t>
  </si>
  <si>
    <t>MENDOZA ROMAN MATIAS ALEJANDRO</t>
  </si>
  <si>
    <t>9,78</t>
  </si>
  <si>
    <t>MOROCHO HERNANDEZ KIMBERLY IVANA</t>
  </si>
  <si>
    <t>8,39</t>
  </si>
  <si>
    <t>NACIPUCHA NACIPUCHA EDWIN ANDRES</t>
  </si>
  <si>
    <t>NIVICELA ESPINOZA OSCAR AARON</t>
  </si>
  <si>
    <t>PACHECO BARBECHO NIQUEL ALEXANDER</t>
  </si>
  <si>
    <t>7,83</t>
  </si>
  <si>
    <t>PERALTA PUCHA JORDAN EDUARDO</t>
  </si>
  <si>
    <t>C-</t>
  </si>
  <si>
    <t xml:space="preserve">C- </t>
  </si>
  <si>
    <t>N</t>
  </si>
  <si>
    <t>DESERTOR</t>
  </si>
  <si>
    <t>PIÑA LLANGARI NICOLE DOMENICA</t>
  </si>
  <si>
    <t>8,71</t>
  </si>
  <si>
    <t>9,86</t>
  </si>
  <si>
    <t>ROBLES MURILLO ANTHONY JHOSUE</t>
  </si>
  <si>
    <t>7,22</t>
  </si>
  <si>
    <t>SIAVICHAY LEMA MELANY ALEXANDRA</t>
  </si>
  <si>
    <t>9,64</t>
  </si>
  <si>
    <t>SONGOR MUZHA ASHLEY NICOLE</t>
  </si>
  <si>
    <t>8,97</t>
  </si>
  <si>
    <t>9,87</t>
  </si>
  <si>
    <t>SUIN PERALTA DIEGO EMILIO</t>
  </si>
  <si>
    <t>7,70</t>
  </si>
  <si>
    <t>TACURI NAVARRO AMANDA PAOLA</t>
  </si>
  <si>
    <t>8,19</t>
  </si>
  <si>
    <t>TACURI PINTADO RIHANNA TIFFANNY</t>
  </si>
  <si>
    <t>TENEMAZA LEMA VERONICA LIZBETH</t>
  </si>
  <si>
    <t>TOCTE CORRALES SHIRLE LISETH</t>
  </si>
  <si>
    <t>8,37</t>
  </si>
  <si>
    <t>UZHCA BANEGAS DANIELA ESTEFANIA</t>
  </si>
  <si>
    <t>VINTIMILLA MUÑOZ ANA KARINA</t>
  </si>
  <si>
    <t>VIÑANZACA GUAMÁN ELIAN JOEL</t>
  </si>
  <si>
    <t>8,40</t>
  </si>
  <si>
    <t>VIZHÑAY MUÑOZ BRAYAN DAMIAN</t>
  </si>
  <si>
    <t>7,79</t>
  </si>
  <si>
    <t>YANQUI BUENO JHENNIFHER JHANNYN</t>
  </si>
  <si>
    <t>8,11</t>
  </si>
  <si>
    <t>ZHANGALLIMBAY VEGA KAREN DOMENICA</t>
  </si>
  <si>
    <t>8,89</t>
  </si>
  <si>
    <r>
      <rPr>
        <rFont val="Calibri"/>
        <b/>
        <color rgb="FF000000"/>
        <sz val="18.0"/>
      </rPr>
      <t xml:space="preserve">UNIDAD EDUCATIVA "ESTADOS UNIDOS DE NORTE AMÉRICA" 
</t>
    </r>
    <r>
      <rPr>
        <rFont val="Calibri"/>
        <b val="0"/>
        <color rgb="FF000000"/>
        <sz val="13.0"/>
      </rPr>
      <t>Correo electrónico: eeuuescuela@gmail.com  eeuuvicerrectorado@gmail.com</t>
    </r>
    <r>
      <rPr>
        <rFont val="Calibri"/>
        <b val="0"/>
        <color rgb="FF000000"/>
        <sz val="18.0"/>
      </rPr>
      <t xml:space="preserve">
Teléfono: (07)289-0677 Distrito: 01D01  Zona:6</t>
    </r>
  </si>
  <si>
    <r>
      <rPr>
        <rFont val="Calibri"/>
        <b/>
        <color rgb="FF000000"/>
        <sz val="12.0"/>
      </rPr>
      <t xml:space="preserve">DOCENTE:            </t>
    </r>
    <r>
      <rPr>
        <rFont val="Calibri"/>
        <b val="0"/>
        <color rgb="FF000000"/>
        <sz val="12.0"/>
      </rPr>
      <t xml:space="preserve"> </t>
    </r>
  </si>
  <si>
    <t>Ing. Santiago Quezada MSc</t>
  </si>
  <si>
    <t>NOVENO A</t>
  </si>
  <si>
    <t>A</t>
  </si>
  <si>
    <t>AGUDELO ARTAHOMA ISAAC ALEXANDER</t>
  </si>
  <si>
    <t>ALAVA AYABACA LEONARDO DAVID</t>
  </si>
  <si>
    <t>PEÑAFIEL</t>
  </si>
  <si>
    <t>ANASICHA LEMACHE HECTOR DANIEL</t>
  </si>
  <si>
    <t>CHUÑIR</t>
  </si>
  <si>
    <t>ARMIJOS HIDALGO NICOLE ESTEFANIA</t>
  </si>
  <si>
    <t>AVILA</t>
  </si>
  <si>
    <t>ASMAL AUCAPIÑA ALAN MARCELO</t>
  </si>
  <si>
    <t>CUARTO LUGAR</t>
  </si>
  <si>
    <t>AUCAPIÑA AVILA ALEXANDER ADRIANO</t>
  </si>
  <si>
    <t>AUCAPIÑA BARBECHO MIGUEL SEBASTIAN</t>
  </si>
  <si>
    <t>AVILA BARBECHO JOSTIN ALAIN</t>
  </si>
  <si>
    <t>BACULIMA GOMEZ JOSUE DAMIAN</t>
  </si>
  <si>
    <t>BARBECHO MORANTE LUISA VALENTINA</t>
  </si>
  <si>
    <t>BELDUMA BELDUMA MAYETSSI</t>
  </si>
  <si>
    <t>BUENO BALAREZO PABLO SEBASTIAN</t>
  </si>
  <si>
    <t>BUENO CORTE JESSICA ELIZABETH</t>
  </si>
  <si>
    <t>CALDERON URDANIGO MARIA FERNANDA</t>
  </si>
  <si>
    <t>CHISAGUANO QUINDI MICHAEL GEOVANNY</t>
  </si>
  <si>
    <t>C+</t>
  </si>
  <si>
    <t>CHUCARALAO ZUMBA KARELY STEPHANIA</t>
  </si>
  <si>
    <t>CHUÑIR NAREA LUYZIANA VICTORIA</t>
  </si>
  <si>
    <t>CHUVA LLANOS RONALD ALEXANDER</t>
  </si>
  <si>
    <t>CORONEL GALARZA MELANY YAJAIRA</t>
  </si>
  <si>
    <t>DUMANAULA ÑAUTA ANA DOMENICA</t>
  </si>
  <si>
    <t>FAJARDO JADAN CRISTIAN OSWALDO</t>
  </si>
  <si>
    <t>GARCIA CAIVINAGUA ADRIAN SANTIAGO</t>
  </si>
  <si>
    <t>GUAYARA BARRETO WILLIAM GABRIEL</t>
  </si>
  <si>
    <t>ILLESCAS AVILA MAGABY ANAI</t>
  </si>
  <si>
    <t>LALANGUI NARANJO JEIMI MARISOL</t>
  </si>
  <si>
    <t>LEON AQUINO ANGHELY DAIANNA</t>
  </si>
  <si>
    <t>LOPEZ DELGADO DANNY LEONEL</t>
  </si>
  <si>
    <t>OLAYA GRANDA MIGUEL ANGEL</t>
  </si>
  <si>
    <t>OLAYA PINTADO AMBAR DANELLE</t>
  </si>
  <si>
    <t>PEÑAFIEL VELECELA NATALY PAMELA</t>
  </si>
  <si>
    <t>PIÑA BONETE BRYAN ISMAEL</t>
  </si>
  <si>
    <t>RODRIGUEZ SARMIENTO TATIANA JHOMAYRA</t>
  </si>
  <si>
    <t>SIMBAÑA CABRERA BIANCA ALEJANDRA</t>
  </si>
  <si>
    <t>SINCHI GARCIA ALEXIS JOEL</t>
  </si>
  <si>
    <t>TAMAYO SIAVICHAY EMILY ALEJANDRA</t>
  </si>
  <si>
    <t>TORRES LATA ADRIANA JAZU</t>
  </si>
  <si>
    <t>VACA GONZALEZ PAUL GEOVANNY</t>
  </si>
  <si>
    <t>VASQUEZ YUNGA JHOSUE DAMIAN</t>
  </si>
  <si>
    <t>YADAICELA SAICO JHOSTIN MATEO</t>
  </si>
  <si>
    <t>YANZA JARRIN JEFFREY ALBERTO</t>
  </si>
  <si>
    <t xml:space="preserve">Lcdo. Santiago Quezada Mgtr. </t>
  </si>
  <si>
    <t>Docente Tutor</t>
  </si>
  <si>
    <r>
      <rPr>
        <rFont val="Calibri"/>
        <b/>
        <color rgb="FF000000"/>
        <sz val="11.0"/>
      </rPr>
      <t xml:space="preserve">UNIDAD EDUCATIVA "ESTADOS UNIDOS DE NORTE AMÉRICA" </t>
    </r>
    <r>
      <rPr>
        <rFont val="Calibri"/>
        <b/>
        <color rgb="FF000000"/>
        <sz val="12.0"/>
      </rPr>
      <t xml:space="preserve">
</t>
    </r>
    <r>
      <rPr>
        <rFont val="Calibri"/>
        <b val="0"/>
        <color rgb="FF000000"/>
        <sz val="10.0"/>
      </rPr>
      <t>Correo electrónico: eeuuescuela@gmail.com  eeuuvicerrectorado@gmail.com
Teléfono: (07)289-0677 Distrito: 01D01  Zona:6</t>
    </r>
  </si>
  <si>
    <r>
      <rPr>
        <rFont val="Calibri"/>
        <b/>
        <color rgb="FF000000"/>
        <sz val="12.0"/>
      </rPr>
      <t xml:space="preserve">DOCENTE:            </t>
    </r>
    <r>
      <rPr>
        <rFont val="Calibri"/>
        <b val="0"/>
        <color rgb="FF000000"/>
        <sz val="12.0"/>
      </rPr>
      <t xml:space="preserve"> </t>
    </r>
  </si>
  <si>
    <t>Ing. Javier Velez</t>
  </si>
  <si>
    <t>NOVENO B</t>
  </si>
  <si>
    <t>COMPORTAMIENTO</t>
  </si>
  <si>
    <t>AGUAYZA URGILES ERICK HERNAN</t>
  </si>
  <si>
    <t>AVILA SANCHEZ ANDY SEBASTIAN</t>
  </si>
  <si>
    <t>PERALTA S</t>
  </si>
  <si>
    <t xml:space="preserve">AZANZA CHILLOGALLI JUAN CARLOS </t>
  </si>
  <si>
    <t>LLAPA E</t>
  </si>
  <si>
    <t>BARRETO UZHCA CHRISTOPHER ADRIAN</t>
  </si>
  <si>
    <t>PINTADO</t>
  </si>
  <si>
    <t>CABRERA CANDO LIZBETH CAROLINA</t>
  </si>
  <si>
    <t>CABRERA PESANTEZ JESSICA ALEXANDRA</t>
  </si>
  <si>
    <t>CALDERON CORDOVA MAYKEL DE JESUS</t>
  </si>
  <si>
    <t>CAMPOVERDE NAULA DANNA MARISOL</t>
  </si>
  <si>
    <t>CAMPOVERDE NAULA LENIN ALEJANDRO</t>
  </si>
  <si>
    <t>CHUJUTALLI QUEZADA ARIEL MAURICIO</t>
  </si>
  <si>
    <t>CHUJUTALLI QUEZADA PAUL ESTEBAN</t>
  </si>
  <si>
    <t>CORONEL BERMEO JULIANA MICAELA</t>
  </si>
  <si>
    <t>DURAZNO LATA CINDY ELIZABETH</t>
  </si>
  <si>
    <t>ENRIQUEZ SINCHE PEDRO PABLO</t>
  </si>
  <si>
    <t>GUACHICHULLCA TADAY WILLIAN DAVID</t>
  </si>
  <si>
    <t>GUZHÑAY BARBECHO BELEN LILIANA</t>
  </si>
  <si>
    <t>IÑAMAGUA PATIÑO ANDREA LIZBETH</t>
  </si>
  <si>
    <t>LEMA PERALTA CARLOS DANIEL</t>
  </si>
  <si>
    <t>LLANGARI ALVAREZ ITZEL ABIGAIL</t>
  </si>
  <si>
    <t>LLAPA JUNCAL BETSY ANABEL</t>
  </si>
  <si>
    <t>LLAPA SIBRI EILEEN MAYTE</t>
  </si>
  <si>
    <t>LONDA VIÑANZACA NATHALY DANIELA</t>
  </si>
  <si>
    <t>MARIN GOMEZ ANDREA BELEN</t>
  </si>
  <si>
    <t>MOROCHO PELAEZ DANIELA FERNANDA</t>
  </si>
  <si>
    <t>OVILLO GUALLPA JIMMY XAVIER</t>
  </si>
  <si>
    <t>PERALTA MENDEZ SAMUEL MATEO</t>
  </si>
  <si>
    <t>PEÑA ORELLANA MATEO ALEXANDER</t>
  </si>
  <si>
    <t>PINTADO ROBLES ADELA BELEN</t>
  </si>
  <si>
    <t>PONCE SANCHEZ NAOMI MADELEIN</t>
  </si>
  <si>
    <t>QUIZHPE MUÑOZ JHON ESTIVEN</t>
  </si>
  <si>
    <t>RIVERA GARCIA EMILY MICHELLE</t>
  </si>
  <si>
    <t>ROMERO ORELLANA AMILIS SOFIA</t>
  </si>
  <si>
    <t>SARAGURO CARCHIPULLA JOAN ALEXANDER</t>
  </si>
  <si>
    <t>SOLIZ GUZHÑAY MATEO ISMAEL</t>
  </si>
  <si>
    <t>SONGOR LLIVISACA DAYANNA DEL CISNE</t>
  </si>
  <si>
    <t>TENEZACA JARRIN JEYKING NICOLAS</t>
  </si>
  <si>
    <t>TOCTE CORRALES JORDY ALEXANDER</t>
  </si>
  <si>
    <t>TORRES SARMIENTO DANIEL MAXIMILIANO</t>
  </si>
  <si>
    <t>VILLAVICENCIO NAVARRO DARWIN ADRIAN</t>
  </si>
  <si>
    <t>VIÑANZACA VIÑANSACA DAYANNA GUADALUPE</t>
  </si>
  <si>
    <r>
      <rPr>
        <rFont val="Calibri"/>
        <b/>
        <color rgb="FF000000"/>
        <sz val="11.0"/>
      </rPr>
      <t xml:space="preserve">UNIDAD EDUCATIVA "ESTADOS UNIDOS DE NORTE AMÉRICA" </t>
    </r>
    <r>
      <rPr>
        <rFont val="Calibri"/>
        <b/>
        <color rgb="FF000000"/>
        <sz val="12.0"/>
      </rPr>
      <t xml:space="preserve">
</t>
    </r>
    <r>
      <rPr>
        <rFont val="Calibri"/>
        <b val="0"/>
        <color rgb="FF000000"/>
        <sz val="10.0"/>
      </rPr>
      <t>Correo electrónico: eeuuescuela@gmail.com  eeuuvicerrectorado@gmail.com
Teléfono: (07)289-0677 Distrito: 01D01  Zona:6</t>
    </r>
  </si>
  <si>
    <r>
      <rPr>
        <rFont val="Calibri"/>
        <b/>
        <color rgb="FF000000"/>
        <sz val="12.0"/>
      </rPr>
      <t xml:space="preserve">DOCENTE:            </t>
    </r>
    <r>
      <rPr>
        <rFont val="Calibri"/>
        <b val="0"/>
        <color rgb="FF000000"/>
        <sz val="12.0"/>
      </rPr>
      <t xml:space="preserve"> </t>
    </r>
  </si>
  <si>
    <t>DÉCIMO A</t>
  </si>
  <si>
    <t>ALBARRACIN QUIZHPI CRISTOPHER SEBASTIAN</t>
  </si>
  <si>
    <t>ALMACHI ALCIVAR FREDDY NERON</t>
  </si>
  <si>
    <t>ANASICHA LEMACHE JHON ESTEVAN</t>
  </si>
  <si>
    <t>APOLO ENRIQUEZ JAVIER SNYDER</t>
  </si>
  <si>
    <t>MMTT</t>
  </si>
  <si>
    <t>ARMIJOS HIDALGO ANTHONY ANDRES</t>
  </si>
  <si>
    <t>AYABACA ANDRADE PRISCILA TATIANA</t>
  </si>
  <si>
    <t>BARROS VELESACA EMILIO NICOLAS</t>
  </si>
  <si>
    <t>BARSALLO CORAISACA ANAHI NATALIA</t>
  </si>
  <si>
    <t>BASANTES LONDA JENNIFER VALERIA</t>
  </si>
  <si>
    <t>CABRERA CABRERA CRISTOFER REINALDO</t>
  </si>
  <si>
    <t>CALDAS GARCIA DAYANNA RASHEL</t>
  </si>
  <si>
    <t>CALI TINOCO MELANY ANAHÍ</t>
  </si>
  <si>
    <t>CARDENAS NIEMES ANTHONY DANIEL</t>
  </si>
  <si>
    <t>CHIQUI TIGSI PAMELA DAMARIS</t>
  </si>
  <si>
    <t>DELGADO UZHCA ISDRAEL ARMANDO</t>
  </si>
  <si>
    <t>DIAZ MISHQUERO KATHERINE MICHELLE</t>
  </si>
  <si>
    <t>DUTA ESPINOZA MIKE ANTHONY</t>
  </si>
  <si>
    <t>GONZALEZ CALLE SCARLETTE ABIGAIL</t>
  </si>
  <si>
    <t>GONZALEZ VALDES ANTHONY JHULIAN</t>
  </si>
  <si>
    <t>GONZALEZ VALDES CRISTHOPHER JOAO</t>
  </si>
  <si>
    <t>GUACHICHULLCA SIAVICHAY JOHN FERNANDO</t>
  </si>
  <si>
    <t>GUALAN YUNGA DAYANNA DEL CISNE</t>
  </si>
  <si>
    <t>GUALLPA QUITUISACA SANTIAGO NICOLAS</t>
  </si>
  <si>
    <t>GUALPA DELGADO EVELYN TATIANA</t>
  </si>
  <si>
    <t>GUAMAN LLAMBA CAMILA ALEJANDRA</t>
  </si>
  <si>
    <t>GUAMAN SIGUA DOMENICA ALEXANDRA</t>
  </si>
  <si>
    <t>HERRERA ASMAL ESTEBAN NICOLAS</t>
  </si>
  <si>
    <t>JARRIN DAVILA MARLON STEVEN</t>
  </si>
  <si>
    <t>LEMA PAUCAR MIGUEL ALEJANDRO</t>
  </si>
  <si>
    <t>LEON CRUZ LUIS ALFREDO</t>
  </si>
  <si>
    <t>MARCATOMA RODRIGUEZ NICOLE STEPHANY</t>
  </si>
  <si>
    <t>MOROCHO PELAEZ MATEO ALEJANDRO</t>
  </si>
  <si>
    <t>ORTIZ PAUCAR JOSTIN ALEXANDER</t>
  </si>
  <si>
    <t>QUINDE VIÑANSACA AILYN TAMARA</t>
  </si>
  <si>
    <t>ROMERO NARVAEZ KATHERINE ANAHI</t>
  </si>
  <si>
    <t>SAETEROS ALLAICO DAVID ALEXANDER</t>
  </si>
  <si>
    <t>VIÑANZACA QUITO KIMBERLY GUADALUPE</t>
  </si>
  <si>
    <t>ZHUNGO FERNANDEZ EUNISE MAYTE</t>
  </si>
  <si>
    <t xml:space="preserve">Psic.. Lourdes Pomaquiza Mgtr. </t>
  </si>
  <si>
    <r>
      <rPr>
        <rFont val="Calibri"/>
        <b/>
        <color rgb="FF000000"/>
        <sz val="11.0"/>
      </rPr>
      <t xml:space="preserve">UNIDAD EDUCATIVA "ESTADOS UNIDOS DE NORTE AMÉRICA" </t>
    </r>
    <r>
      <rPr>
        <rFont val="Calibri"/>
        <b/>
        <color rgb="FF000000"/>
        <sz val="12.0"/>
      </rPr>
      <t xml:space="preserve">
</t>
    </r>
    <r>
      <rPr>
        <rFont val="Calibri"/>
        <b val="0"/>
        <color rgb="FF000000"/>
        <sz val="10.0"/>
      </rPr>
      <t>Correo electrónico: eeuuescuela@gmail.com  eeuuvicerrectorado@gmail.com
Teléfono: (07)289-0677 Distrito: 01D01  Zona:6</t>
    </r>
  </si>
  <si>
    <r>
      <rPr>
        <rFont val="Calibri"/>
        <b/>
        <color rgb="FF000000"/>
        <sz val="12.0"/>
      </rPr>
      <t xml:space="preserve">DOCENTE:            </t>
    </r>
    <r>
      <rPr>
        <rFont val="Calibri"/>
        <b val="0"/>
        <color rgb="FF000000"/>
        <sz val="12.0"/>
      </rPr>
      <t xml:space="preserve"> </t>
    </r>
  </si>
  <si>
    <t>DÉCIMO B</t>
  </si>
  <si>
    <t>APOLO GUZMAN ANTHONY IVAN</t>
  </si>
  <si>
    <t>ARIAS LUCERO KERLY GUADALUPE</t>
  </si>
  <si>
    <t>CAMPOVERDE FERNANDEZ EMILY DAYANNA</t>
  </si>
  <si>
    <t>LOJA  E</t>
  </si>
  <si>
    <t>CARDENAS ORELLANA WENDY PAMELA</t>
  </si>
  <si>
    <t>UZHCA Y</t>
  </si>
  <si>
    <t>CELI MADRID JOSTIN HAIR</t>
  </si>
  <si>
    <t>FERNANDEZ CUMBE KIMBERLY MARIBEL</t>
  </si>
  <si>
    <t>GUAMAN YANZA PAOLA ADRIANA</t>
  </si>
  <si>
    <t>GUAYANAY CAÑAR NATHALY BRIGITTE</t>
  </si>
  <si>
    <t>GUZHÑAY GUZHÑAY ALAN RANDY</t>
  </si>
  <si>
    <t>HUMALA SUCUZHAÑAY JIMMY ALEXANDER</t>
  </si>
  <si>
    <t>JIMBIQUITI NANTIPIA MATIAS MABERICK</t>
  </si>
  <si>
    <t>LITA RIVERA LARRY LEONEL</t>
  </si>
  <si>
    <t>LOJA GUACHICHULLCA EMILY CAROLINA</t>
  </si>
  <si>
    <t>LOJA ZHUMI DAYANNA MARIBEL</t>
  </si>
  <si>
    <t>LONDA ASMAL CARLOS MATEO</t>
  </si>
  <si>
    <t>MASQUI PEREZ ISRAEL EDUARDO</t>
  </si>
  <si>
    <t>MATUTE GUAMAN JOSELIN ANALY</t>
  </si>
  <si>
    <t>MAXI SIAVICHAY DAYANNA VALERIA</t>
  </si>
  <si>
    <t>MONAR CARDENAS MAYURY BRIGETTE</t>
  </si>
  <si>
    <t>MONAR ORELLANA ANDERSSON STALYN</t>
  </si>
  <si>
    <t>MORA MAQUISACA DARLA STEPHANIA</t>
  </si>
  <si>
    <t>MUÑOZ ANDRADE ABIGAIL PRISCILA</t>
  </si>
  <si>
    <t>PALLAZHCO LOJA MICHELLE CAROLINA</t>
  </si>
  <si>
    <t>PERALTA NIETO ALEX SANTIAGO</t>
  </si>
  <si>
    <t>PEREZ MATUTE MATIAS ALEJANDRO</t>
  </si>
  <si>
    <t>PIÑA GUARQUILA JUSTIN EDUARDO</t>
  </si>
  <si>
    <t>QUIZHPI MENDOZA JAVIER MAURICIO</t>
  </si>
  <si>
    <t>RAMIREZ AGUILAR MATHIWS JOEL</t>
  </si>
  <si>
    <t>ROMERO NACIPUCHA JUAN ERNESTO</t>
  </si>
  <si>
    <t>SANDOVAL ORDOÑEZ JOSUE ALEXANDER</t>
  </si>
  <si>
    <t>SANISACA CEME MARJORIE FERNANDA</t>
  </si>
  <si>
    <t>SARAGOCIN LLIVICOTA EZEQUIEL DAVID</t>
  </si>
  <si>
    <t>SOLIS TENEN MATEO ISRAEL</t>
  </si>
  <si>
    <t>TACURI PINTADO ASHLY VIVIANA</t>
  </si>
  <si>
    <t>TAMAY JARA VALERIA ELIZABETH</t>
  </si>
  <si>
    <t>UZHCA PUNIN MATIAS EDUARDO</t>
  </si>
  <si>
    <t>UZHCA SOLANO YALITZA MAITTE</t>
  </si>
  <si>
    <t>VEGA JADAN JOEL FRANCISCO</t>
  </si>
  <si>
    <t>YUQUILEMA RIPALDA SALOME HADMARIZ</t>
  </si>
  <si>
    <t xml:space="preserve">Lcda. Maribel Peralta Mgtr. </t>
  </si>
  <si>
    <t>Transforma los desacuerdos en oportunidades de crecimiento y cooperación.</t>
  </si>
  <si>
    <t>Se involucra y participa en iniciativas que favorecen la convivencia pacífica.</t>
  </si>
  <si>
    <t>Demuestra habilidades para llegar a acuerdos y asumir compromisos.</t>
  </si>
  <si>
    <t>Muestra limitaciones para llegar a acuerdos y asumir compromisos.</t>
  </si>
  <si>
    <t>Demuestra dominio y comprensión de las habilidades, conocimientos y procedimientos desarrollados con capacidad para aplicarlos en situaciones prácticas y de la cotidianidad, simples y complejas, de forma independiente y colectiva.</t>
  </si>
  <si>
    <t>Demuestra comprensión de habilidades y conocimientos desarrollados para aplicarlos en situaciones de la cotidianidad, de forma independiente y colectiva.</t>
  </si>
  <si>
    <t>Aplica sus habilidades en situaciones comunes y predecibles, simples y no complejas de forma independiente. Evidencia habilidades para trabajar en equipo y de manera colaborativa, siguiendo instrucciones.</t>
  </si>
  <si>
    <t>Realiza tareas y/o actividades de forma independiente y en ciertas ocasiones de forma colaborativa, sobre la base de la comprensión de los aprendizajes desarrollados. Evidencia habilidades para trabajar de manera individual y en equipo con ciertas limitaciones para seguir instrucciones.</t>
  </si>
  <si>
    <t>Demuestra habilidades, conocimientos y procedimientos de manera integral, predominando el trabajo individual al trabajo en equipo. Requiere apoyo del equipo docente para el aprendizaje mediado.</t>
  </si>
  <si>
    <t>Resuelve tareas o actividades simples sobre la base de sus habilidades, conocimientos y procedimientos adquiridos. Evidencia habilidades básicas de trabajo en equipo. Requiere apoyo del equipo docente para el aprendizaje mediado.</t>
  </si>
  <si>
    <t>D+</t>
  </si>
  <si>
    <t>Resuelve tareas o actividades simples sobre la base de sus habilidades, conocimientos y procedimientos adquiridos guiados con el docente. Evidencia limitaciones para trabajar en equipo.</t>
  </si>
  <si>
    <t>D-</t>
  </si>
  <si>
    <t>Realiza tareas simples, demuestra dificultad para seguir instrucciones y completarlas, requiriendo la orientación frecuente del equipo docente.</t>
  </si>
  <si>
    <t>E+</t>
  </si>
  <si>
    <t>Demuestra dificultades para desarrollar tareas simples y complejas a partir de las habilidades, conocimientos y procedimientos. Requiere intervención permanente del equipo docente para la culminación de sus tareas.</t>
  </si>
  <si>
    <t>E-</t>
  </si>
  <si>
    <t>Expone un desarrollo inicial de conocimientos, habilidades y procedimientos para aplicarlos. Requiere intervención inmediata y apoyo continuo del equipo docente para completar las tareas o actividades asignadas.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</si>
</sst>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"/>
  </numFmts>
  <fonts count="34">
    <font>
      <sz val="11.0"/>
      <color rgb="FF000000"/>
      <name val="Calibri"/>
      <scheme val="minor"/>
    </font>
    <font>
      <b/>
      <sz val="12.0"/>
      <color rgb="FF000000"/>
      <name val="Calibri"/>
    </font>
    <font>
      <b/>
      <sz val="10.0"/>
      <color rgb="FF000000"/>
      <name val="Calibri"/>
    </font>
    <font>
      <sz val="12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/>
    <font>
      <b/>
      <sz val="9.0"/>
      <color rgb="FF000000"/>
      <name val="Calibri"/>
    </font>
    <font>
      <b/>
      <sz val="8.0"/>
      <color rgb="FF000000"/>
      <name val="Calibri"/>
    </font>
    <font>
      <sz val="10.0"/>
      <color rgb="FF000000"/>
      <name val="SansSerif"/>
    </font>
    <font>
      <sz val="9.0"/>
      <color theme="1"/>
      <name val="Calibri"/>
    </font>
    <font>
      <sz val="10.0"/>
      <color rgb="FF000000"/>
      <name val="Calibri"/>
    </font>
    <font>
      <sz val="10.0"/>
      <color rgb="FF000066"/>
      <name val="Calibri"/>
    </font>
    <font>
      <sz val="11.0"/>
      <color rgb="FF000000"/>
      <name val="Arial"/>
    </font>
    <font>
      <sz val="10.0"/>
      <color rgb="FF000000"/>
      <name val="Arial"/>
    </font>
    <font>
      <sz val="11.0"/>
      <color rgb="FF000000"/>
      <name val="&quot;Aptos Narrow&quot;"/>
    </font>
    <font>
      <color theme="1"/>
      <name val="Calibri"/>
      <scheme val="minor"/>
    </font>
    <font>
      <sz val="10.0"/>
      <color theme="1"/>
      <name val="Calibri"/>
    </font>
    <font>
      <sz val="9.0"/>
      <color rgb="FF000000"/>
      <name val="Calibri"/>
    </font>
    <font>
      <sz val="10.0"/>
      <color rgb="FFFF0000"/>
      <name val="Calibri"/>
    </font>
    <font>
      <sz val="8.0"/>
      <color rgb="FF000000"/>
      <name val="Arial"/>
    </font>
    <font>
      <b/>
      <sz val="11.0"/>
      <color rgb="FF000000"/>
      <name val="Arial"/>
    </font>
    <font>
      <b/>
      <sz val="9.0"/>
      <color rgb="FF000000"/>
      <name val="Arial"/>
    </font>
    <font>
      <sz val="7.0"/>
      <color rgb="FF000000"/>
      <name val="SansSerif"/>
    </font>
    <font>
      <b/>
      <sz val="10.0"/>
      <color rgb="FF000000"/>
      <name val="Arial"/>
    </font>
    <font>
      <b/>
      <sz val="18.0"/>
      <color rgb="FF000000"/>
      <name val="Calibri"/>
    </font>
    <font>
      <sz val="10.0"/>
      <color rgb="FF0000CC"/>
      <name val="Calibri"/>
    </font>
    <font>
      <b/>
      <sz val="14.0"/>
      <color rgb="FF000000"/>
      <name val="Calibri"/>
    </font>
    <font>
      <sz val="12.0"/>
      <color rgb="FF000000"/>
      <name val="Arial"/>
    </font>
    <font>
      <sz val="11.0"/>
      <color theme="1"/>
      <name val="Arial"/>
    </font>
    <font>
      <sz val="10.0"/>
      <color theme="1"/>
      <name val="Calibri"/>
      <scheme val="minor"/>
    </font>
    <font>
      <sz val="8.0"/>
      <color theme="1"/>
      <name val="Calibri"/>
    </font>
    <font>
      <b/>
      <sz val="10.0"/>
      <color rgb="FF000066"/>
      <name val="Calibri"/>
    </font>
  </fonts>
  <fills count="27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94DCF8"/>
        <bgColor rgb="FF94DCF8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DEEAF6"/>
        <bgColor rgb="FFDEEAF6"/>
      </patternFill>
    </fill>
    <fill>
      <patternFill patternType="solid">
        <fgColor rgb="FFD0CECE"/>
        <bgColor rgb="FFD0CECE"/>
      </patternFill>
    </fill>
    <fill>
      <patternFill patternType="solid">
        <fgColor theme="7"/>
        <bgColor theme="7"/>
      </patternFill>
    </fill>
    <fill>
      <patternFill patternType="solid">
        <fgColor rgb="FFA0FCF3"/>
        <bgColor rgb="FFA0FCF3"/>
      </patternFill>
    </fill>
    <fill>
      <patternFill patternType="solid">
        <fgColor rgb="FFF8FF9D"/>
        <bgColor rgb="FFF8FF9D"/>
      </patternFill>
    </fill>
    <fill>
      <patternFill patternType="solid">
        <fgColor rgb="FFB6D7A8"/>
        <bgColor rgb="FFB6D7A8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FF00FF"/>
        <bgColor rgb="FFFF00FF"/>
      </patternFill>
    </fill>
    <fill>
      <patternFill patternType="solid">
        <fgColor rgb="FFF9CB9C"/>
        <bgColor rgb="FFF9CB9C"/>
      </patternFill>
    </fill>
    <fill>
      <patternFill patternType="solid">
        <fgColor rgb="FFB7B7B7"/>
        <bgColor rgb="FFB7B7B7"/>
      </patternFill>
    </fill>
    <fill>
      <patternFill patternType="solid">
        <fgColor rgb="FF99FFCC"/>
        <bgColor rgb="FF99FFCC"/>
      </patternFill>
    </fill>
    <fill>
      <patternFill patternType="solid">
        <fgColor rgb="FFFFC000"/>
        <bgColor rgb="FFFFC000"/>
      </patternFill>
    </fill>
    <fill>
      <patternFill patternType="solid">
        <fgColor rgb="FFFFE599"/>
        <bgColor rgb="FFFFE599"/>
      </patternFill>
    </fill>
  </fills>
  <borders count="50">
    <border/>
    <border>
      <left/>
      <top/>
      <bottom/>
    </border>
    <border>
      <top/>
      <bottom/>
    </border>
    <border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hair">
        <color rgb="FF000000"/>
      </left>
      <right/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/>
      <right/>
      <bottom/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hair">
        <color rgb="FF000000"/>
      </left>
      <right/>
      <top/>
      <bottom style="hair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hair">
        <color rgb="FF000000"/>
      </left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/>
      <bottom style="hair">
        <color rgb="FF000000"/>
      </bottom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top style="hair">
        <color rgb="FF000000"/>
      </top>
    </border>
    <border>
      <right/>
      <top/>
      <bottom style="hair">
        <color rgb="FF000000"/>
      </bottom>
    </border>
    <border>
      <left style="thin">
        <color rgb="FF104861"/>
      </left>
      <top style="thin">
        <color rgb="FF104861"/>
      </top>
      <bottom style="hair">
        <color rgb="FF000000"/>
      </bottom>
    </border>
    <border>
      <right style="thin">
        <color rgb="FF104861"/>
      </right>
      <top style="thin">
        <color rgb="FF104861"/>
      </top>
      <bottom style="hair">
        <color rgb="FF000000"/>
      </bottom>
    </border>
    <border>
      <left style="thin">
        <color rgb="FF104861"/>
      </left>
      <right style="thin">
        <color rgb="FF104861"/>
      </right>
      <top style="thin">
        <color rgb="FF104861"/>
      </top>
      <bottom style="thin">
        <color rgb="FF104861"/>
      </bottom>
    </border>
  </borders>
  <cellStyleXfs count="1">
    <xf borderId="0" fillId="0" fontId="0" numFmtId="0" applyAlignment="1" applyFont="1"/>
  </cellStyleXfs>
  <cellXfs count="25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lef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0" fontId="5" numFmtId="0" xfId="0" applyAlignment="1" applyFont="1">
      <alignment horizontal="left" vertical="bottom"/>
    </xf>
    <xf borderId="0" fillId="0" fontId="1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left" shrinkToFit="0" vertical="bottom" wrapText="1"/>
    </xf>
    <xf borderId="0" fillId="0" fontId="6" numFmtId="0" xfId="0" applyAlignment="1" applyFont="1">
      <alignment vertical="center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left" shrinkToFit="0" vertical="bottom" wrapText="1"/>
    </xf>
    <xf borderId="0" fillId="0" fontId="4" numFmtId="0" xfId="0" applyAlignment="1" applyFont="1">
      <alignment vertic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7" numFmtId="0" xfId="0" applyAlignment="1" applyBorder="1" applyFont="1">
      <alignment vertical="center"/>
    </xf>
    <xf borderId="3" fillId="0" fontId="7" numFmtId="0" xfId="0" applyAlignment="1" applyBorder="1" applyFont="1">
      <alignment vertical="center"/>
    </xf>
    <xf borderId="4" fillId="3" fontId="5" numFmtId="2" xfId="0" applyAlignment="1" applyBorder="1" applyFill="1" applyFont="1" applyNumberFormat="1">
      <alignment vertical="center"/>
    </xf>
    <xf borderId="5" fillId="3" fontId="5" numFmtId="2" xfId="0" applyAlignment="1" applyBorder="1" applyFont="1" applyNumberFormat="1">
      <alignment horizontal="center" vertical="center"/>
    </xf>
    <xf borderId="6" fillId="3" fontId="5" numFmtId="2" xfId="0" applyAlignment="1" applyBorder="1" applyFont="1" applyNumberFormat="1">
      <alignment horizontal="center" vertical="center"/>
    </xf>
    <xf borderId="7" fillId="4" fontId="8" numFmtId="2" xfId="0" applyAlignment="1" applyBorder="1" applyFill="1" applyFont="1" applyNumberFormat="1">
      <alignment horizontal="center" textRotation="90" vertical="center"/>
    </xf>
    <xf borderId="8" fillId="5" fontId="8" numFmtId="2" xfId="0" applyAlignment="1" applyBorder="1" applyFill="1" applyFont="1" applyNumberFormat="1">
      <alignment horizontal="center" textRotation="90" vertical="center"/>
    </xf>
    <xf borderId="9" fillId="6" fontId="8" numFmtId="2" xfId="0" applyAlignment="1" applyBorder="1" applyFill="1" applyFont="1" applyNumberFormat="1">
      <alignment horizontal="center" textRotation="90" vertical="center"/>
    </xf>
    <xf borderId="9" fillId="7" fontId="8" numFmtId="2" xfId="0" applyAlignment="1" applyBorder="1" applyFill="1" applyFont="1" applyNumberFormat="1">
      <alignment horizontal="center" textRotation="90" vertical="center"/>
    </xf>
    <xf borderId="9" fillId="8" fontId="8" numFmtId="2" xfId="0" applyAlignment="1" applyBorder="1" applyFill="1" applyFont="1" applyNumberFormat="1">
      <alignment horizontal="center" textRotation="90" vertical="center"/>
    </xf>
    <xf borderId="9" fillId="9" fontId="8" numFmtId="2" xfId="0" applyAlignment="1" applyBorder="1" applyFill="1" applyFont="1" applyNumberFormat="1">
      <alignment horizontal="center" textRotation="90" vertical="center"/>
    </xf>
    <xf borderId="9" fillId="10" fontId="8" numFmtId="2" xfId="0" applyAlignment="1" applyBorder="1" applyFill="1" applyFont="1" applyNumberFormat="1">
      <alignment horizontal="center" textRotation="90" vertical="center"/>
    </xf>
    <xf borderId="9" fillId="11" fontId="8" numFmtId="2" xfId="0" applyAlignment="1" applyBorder="1" applyFill="1" applyFont="1" applyNumberFormat="1">
      <alignment horizontal="center" textRotation="90" vertical="center"/>
    </xf>
    <xf borderId="9" fillId="12" fontId="8" numFmtId="2" xfId="0" applyAlignment="1" applyBorder="1" applyFill="1" applyFont="1" applyNumberFormat="1">
      <alignment horizontal="center" textRotation="90" vertical="center"/>
    </xf>
    <xf borderId="9" fillId="13" fontId="8" numFmtId="2" xfId="0" applyAlignment="1" applyBorder="1" applyFill="1" applyFont="1" applyNumberFormat="1">
      <alignment horizontal="center" textRotation="90" vertical="center"/>
    </xf>
    <xf borderId="8" fillId="14" fontId="8" numFmtId="2" xfId="0" applyAlignment="1" applyBorder="1" applyFill="1" applyFont="1" applyNumberFormat="1">
      <alignment horizontal="center" textRotation="90" vertical="center"/>
    </xf>
    <xf borderId="10" fillId="15" fontId="8" numFmtId="2" xfId="0" applyAlignment="1" applyBorder="1" applyFill="1" applyFont="1" applyNumberFormat="1">
      <alignment horizontal="center" textRotation="90" vertical="center"/>
    </xf>
    <xf borderId="11" fillId="16" fontId="9" numFmtId="2" xfId="0" applyAlignment="1" applyBorder="1" applyFill="1" applyFont="1" applyNumberFormat="1">
      <alignment horizontal="center" vertical="center"/>
    </xf>
    <xf borderId="12" fillId="17" fontId="10" numFmtId="1" xfId="0" applyAlignment="1" applyBorder="1" applyFill="1" applyFont="1" applyNumberFormat="1">
      <alignment horizontal="center" shrinkToFit="0" vertical="center" wrapText="1"/>
    </xf>
    <xf borderId="13" fillId="0" fontId="11" numFmtId="0" xfId="0" applyAlignment="1" applyBorder="1" applyFont="1">
      <alignment vertical="bottom"/>
    </xf>
    <xf borderId="14" fillId="0" fontId="7" numFmtId="0" xfId="0" applyAlignment="1" applyBorder="1" applyFont="1">
      <alignment vertical="center"/>
    </xf>
    <xf borderId="8" fillId="4" fontId="12" numFmtId="2" xfId="0" applyAlignment="1" applyBorder="1" applyFont="1" applyNumberFormat="1">
      <alignment horizontal="center" readingOrder="0" vertical="center"/>
    </xf>
    <xf borderId="8" fillId="5" fontId="12" numFmtId="2" xfId="0" applyAlignment="1" applyBorder="1" applyFont="1" applyNumberFormat="1">
      <alignment horizontal="center" readingOrder="0" vertical="center"/>
    </xf>
    <xf borderId="8" fillId="6" fontId="12" numFmtId="2" xfId="0" applyAlignment="1" applyBorder="1" applyFont="1" applyNumberFormat="1">
      <alignment horizontal="center" readingOrder="0" shrinkToFit="0" vertical="center" wrapText="0"/>
    </xf>
    <xf borderId="8" fillId="7" fontId="12" numFmtId="2" xfId="0" applyAlignment="1" applyBorder="1" applyFont="1" applyNumberFormat="1">
      <alignment horizontal="center" readingOrder="0" vertical="center"/>
    </xf>
    <xf borderId="8" fillId="8" fontId="12" numFmtId="2" xfId="0" applyAlignment="1" applyBorder="1" applyFont="1" applyNumberFormat="1">
      <alignment horizontal="center" readingOrder="0" vertical="center"/>
    </xf>
    <xf borderId="8" fillId="18" fontId="12" numFmtId="2" xfId="0" applyAlignment="1" applyBorder="1" applyFill="1" applyFont="1" applyNumberFormat="1">
      <alignment horizontal="center" readingOrder="0" vertical="center"/>
    </xf>
    <xf borderId="8" fillId="10" fontId="12" numFmtId="2" xfId="0" applyAlignment="1" applyBorder="1" applyFont="1" applyNumberFormat="1">
      <alignment horizontal="center" readingOrder="0" shrinkToFit="0" vertical="center" wrapText="0"/>
    </xf>
    <xf borderId="8" fillId="11" fontId="12" numFmtId="2" xfId="0" applyAlignment="1" applyBorder="1" applyFont="1" applyNumberFormat="1">
      <alignment horizontal="center" readingOrder="0" shrinkToFit="0" vertical="bottom" wrapText="0"/>
    </xf>
    <xf borderId="8" fillId="12" fontId="12" numFmtId="2" xfId="0" applyAlignment="1" applyBorder="1" applyFont="1" applyNumberFormat="1">
      <alignment horizontal="center" readingOrder="0" vertical="center"/>
    </xf>
    <xf borderId="8" fillId="13" fontId="13" numFmtId="2" xfId="0" applyAlignment="1" applyBorder="1" applyFont="1" applyNumberFormat="1">
      <alignment horizontal="center" readingOrder="0" shrinkToFit="0" vertical="center" wrapText="0"/>
    </xf>
    <xf borderId="8" fillId="14" fontId="12" numFmtId="2" xfId="0" applyAlignment="1" applyBorder="1" applyFont="1" applyNumberFormat="1">
      <alignment horizontal="center" shrinkToFit="0" vertical="center" wrapText="1"/>
    </xf>
    <xf borderId="8" fillId="15" fontId="14" numFmtId="2" xfId="0" applyAlignment="1" applyBorder="1" applyFont="1" applyNumberFormat="1">
      <alignment horizontal="center" readingOrder="0" vertical="bottom"/>
    </xf>
    <xf borderId="15" fillId="17" fontId="15" numFmtId="2" xfId="0" applyAlignment="1" applyBorder="1" applyFont="1" applyNumberFormat="1">
      <alignment readingOrder="0" shrinkToFit="0" vertical="center" wrapText="1"/>
    </xf>
    <xf borderId="16" fillId="17" fontId="11" numFmtId="0" xfId="0" applyAlignment="1" applyBorder="1" applyFont="1">
      <alignment vertical="bottom"/>
    </xf>
    <xf borderId="17" fillId="0" fontId="7" numFmtId="0" xfId="0" applyAlignment="1" applyBorder="1" applyFont="1">
      <alignment vertical="center"/>
    </xf>
    <xf borderId="8" fillId="4" fontId="13" numFmtId="2" xfId="0" applyAlignment="1" applyBorder="1" applyFont="1" applyNumberFormat="1">
      <alignment horizontal="center" readingOrder="0" vertical="center"/>
    </xf>
    <xf borderId="8" fillId="5" fontId="13" numFmtId="2" xfId="0" applyAlignment="1" applyBorder="1" applyFont="1" applyNumberFormat="1">
      <alignment horizontal="center" readingOrder="0" vertical="center"/>
    </xf>
    <xf borderId="8" fillId="7" fontId="13" numFmtId="2" xfId="0" applyAlignment="1" applyBorder="1" applyFont="1" applyNumberFormat="1">
      <alignment horizontal="center" readingOrder="0" vertical="center"/>
    </xf>
    <xf borderId="8" fillId="18" fontId="13" numFmtId="2" xfId="0" applyAlignment="1" applyBorder="1" applyFont="1" applyNumberFormat="1">
      <alignment horizontal="center" readingOrder="0" vertical="center"/>
    </xf>
    <xf borderId="0" fillId="0" fontId="16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readingOrder="0" vertical="center"/>
    </xf>
    <xf borderId="0" fillId="0" fontId="16" numFmtId="0" xfId="0" applyAlignment="1" applyFont="1">
      <alignment horizontal="right" readingOrder="0" shrinkToFit="0" vertical="bottom" wrapText="0"/>
    </xf>
    <xf borderId="18" fillId="0" fontId="11" numFmtId="0" xfId="0" applyAlignment="1" applyBorder="1" applyFont="1">
      <alignment vertical="bottom"/>
    </xf>
    <xf borderId="19" fillId="0" fontId="7" numFmtId="0" xfId="0" applyAlignment="1" applyBorder="1" applyFont="1">
      <alignment vertical="center"/>
    </xf>
    <xf borderId="0" fillId="0" fontId="17" numFmtId="0" xfId="0" applyAlignment="1" applyFont="1">
      <alignment vertical="center"/>
    </xf>
    <xf borderId="8" fillId="5" fontId="13" numFmtId="0" xfId="0" applyAlignment="1" applyBorder="1" applyFont="1">
      <alignment horizontal="center" readingOrder="0" vertical="center"/>
    </xf>
    <xf borderId="8" fillId="13" fontId="12" numFmtId="2" xfId="0" applyAlignment="1" applyBorder="1" applyFont="1" applyNumberFormat="1">
      <alignment horizontal="center" readingOrder="0" shrinkToFit="0" vertical="center" wrapText="0"/>
    </xf>
    <xf borderId="8" fillId="7" fontId="18" numFmtId="2" xfId="0" applyAlignment="1" applyBorder="1" applyFont="1" applyNumberFormat="1">
      <alignment horizontal="center" readingOrder="0" vertical="center"/>
    </xf>
    <xf borderId="20" fillId="0" fontId="10" numFmtId="1" xfId="0" applyAlignment="1" applyBorder="1" applyFont="1" applyNumberFormat="1">
      <alignment horizontal="center" shrinkToFit="0" vertical="center" wrapText="1"/>
    </xf>
    <xf borderId="8" fillId="19" fontId="12" numFmtId="2" xfId="0" applyAlignment="1" applyBorder="1" applyFill="1" applyFont="1" applyNumberFormat="1">
      <alignment horizontal="center" shrinkToFit="0" vertical="center" wrapText="1"/>
    </xf>
    <xf borderId="21" fillId="17" fontId="11" numFmtId="0" xfId="0" applyAlignment="1" applyBorder="1" applyFont="1">
      <alignment vertical="bottom"/>
    </xf>
    <xf borderId="8" fillId="17" fontId="19" numFmtId="0" xfId="0" applyAlignment="1" applyBorder="1" applyFont="1">
      <alignment horizontal="left" vertical="bottom"/>
    </xf>
    <xf borderId="8" fillId="7" fontId="20" numFmtId="2" xfId="0" applyAlignment="1" applyBorder="1" applyFont="1" applyNumberFormat="1">
      <alignment horizontal="center" readingOrder="0" vertical="center"/>
    </xf>
    <xf borderId="15" fillId="17" fontId="21" numFmtId="2" xfId="0" applyAlignment="1" applyBorder="1" applyFont="1" applyNumberFormat="1">
      <alignment readingOrder="0" shrinkToFit="0" vertical="center" wrapText="1"/>
    </xf>
    <xf borderId="18" fillId="20" fontId="11" numFmtId="0" xfId="0" applyAlignment="1" applyBorder="1" applyFill="1" applyFont="1">
      <alignment vertical="bottom"/>
    </xf>
    <xf borderId="8" fillId="21" fontId="12" numFmtId="2" xfId="0" applyAlignment="1" applyBorder="1" applyFill="1" applyFont="1" applyNumberFormat="1">
      <alignment horizontal="center" shrinkToFit="0" vertical="center" wrapText="1"/>
    </xf>
    <xf borderId="22" fillId="17" fontId="10" numFmtId="1" xfId="0" applyAlignment="1" applyBorder="1" applyFont="1" applyNumberFormat="1">
      <alignment horizontal="center" shrinkToFit="0" vertical="center" wrapText="1"/>
    </xf>
    <xf borderId="8" fillId="17" fontId="10" numFmtId="1" xfId="0" applyAlignment="1" applyBorder="1" applyFont="1" applyNumberFormat="1">
      <alignment horizontal="center" shrinkToFit="0" vertical="center" wrapText="1"/>
    </xf>
    <xf borderId="23" fillId="17" fontId="15" numFmtId="2" xfId="0" applyAlignment="1" applyBorder="1" applyFont="1" applyNumberFormat="1">
      <alignment readingOrder="0" shrinkToFit="0" vertical="center" wrapText="1"/>
    </xf>
    <xf borderId="8" fillId="17" fontId="15" numFmtId="2" xfId="0" applyAlignment="1" applyBorder="1" applyFont="1" applyNumberFormat="1">
      <alignment readingOrder="0" shrinkToFit="0" vertical="center" wrapText="1"/>
    </xf>
    <xf borderId="13" fillId="17" fontId="19" numFmtId="0" xfId="0" applyAlignment="1" applyBorder="1" applyFont="1">
      <alignment horizontal="left" vertical="bottom"/>
    </xf>
    <xf borderId="8" fillId="4" fontId="12" numFmtId="2" xfId="0" applyAlignment="1" applyBorder="1" applyFont="1" applyNumberFormat="1">
      <alignment horizontal="center" shrinkToFit="0" vertical="center" wrapText="1"/>
    </xf>
    <xf borderId="8" fillId="5" fontId="12" numFmtId="2" xfId="0" applyAlignment="1" applyBorder="1" applyFont="1" applyNumberFormat="1">
      <alignment horizontal="center" shrinkToFit="0" vertical="center" wrapText="1"/>
    </xf>
    <xf borderId="8" fillId="6" fontId="12" numFmtId="2" xfId="0" applyAlignment="1" applyBorder="1" applyFont="1" applyNumberFormat="1">
      <alignment horizontal="center" shrinkToFit="0" vertical="center" wrapText="1"/>
    </xf>
    <xf borderId="8" fillId="7" fontId="12" numFmtId="2" xfId="0" applyAlignment="1" applyBorder="1" applyFont="1" applyNumberFormat="1">
      <alignment horizontal="center" shrinkToFit="0" vertical="center" wrapText="1"/>
    </xf>
    <xf borderId="8" fillId="8" fontId="12" numFmtId="2" xfId="0" applyAlignment="1" applyBorder="1" applyFont="1" applyNumberFormat="1">
      <alignment horizontal="center" shrinkToFit="0" vertical="center" wrapText="1"/>
    </xf>
    <xf borderId="8" fillId="18" fontId="12" numFmtId="2" xfId="0" applyAlignment="1" applyBorder="1" applyFont="1" applyNumberFormat="1">
      <alignment horizontal="center" shrinkToFit="0" vertical="center" wrapText="1"/>
    </xf>
    <xf borderId="8" fillId="10" fontId="12" numFmtId="2" xfId="0" applyAlignment="1" applyBorder="1" applyFont="1" applyNumberFormat="1">
      <alignment horizontal="center" shrinkToFit="0" vertical="center" wrapText="1"/>
    </xf>
    <xf borderId="24" fillId="17" fontId="2" numFmtId="2" xfId="0" applyAlignment="1" applyBorder="1" applyFont="1" applyNumberFormat="1">
      <alignment horizontal="center" vertical="bottom"/>
    </xf>
    <xf borderId="24" fillId="17" fontId="12" numFmtId="2" xfId="0" applyAlignment="1" applyBorder="1" applyFont="1" applyNumberFormat="1">
      <alignment horizontal="center" shrinkToFit="0" vertical="center" wrapText="1"/>
    </xf>
    <xf borderId="24" fillId="17" fontId="22" numFmtId="2" xfId="0" applyAlignment="1" applyBorder="1" applyFont="1" applyNumberFormat="1">
      <alignment horizontal="center" vertical="bottom"/>
    </xf>
    <xf borderId="24" fillId="17" fontId="10" numFmtId="2" xfId="0" applyAlignment="1" applyBorder="1" applyFont="1" applyNumberFormat="1">
      <alignment shrinkToFit="0" vertical="center" wrapText="1"/>
    </xf>
    <xf borderId="24" fillId="17" fontId="10" numFmtId="1" xfId="0" applyAlignment="1" applyBorder="1" applyFont="1" applyNumberFormat="1">
      <alignment horizontal="center" shrinkToFit="0" vertical="center" wrapText="1"/>
    </xf>
    <xf borderId="24" fillId="17" fontId="19" numFmtId="0" xfId="0" applyAlignment="1" applyBorder="1" applyFont="1">
      <alignment horizontal="left" vertical="bottom"/>
    </xf>
    <xf borderId="6" fillId="17" fontId="10" numFmtId="2" xfId="0" applyAlignment="1" applyBorder="1" applyFont="1" applyNumberFormat="1">
      <alignment shrinkToFit="0" vertical="center" wrapText="1"/>
    </xf>
    <xf borderId="6" fillId="17" fontId="23" numFmtId="2" xfId="0" applyAlignment="1" applyBorder="1" applyFont="1" applyNumberFormat="1">
      <alignment horizontal="center" vertical="center"/>
    </xf>
    <xf borderId="6" fillId="17" fontId="23" numFmtId="2" xfId="0" applyAlignment="1" applyBorder="1" applyFont="1" applyNumberFormat="1">
      <alignment horizontal="center" vertical="bottom"/>
    </xf>
    <xf borderId="6" fillId="17" fontId="10" numFmtId="2" xfId="0" applyAlignment="1" applyBorder="1" applyFont="1" applyNumberFormat="1">
      <alignment horizontal="center" shrinkToFit="0" vertical="center" wrapText="1"/>
    </xf>
    <xf borderId="6" fillId="17" fontId="22" numFmtId="2" xfId="0" applyAlignment="1" applyBorder="1" applyFont="1" applyNumberFormat="1">
      <alignment horizontal="center" vertical="bottom"/>
    </xf>
    <xf borderId="6" fillId="17" fontId="15" numFmtId="2" xfId="0" applyAlignment="1" applyBorder="1" applyFont="1" applyNumberFormat="1">
      <alignment horizontal="center" shrinkToFit="0" vertical="center" wrapText="1"/>
    </xf>
    <xf borderId="6" fillId="17" fontId="10" numFmtId="1" xfId="0" applyAlignment="1" applyBorder="1" applyFont="1" applyNumberFormat="1">
      <alignment horizontal="center" shrinkToFit="0" vertical="center" wrapText="1"/>
    </xf>
    <xf borderId="1" fillId="17" fontId="19" numFmtId="0" xfId="0" applyAlignment="1" applyBorder="1" applyFont="1">
      <alignment horizontal="left" vertical="bottom"/>
    </xf>
    <xf borderId="1" fillId="17" fontId="15" numFmtId="0" xfId="0" applyAlignment="1" applyBorder="1" applyFont="1">
      <alignment horizontal="left" readingOrder="0" vertical="bottom"/>
    </xf>
    <xf borderId="20" fillId="17" fontId="15" numFmtId="2" xfId="0" applyAlignment="1" applyBorder="1" applyFont="1" applyNumberFormat="1">
      <alignment shrinkToFit="0" vertical="center" wrapText="1"/>
    </xf>
    <xf borderId="25" fillId="0" fontId="7" numFmtId="0" xfId="0" applyAlignment="1" applyBorder="1" applyFont="1">
      <alignment vertical="center"/>
    </xf>
    <xf borderId="15" fillId="0" fontId="7" numFmtId="0" xfId="0" applyAlignment="1" applyBorder="1" applyFont="1">
      <alignment vertical="center"/>
    </xf>
    <xf borderId="4" fillId="17" fontId="10" numFmtId="2" xfId="0" applyAlignment="1" applyBorder="1" applyFont="1" applyNumberFormat="1">
      <alignment shrinkToFit="0" vertical="center" wrapText="1"/>
    </xf>
    <xf borderId="6" fillId="17" fontId="5" numFmtId="0" xfId="0" applyAlignment="1" applyBorder="1" applyFont="1">
      <alignment vertical="bottom"/>
    </xf>
    <xf borderId="6" fillId="17" fontId="15" numFmtId="2" xfId="0" applyAlignment="1" applyBorder="1" applyFont="1" applyNumberFormat="1">
      <alignment shrinkToFit="0" vertical="center" wrapText="1"/>
    </xf>
    <xf borderId="1" fillId="17" fontId="24" numFmtId="0" xfId="0" applyAlignment="1" applyBorder="1" applyFont="1">
      <alignment horizontal="left" shrinkToFit="0" vertical="center" wrapText="1"/>
    </xf>
    <xf borderId="1" fillId="17" fontId="25" numFmtId="2" xfId="0" applyAlignment="1" applyBorder="1" applyFont="1" applyNumberFormat="1">
      <alignment horizontal="center" shrinkToFit="0" vertical="center" wrapText="1"/>
    </xf>
    <xf borderId="26" fillId="3" fontId="5" numFmtId="2" xfId="0" applyAlignment="1" applyBorder="1" applyFont="1" applyNumberFormat="1">
      <alignment readingOrder="0" vertical="center"/>
    </xf>
    <xf borderId="27" fillId="0" fontId="11" numFmtId="0" xfId="0" applyAlignment="1" applyBorder="1" applyFont="1">
      <alignment vertical="bottom"/>
    </xf>
    <xf borderId="28" fillId="0" fontId="11" numFmtId="0" xfId="0" applyAlignment="1" applyBorder="1" applyFont="1">
      <alignment vertical="bottom"/>
    </xf>
    <xf borderId="8" fillId="5" fontId="18" numFmtId="2" xfId="0" applyAlignment="1" applyBorder="1" applyFont="1" applyNumberFormat="1">
      <alignment horizontal="center" readingOrder="0" vertical="center"/>
    </xf>
    <xf borderId="8" fillId="22" fontId="12" numFmtId="2" xfId="0" applyAlignment="1" applyBorder="1" applyFill="1" applyFont="1" applyNumberFormat="1">
      <alignment horizontal="center" readingOrder="0" vertical="center"/>
    </xf>
    <xf borderId="8" fillId="8" fontId="12" numFmtId="2" xfId="0" applyAlignment="1" applyBorder="1" applyFont="1" applyNumberFormat="1">
      <alignment horizontal="center" readingOrder="0" shrinkToFit="0" vertical="center" wrapText="0"/>
    </xf>
    <xf borderId="8" fillId="23" fontId="12" numFmtId="2" xfId="0" applyAlignment="1" applyBorder="1" applyFill="1" applyFont="1" applyNumberFormat="1">
      <alignment horizontal="center" readingOrder="0" vertical="center"/>
    </xf>
    <xf borderId="29" fillId="12" fontId="12" numFmtId="2" xfId="0" applyAlignment="1" applyBorder="1" applyFont="1" applyNumberFormat="1">
      <alignment horizontal="center" readingOrder="0" shrinkToFit="0" vertical="center" wrapText="0"/>
    </xf>
    <xf borderId="8" fillId="15" fontId="12" numFmtId="2" xfId="0" applyAlignment="1" applyBorder="1" applyFont="1" applyNumberFormat="1">
      <alignment horizontal="center" readingOrder="0" shrinkToFit="0" vertical="center" wrapText="1"/>
    </xf>
    <xf borderId="30" fillId="17" fontId="15" numFmtId="2" xfId="0" applyAlignment="1" applyBorder="1" applyFont="1" applyNumberFormat="1">
      <alignment readingOrder="0" shrinkToFit="0" vertical="center" wrapText="1"/>
    </xf>
    <xf borderId="31" fillId="0" fontId="11" numFmtId="0" xfId="0" applyAlignment="1" applyBorder="1" applyFont="1">
      <alignment vertical="bottom"/>
    </xf>
    <xf borderId="32" fillId="0" fontId="7" numFmtId="0" xfId="0" applyAlignment="1" applyBorder="1" applyFont="1">
      <alignment vertical="center"/>
    </xf>
    <xf borderId="8" fillId="22" fontId="13" numFmtId="2" xfId="0" applyAlignment="1" applyBorder="1" applyFont="1" applyNumberFormat="1">
      <alignment horizontal="center" readingOrder="0" vertical="center"/>
    </xf>
    <xf borderId="8" fillId="23" fontId="13" numFmtId="2" xfId="0" applyAlignment="1" applyBorder="1" applyFont="1" applyNumberFormat="1">
      <alignment horizontal="center" readingOrder="0" vertical="center"/>
    </xf>
    <xf borderId="8" fillId="10" fontId="13" numFmtId="2" xfId="0" applyAlignment="1" applyBorder="1" applyFont="1" applyNumberFormat="1">
      <alignment horizontal="center" readingOrder="0" shrinkToFit="0" vertical="center" wrapText="0"/>
    </xf>
    <xf borderId="28" fillId="0" fontId="7" numFmtId="0" xfId="0" applyAlignment="1" applyBorder="1" applyFont="1">
      <alignment vertical="center"/>
    </xf>
    <xf borderId="8" fillId="5" fontId="18" numFmtId="0" xfId="0" applyAlignment="1" applyBorder="1" applyFont="1">
      <alignment horizontal="center" readingOrder="0" vertical="center"/>
    </xf>
    <xf borderId="8" fillId="6" fontId="12" numFmtId="2" xfId="0" applyAlignment="1" applyBorder="1" applyFont="1" applyNumberFormat="1">
      <alignment horizontal="center" readingOrder="0" vertical="center"/>
    </xf>
    <xf borderId="30" fillId="17" fontId="21" numFmtId="2" xfId="0" applyAlignment="1" applyBorder="1" applyFont="1" applyNumberFormat="1">
      <alignment readingOrder="0" shrinkToFit="0" vertical="center" wrapText="1"/>
    </xf>
    <xf borderId="33" fillId="17" fontId="10" numFmtId="1" xfId="0" applyAlignment="1" applyBorder="1" applyFont="1" applyNumberFormat="1">
      <alignment horizontal="center" shrinkToFit="0" vertical="center" wrapText="1"/>
    </xf>
    <xf borderId="34" fillId="17" fontId="11" numFmtId="0" xfId="0" applyAlignment="1" applyBorder="1" applyFont="1">
      <alignment vertical="bottom"/>
    </xf>
    <xf borderId="35" fillId="0" fontId="7" numFmtId="0" xfId="0" applyAlignment="1" applyBorder="1" applyFont="1">
      <alignment vertical="center"/>
    </xf>
    <xf borderId="8" fillId="23" fontId="12" numFmtId="2" xfId="0" applyAlignment="1" applyBorder="1" applyFont="1" applyNumberFormat="1">
      <alignment horizontal="center" readingOrder="0" vertical="bottom"/>
    </xf>
    <xf borderId="36" fillId="0" fontId="11" numFmtId="0" xfId="0" applyAlignment="1" applyBorder="1" applyFont="1">
      <alignment vertical="bottom"/>
    </xf>
    <xf borderId="37" fillId="0" fontId="7" numFmtId="0" xfId="0" applyAlignment="1" applyBorder="1" applyFont="1">
      <alignment vertical="center"/>
    </xf>
    <xf borderId="38" fillId="0" fontId="5" numFmtId="0" xfId="0" applyAlignment="1" applyBorder="1" applyFont="1">
      <alignment vertical="bottom"/>
    </xf>
    <xf borderId="8" fillId="4" fontId="12" numFmtId="2" xfId="0" applyAlignment="1" applyBorder="1" applyFont="1" applyNumberFormat="1">
      <alignment horizontal="center" readingOrder="0" shrinkToFit="0" vertical="center" wrapText="1"/>
    </xf>
    <xf borderId="8" fillId="22" fontId="12" numFmtId="2" xfId="0" applyAlignment="1" applyBorder="1" applyFont="1" applyNumberFormat="1">
      <alignment horizontal="center" shrinkToFit="0" vertical="center" wrapText="1"/>
    </xf>
    <xf borderId="8" fillId="23" fontId="12" numFmtId="2" xfId="0" applyAlignment="1" applyBorder="1" applyFont="1" applyNumberFormat="1">
      <alignment horizontal="center" shrinkToFit="0" vertical="center" wrapText="1"/>
    </xf>
    <xf borderId="39" fillId="20" fontId="12" numFmtId="2" xfId="0" applyAlignment="1" applyBorder="1" applyFont="1" applyNumberFormat="1">
      <alignment horizontal="center" shrinkToFit="0" vertical="center" wrapText="1"/>
    </xf>
    <xf borderId="4" fillId="20" fontId="12" numFmtId="2" xfId="0" applyAlignment="1" applyBorder="1" applyFont="1" applyNumberFormat="1">
      <alignment horizontal="center" shrinkToFit="0" vertical="center" wrapText="1"/>
    </xf>
    <xf borderId="40" fillId="20" fontId="12" numFmtId="2" xfId="0" applyAlignment="1" applyBorder="1" applyFont="1" applyNumberFormat="1">
      <alignment horizontal="center" shrinkToFit="0" vertical="center" wrapText="1"/>
    </xf>
    <xf borderId="20" fillId="0" fontId="5" numFmtId="0" xfId="0" applyAlignment="1" applyBorder="1" applyFont="1">
      <alignment vertical="bottom"/>
    </xf>
    <xf borderId="40" fillId="17" fontId="10" numFmtId="1" xfId="0" applyAlignment="1" applyBorder="1" applyFont="1" applyNumberFormat="1">
      <alignment horizontal="center" shrinkToFit="0" vertical="center" wrapText="1"/>
    </xf>
    <xf borderId="38" fillId="17" fontId="24" numFmtId="0" xfId="0" applyAlignment="1" applyBorder="1" applyFont="1">
      <alignment horizontal="left" shrinkToFit="0" vertical="center" wrapText="1"/>
    </xf>
    <xf borderId="41" fillId="0" fontId="7" numFmtId="0" xfId="0" applyAlignment="1" applyBorder="1" applyFont="1">
      <alignment vertical="center"/>
    </xf>
    <xf borderId="42" fillId="17" fontId="10" numFmtId="2" xfId="0" applyAlignment="1" applyBorder="1" applyFont="1" applyNumberFormat="1">
      <alignment shrinkToFit="0" vertical="center" wrapText="1"/>
    </xf>
    <xf borderId="43" fillId="17" fontId="23" numFmtId="2" xfId="0" applyAlignment="1" applyBorder="1" applyFont="1" applyNumberFormat="1">
      <alignment horizontal="center" vertical="center"/>
    </xf>
    <xf borderId="42" fillId="17" fontId="10" numFmtId="2" xfId="0" applyAlignment="1" applyBorder="1" applyFont="1" applyNumberFormat="1">
      <alignment horizontal="center" shrinkToFit="0" vertical="center" wrapText="1"/>
    </xf>
    <xf borderId="4" fillId="17" fontId="10" numFmtId="2" xfId="0" applyAlignment="1" applyBorder="1" applyFont="1" applyNumberFormat="1">
      <alignment horizontal="center" shrinkToFit="0" vertical="center" wrapText="1"/>
    </xf>
    <xf borderId="44" fillId="17" fontId="10" numFmtId="2" xfId="0" applyAlignment="1" applyBorder="1" applyFont="1" applyNumberFormat="1">
      <alignment shrinkToFit="0" vertical="center" wrapText="1"/>
    </xf>
    <xf borderId="12" fillId="17" fontId="10" numFmtId="2" xfId="0" applyAlignment="1" applyBorder="1" applyFont="1" applyNumberFormat="1">
      <alignment horizontal="center" shrinkToFit="0" vertical="center" wrapText="1"/>
    </xf>
    <xf borderId="20" fillId="17" fontId="10" numFmtId="1" xfId="0" applyAlignment="1" applyBorder="1" applyFont="1" applyNumberFormat="1">
      <alignment horizontal="center" shrinkToFit="0" vertical="center" wrapText="1"/>
    </xf>
    <xf borderId="25" fillId="17" fontId="15" numFmtId="2" xfId="0" applyAlignment="1" applyBorder="1" applyFont="1" applyNumberFormat="1">
      <alignment shrinkToFit="0" vertical="center" wrapText="1"/>
    </xf>
    <xf borderId="45" fillId="0" fontId="5" numFmtId="0" xfId="0" applyAlignment="1" applyBorder="1" applyFont="1">
      <alignment vertical="bottom"/>
    </xf>
    <xf borderId="0" fillId="0" fontId="26" numFmtId="0" xfId="0" applyAlignment="1" applyFont="1">
      <alignment horizontal="center" readingOrder="0" shrinkToFit="0" vertical="center" wrapText="1"/>
    </xf>
    <xf borderId="26" fillId="3" fontId="5" numFmtId="2" xfId="0" applyAlignment="1" applyBorder="1" applyFont="1" applyNumberFormat="1">
      <alignment vertical="center"/>
    </xf>
    <xf borderId="7" fillId="4" fontId="19" numFmtId="2" xfId="0" applyAlignment="1" applyBorder="1" applyFont="1" applyNumberFormat="1">
      <alignment horizontal="center" textRotation="90" vertical="center"/>
    </xf>
    <xf borderId="8" fillId="0" fontId="11" numFmtId="0" xfId="0" applyAlignment="1" applyBorder="1" applyFont="1">
      <alignment vertical="bottom"/>
    </xf>
    <xf borderId="20" fillId="0" fontId="11" numFmtId="0" xfId="0" applyAlignment="1" applyBorder="1" applyFont="1">
      <alignment vertical="bottom"/>
    </xf>
    <xf borderId="8" fillId="4" fontId="12" numFmtId="2" xfId="0" applyAlignment="1" applyBorder="1" applyFont="1" applyNumberFormat="1">
      <alignment horizontal="center" readingOrder="0" vertical="bottom"/>
    </xf>
    <xf borderId="8" fillId="5" fontId="12" numFmtId="2" xfId="0" applyAlignment="1" applyBorder="1" applyFont="1" applyNumberFormat="1">
      <alignment horizontal="center" readingOrder="0" shrinkToFit="0" vertical="center" wrapText="0"/>
    </xf>
    <xf borderId="8" fillId="8" fontId="12" numFmtId="0" xfId="0" applyAlignment="1" applyBorder="1" applyFont="1">
      <alignment horizontal="center" readingOrder="0" vertical="bottom"/>
    </xf>
    <xf borderId="8" fillId="3" fontId="12" numFmtId="2" xfId="0" applyAlignment="1" applyBorder="1" applyFont="1" applyNumberFormat="1">
      <alignment horizontal="center" readingOrder="0" vertical="center"/>
    </xf>
    <xf borderId="8" fillId="11" fontId="12" numFmtId="2" xfId="0" applyAlignment="1" applyBorder="1" applyFont="1" applyNumberFormat="1">
      <alignment horizontal="center" readingOrder="0" vertical="center"/>
    </xf>
    <xf borderId="8" fillId="12" fontId="12" numFmtId="2" xfId="0" applyAlignment="1" applyBorder="1" applyFont="1" applyNumberFormat="1">
      <alignment horizontal="center" readingOrder="0" shrinkToFit="0" vertical="center" wrapText="0"/>
    </xf>
    <xf borderId="8" fillId="15" fontId="12" numFmtId="2" xfId="0" applyAlignment="1" applyBorder="1" applyFont="1" applyNumberFormat="1">
      <alignment horizontal="center" readingOrder="0" vertical="center"/>
    </xf>
    <xf borderId="8" fillId="8" fontId="12" numFmtId="2" xfId="0" applyAlignment="1" applyBorder="1" applyFont="1" applyNumberFormat="1">
      <alignment horizontal="center" readingOrder="0" vertical="bottom"/>
    </xf>
    <xf borderId="8" fillId="3" fontId="13" numFmtId="2" xfId="0" applyAlignment="1" applyBorder="1" applyFont="1" applyNumberFormat="1">
      <alignment horizontal="center" readingOrder="0" vertical="center"/>
    </xf>
    <xf borderId="8" fillId="11" fontId="27" numFmtId="2" xfId="0" applyAlignment="1" applyBorder="1" applyFont="1" applyNumberFormat="1">
      <alignment horizontal="center" readingOrder="0" vertical="center"/>
    </xf>
    <xf borderId="8" fillId="17" fontId="15" numFmtId="1" xfId="0" applyAlignment="1" applyBorder="1" applyFont="1" applyNumberFormat="1">
      <alignment horizontal="center" readingOrder="0" shrinkToFit="0" vertical="center" wrapText="1"/>
    </xf>
    <xf borderId="8" fillId="6" fontId="12" numFmtId="0" xfId="0" applyAlignment="1" applyBorder="1" applyFont="1">
      <alignment horizontal="center" readingOrder="0" shrinkToFit="0" vertical="center" wrapText="0"/>
    </xf>
    <xf borderId="0" fillId="0" fontId="17" numFmtId="164" xfId="0" applyAlignment="1" applyFont="1" applyNumberFormat="1">
      <alignment readingOrder="0" vertical="center"/>
    </xf>
    <xf borderId="8" fillId="8" fontId="13" numFmtId="2" xfId="0" applyAlignment="1" applyBorder="1" applyFont="1" applyNumberFormat="1">
      <alignment horizontal="center" readingOrder="0" vertical="center"/>
    </xf>
    <xf borderId="8" fillId="17" fontId="21" numFmtId="2" xfId="0" applyAlignment="1" applyBorder="1" applyFont="1" applyNumberFormat="1">
      <alignment readingOrder="0" shrinkToFit="0" vertical="center" wrapText="1"/>
    </xf>
    <xf borderId="8" fillId="8" fontId="12" numFmtId="0" xfId="0" applyAlignment="1" applyBorder="1" applyFont="1">
      <alignment horizontal="center" readingOrder="0" vertical="center"/>
    </xf>
    <xf borderId="8" fillId="8" fontId="13" numFmtId="0" xfId="0" applyAlignment="1" applyBorder="1" applyFont="1">
      <alignment horizontal="center" readingOrder="0" vertical="center"/>
    </xf>
    <xf borderId="8" fillId="3" fontId="12" numFmtId="2" xfId="0" applyAlignment="1" applyBorder="1" applyFont="1" applyNumberFormat="1">
      <alignment horizontal="center" readingOrder="0" shrinkToFit="0" vertical="center" wrapText="1"/>
    </xf>
    <xf borderId="8" fillId="10" fontId="12" numFmtId="0" xfId="0" applyAlignment="1" applyBorder="1" applyFont="1">
      <alignment horizontal="center" readingOrder="0" shrinkToFit="0" vertical="center" wrapText="0"/>
    </xf>
    <xf borderId="8" fillId="9" fontId="12" numFmtId="2" xfId="0" applyAlignment="1" applyBorder="1" applyFont="1" applyNumberFormat="1">
      <alignment horizontal="center" readingOrder="0" shrinkToFit="0" vertical="center" wrapText="1"/>
    </xf>
    <xf borderId="8" fillId="11" fontId="12" numFmtId="2" xfId="0" applyAlignment="1" applyBorder="1" applyFont="1" applyNumberFormat="1">
      <alignment horizontal="center" readingOrder="0" shrinkToFit="0" vertical="center" wrapText="1"/>
    </xf>
    <xf borderId="8" fillId="9" fontId="12" numFmtId="2" xfId="0" applyAlignment="1" applyBorder="1" applyFont="1" applyNumberFormat="1">
      <alignment horizontal="center" shrinkToFit="0" vertical="center" wrapText="1"/>
    </xf>
    <xf borderId="8" fillId="17" fontId="12" numFmtId="2" xfId="0" applyAlignment="1" applyBorder="1" applyFont="1" applyNumberFormat="1">
      <alignment horizontal="center" shrinkToFit="0" vertical="center" wrapText="1"/>
    </xf>
    <xf borderId="8" fillId="20" fontId="12" numFmtId="2" xfId="0" applyAlignment="1" applyBorder="1" applyFont="1" applyNumberFormat="1">
      <alignment horizontal="center" shrinkToFit="0" vertical="center" wrapText="1"/>
    </xf>
    <xf borderId="8" fillId="20" fontId="12" numFmtId="2" xfId="0" applyAlignment="1" applyBorder="1" applyFont="1" applyNumberFormat="1">
      <alignment horizontal="center" readingOrder="0" shrinkToFit="0" vertical="center" wrapText="1"/>
    </xf>
    <xf borderId="46" fillId="17" fontId="10" numFmtId="2" xfId="0" applyAlignment="1" applyBorder="1" applyFont="1" applyNumberFormat="1">
      <alignment shrinkToFit="0" vertical="center" wrapText="1"/>
    </xf>
    <xf borderId="20" fillId="17" fontId="24" numFmtId="0" xfId="0" applyAlignment="1" applyBorder="1" applyFont="1">
      <alignment horizontal="left" shrinkToFit="0" vertical="center" wrapText="1"/>
    </xf>
    <xf borderId="42" fillId="20" fontId="10" numFmtId="2" xfId="0" applyAlignment="1" applyBorder="1" applyFont="1" applyNumberFormat="1">
      <alignment shrinkToFit="0" vertical="center" wrapText="1"/>
    </xf>
    <xf borderId="42" fillId="20" fontId="10" numFmtId="2" xfId="0" applyAlignment="1" applyBorder="1" applyFont="1" applyNumberFormat="1">
      <alignment horizontal="center" shrinkToFit="0" vertical="center" wrapText="1"/>
    </xf>
    <xf borderId="40" fillId="20" fontId="10" numFmtId="2" xfId="0" applyAlignment="1" applyBorder="1" applyFont="1" applyNumberFormat="1">
      <alignment horizontal="center" shrinkToFit="0" vertical="center" wrapText="1"/>
    </xf>
    <xf borderId="4" fillId="20" fontId="10" numFmtId="2" xfId="0" applyAlignment="1" applyBorder="1" applyFont="1" applyNumberFormat="1">
      <alignment shrinkToFit="0" vertical="center" wrapText="1"/>
    </xf>
    <xf borderId="4" fillId="20" fontId="10" numFmtId="2" xfId="0" applyAlignment="1" applyBorder="1" applyFont="1" applyNumberFormat="1">
      <alignment horizontal="center" shrinkToFit="0" vertical="center" wrapText="1"/>
    </xf>
    <xf borderId="44" fillId="20" fontId="10" numFmtId="2" xfId="0" applyAlignment="1" applyBorder="1" applyFont="1" applyNumberFormat="1">
      <alignment shrinkToFit="0" vertical="center" wrapText="1"/>
    </xf>
    <xf borderId="12" fillId="20" fontId="10" numFmtId="2" xfId="0" applyAlignment="1" applyBorder="1" applyFont="1" applyNumberFormat="1">
      <alignment horizontal="center" shrinkToFit="0" vertical="center" wrapText="1"/>
    </xf>
    <xf borderId="8" fillId="3" fontId="5" numFmtId="2" xfId="0" applyAlignment="1" applyBorder="1" applyFont="1" applyNumberFormat="1">
      <alignment vertical="center"/>
    </xf>
    <xf borderId="13" fillId="3" fontId="5" numFmtId="2" xfId="0" applyAlignment="1" applyBorder="1" applyFont="1" applyNumberFormat="1">
      <alignment horizontal="center" vertical="center"/>
    </xf>
    <xf borderId="7" fillId="4" fontId="4" numFmtId="2" xfId="0" applyAlignment="1" applyBorder="1" applyFont="1" applyNumberFormat="1">
      <alignment horizontal="center" textRotation="90" vertical="center"/>
    </xf>
    <xf borderId="8" fillId="5" fontId="4" numFmtId="2" xfId="0" applyAlignment="1" applyBorder="1" applyFont="1" applyNumberFormat="1">
      <alignment horizontal="center" textRotation="90" vertical="center"/>
    </xf>
    <xf borderId="9" fillId="6" fontId="4" numFmtId="2" xfId="0" applyAlignment="1" applyBorder="1" applyFont="1" applyNumberFormat="1">
      <alignment horizontal="center" textRotation="90" vertical="center"/>
    </xf>
    <xf borderId="9" fillId="7" fontId="4" numFmtId="2" xfId="0" applyAlignment="1" applyBorder="1" applyFont="1" applyNumberFormat="1">
      <alignment horizontal="center" textRotation="90" vertical="center"/>
    </xf>
    <xf borderId="9" fillId="8" fontId="4" numFmtId="2" xfId="0" applyAlignment="1" applyBorder="1" applyFont="1" applyNumberFormat="1">
      <alignment horizontal="center" textRotation="90" vertical="center"/>
    </xf>
    <xf borderId="9" fillId="9" fontId="4" numFmtId="2" xfId="0" applyAlignment="1" applyBorder="1" applyFont="1" applyNumberFormat="1">
      <alignment horizontal="center" textRotation="90" vertical="center"/>
    </xf>
    <xf borderId="9" fillId="10" fontId="4" numFmtId="2" xfId="0" applyAlignment="1" applyBorder="1" applyFont="1" applyNumberFormat="1">
      <alignment horizontal="center" textRotation="90" vertical="center"/>
    </xf>
    <xf borderId="9" fillId="11" fontId="4" numFmtId="2" xfId="0" applyAlignment="1" applyBorder="1" applyFont="1" applyNumberFormat="1">
      <alignment horizontal="center" textRotation="90" vertical="center"/>
    </xf>
    <xf borderId="9" fillId="12" fontId="4" numFmtId="2" xfId="0" applyAlignment="1" applyBorder="1" applyFont="1" applyNumberFormat="1">
      <alignment horizontal="center" textRotation="90" vertical="center"/>
    </xf>
    <xf borderId="9" fillId="13" fontId="4" numFmtId="2" xfId="0" applyAlignment="1" applyBorder="1" applyFont="1" applyNumberFormat="1">
      <alignment horizontal="center" textRotation="90" vertical="center"/>
    </xf>
    <xf borderId="8" fillId="14" fontId="4" numFmtId="2" xfId="0" applyAlignment="1" applyBorder="1" applyFont="1" applyNumberFormat="1">
      <alignment horizontal="center" textRotation="90" vertical="center"/>
    </xf>
    <xf borderId="10" fillId="15" fontId="28" numFmtId="2" xfId="0" applyAlignment="1" applyBorder="1" applyFont="1" applyNumberFormat="1">
      <alignment horizontal="center" readingOrder="0" textRotation="90" vertical="center"/>
    </xf>
    <xf borderId="47" fillId="17" fontId="19" numFmtId="0" xfId="0" applyAlignment="1" applyBorder="1" applyFont="1">
      <alignment vertical="bottom"/>
    </xf>
    <xf borderId="48" fillId="0" fontId="7" numFmtId="0" xfId="0" applyAlignment="1" applyBorder="1" applyFont="1">
      <alignment vertical="center"/>
    </xf>
    <xf borderId="8" fillId="9" fontId="12" numFmtId="2" xfId="0" applyAlignment="1" applyBorder="1" applyFont="1" applyNumberFormat="1">
      <alignment horizontal="center" readingOrder="0" vertical="center"/>
    </xf>
    <xf borderId="8" fillId="24" fontId="12" numFmtId="2" xfId="0" applyAlignment="1" applyBorder="1" applyFill="1" applyFont="1" applyNumberFormat="1">
      <alignment horizontal="center" readingOrder="0" vertical="center"/>
    </xf>
    <xf borderId="8" fillId="12" fontId="12" numFmtId="2" xfId="0" applyAlignment="1" applyBorder="1" applyFont="1" applyNumberFormat="1">
      <alignment horizontal="center" readingOrder="0" shrinkToFit="0" vertical="center" wrapText="1"/>
    </xf>
    <xf borderId="8" fillId="15" fontId="29" numFmtId="2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49" fillId="17" fontId="19" numFmtId="0" xfId="0" applyAlignment="1" applyBorder="1" applyFont="1">
      <alignment vertical="bottom"/>
    </xf>
    <xf borderId="20" fillId="17" fontId="19" numFmtId="0" xfId="0" applyAlignment="1" applyBorder="1" applyFont="1">
      <alignment vertical="bottom"/>
    </xf>
    <xf borderId="8" fillId="9" fontId="13" numFmtId="2" xfId="0" applyAlignment="1" applyBorder="1" applyFont="1" applyNumberFormat="1">
      <alignment horizontal="center" readingOrder="0" vertical="center"/>
    </xf>
    <xf borderId="8" fillId="17" fontId="15" numFmtId="1" xfId="0" applyAlignment="1" applyBorder="1" applyFont="1" applyNumberFormat="1">
      <alignment horizontal="center" shrinkToFit="0" vertical="center" wrapText="1"/>
    </xf>
    <xf borderId="8" fillId="24" fontId="27" numFmtId="2" xfId="0" applyAlignment="1" applyBorder="1" applyFont="1" applyNumberFormat="1">
      <alignment horizontal="center" readingOrder="0" vertical="center"/>
    </xf>
    <xf borderId="8" fillId="0" fontId="5" numFmtId="0" xfId="0" applyAlignment="1" applyBorder="1" applyFont="1">
      <alignment readingOrder="0" vertical="bottom"/>
    </xf>
    <xf borderId="8" fillId="0" fontId="18" numFmtId="0" xfId="0" applyAlignment="1" applyBorder="1" applyFont="1">
      <alignment horizontal="center" vertical="center"/>
    </xf>
    <xf borderId="8" fillId="0" fontId="18" numFmtId="0" xfId="0" applyAlignment="1" applyBorder="1" applyFont="1">
      <alignment vertical="center"/>
    </xf>
    <xf borderId="20" fillId="17" fontId="30" numFmtId="2" xfId="0" applyAlignment="1" applyBorder="1" applyFont="1" applyNumberFormat="1">
      <alignment shrinkToFit="0" vertical="center" wrapText="1"/>
    </xf>
    <xf borderId="4" fillId="17" fontId="6" numFmtId="2" xfId="0" applyAlignment="1" applyBorder="1" applyFont="1" applyNumberFormat="1">
      <alignment vertical="center"/>
    </xf>
    <xf borderId="1" fillId="20" fontId="1" numFmtId="0" xfId="0" applyAlignment="1" applyBorder="1" applyFont="1">
      <alignment horizontal="center" readingOrder="0" shrinkToFit="0" vertical="center" wrapText="1"/>
    </xf>
    <xf borderId="8" fillId="17" fontId="19" numFmtId="0" xfId="0" applyAlignment="1" applyBorder="1" applyFont="1">
      <alignment vertical="bottom"/>
    </xf>
    <xf borderId="8" fillId="13" fontId="12" numFmtId="2" xfId="0" applyAlignment="1" applyBorder="1" applyFont="1" applyNumberFormat="1">
      <alignment horizontal="center" readingOrder="0" vertical="center"/>
    </xf>
    <xf borderId="8" fillId="17" fontId="19" numFmtId="2" xfId="0" applyAlignment="1" applyBorder="1" applyFont="1" applyNumberFormat="1">
      <alignment readingOrder="0" shrinkToFit="0" vertical="center" wrapText="1"/>
    </xf>
    <xf borderId="8" fillId="13" fontId="13" numFmtId="2" xfId="0" applyAlignment="1" applyBorder="1" applyFont="1" applyNumberFormat="1">
      <alignment horizontal="center" readingOrder="0" vertical="center"/>
    </xf>
    <xf borderId="0" fillId="0" fontId="14" numFmtId="0" xfId="0" applyAlignment="1" applyFont="1">
      <alignment readingOrder="0" shrinkToFit="0" vertical="bottom" wrapText="0"/>
    </xf>
    <xf borderId="8" fillId="0" fontId="10" numFmtId="1" xfId="0" applyAlignment="1" applyBorder="1" applyFont="1" applyNumberFormat="1">
      <alignment horizontal="center" shrinkToFit="0" vertical="center" wrapText="1"/>
    </xf>
    <xf borderId="8" fillId="4" fontId="19" numFmtId="2" xfId="0" applyAlignment="1" applyBorder="1" applyFont="1" applyNumberFormat="1">
      <alignment horizontal="center" shrinkToFit="0" vertical="center" wrapText="1"/>
    </xf>
    <xf borderId="8" fillId="5" fontId="19" numFmtId="2" xfId="0" applyAlignment="1" applyBorder="1" applyFont="1" applyNumberFormat="1">
      <alignment horizontal="center" shrinkToFit="0" vertical="center" wrapText="1"/>
    </xf>
    <xf borderId="8" fillId="6" fontId="19" numFmtId="2" xfId="0" applyAlignment="1" applyBorder="1" applyFont="1" applyNumberFormat="1">
      <alignment horizontal="center" shrinkToFit="0" vertical="center" wrapText="1"/>
    </xf>
    <xf borderId="8" fillId="7" fontId="19" numFmtId="2" xfId="0" applyAlignment="1" applyBorder="1" applyFont="1" applyNumberFormat="1">
      <alignment horizontal="center" shrinkToFit="0" vertical="center" wrapText="1"/>
    </xf>
    <xf borderId="8" fillId="8" fontId="19" numFmtId="2" xfId="0" applyAlignment="1" applyBorder="1" applyFont="1" applyNumberFormat="1">
      <alignment horizontal="center" shrinkToFit="0" vertical="center" wrapText="1"/>
    </xf>
    <xf borderId="8" fillId="9" fontId="19" numFmtId="2" xfId="0" applyAlignment="1" applyBorder="1" applyFont="1" applyNumberFormat="1">
      <alignment horizontal="center" shrinkToFit="0" vertical="center" wrapText="1"/>
    </xf>
    <xf borderId="8" fillId="25" fontId="19" numFmtId="2" xfId="0" applyAlignment="1" applyBorder="1" applyFill="1" applyFont="1" applyNumberForma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8" fillId="14" fontId="19" numFmtId="2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vertical="center"/>
    </xf>
    <xf borderId="45" fillId="0" fontId="19" numFmtId="0" xfId="0" applyAlignment="1" applyBorder="1" applyFont="1">
      <alignment vertical="bottom"/>
    </xf>
    <xf borderId="0" fillId="0" fontId="31" numFmtId="0" xfId="0" applyAlignment="1" applyFont="1">
      <alignment vertical="center"/>
    </xf>
    <xf borderId="8" fillId="17" fontId="32" numFmtId="0" xfId="0" applyAlignment="1" applyBorder="1" applyFont="1">
      <alignment vertical="bottom"/>
    </xf>
    <xf borderId="8" fillId="24" fontId="12" numFmtId="2" xfId="0" applyAlignment="1" applyBorder="1" applyFont="1" applyNumberFormat="1">
      <alignment horizontal="center" readingOrder="0" shrinkToFit="0" vertical="bottom" wrapText="0"/>
    </xf>
    <xf borderId="8" fillId="26" fontId="12" numFmtId="2" xfId="0" applyAlignment="1" applyBorder="1" applyFill="1" applyFont="1" applyNumberFormat="1">
      <alignment horizontal="center" readingOrder="0" shrinkToFit="0" vertical="bottom" wrapText="0"/>
    </xf>
    <xf borderId="13" fillId="17" fontId="32" numFmtId="0" xfId="0" applyAlignment="1" applyBorder="1" applyFont="1">
      <alignment vertical="bottom"/>
    </xf>
    <xf borderId="13" fillId="20" fontId="32" numFmtId="0" xfId="0" applyAlignment="1" applyBorder="1" applyFont="1">
      <alignment vertical="bottom"/>
    </xf>
    <xf borderId="8" fillId="0" fontId="19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43" fillId="20" fontId="33" numFmtId="2" xfId="0" applyAlignment="1" applyBorder="1" applyFont="1" applyNumberFormat="1">
      <alignment horizontal="center" vertical="center"/>
    </xf>
    <xf borderId="0" fillId="0" fontId="18" numFmtId="0" xfId="0" applyAlignment="1" applyFont="1">
      <alignment vertical="center"/>
    </xf>
    <xf borderId="20" fillId="17" fontId="30" numFmtId="2" xfId="0" applyAlignment="1" applyBorder="1" applyFont="1" applyNumberFormat="1">
      <alignment readingOrder="0" shrinkToFit="0" vertical="center" wrapText="1"/>
    </xf>
    <xf borderId="0" fillId="0" fontId="5" numFmtId="0" xfId="0" applyAlignment="1" applyFont="1">
      <alignment shrinkToFit="0" vertical="bottom" wrapText="1"/>
    </xf>
  </cellXfs>
  <cellStyles count="1">
    <cellStyle xfId="0" name="Normal" builtinId="0"/>
  </cellStyles>
  <dxfs count="3">
    <dxf>
      <font>
        <b/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0066"/>
      </font>
      <fill>
        <patternFill patternType="solid">
          <fgColor rgb="FFF8FF9D"/>
          <bgColor rgb="FFF8FF9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28575</xdr:rowOff>
    </xdr:from>
    <xdr:ext cx="800100" cy="800100"/>
    <xdr:pic>
      <xdr:nvPicPr>
        <xdr:cNvPr descr=" 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28575</xdr:rowOff>
    </xdr:from>
    <xdr:ext cx="800100" cy="800100"/>
    <xdr:pic>
      <xdr:nvPicPr>
        <xdr:cNvPr descr=" 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28575</xdr:rowOff>
    </xdr:from>
    <xdr:ext cx="800100" cy="800100"/>
    <xdr:pic>
      <xdr:nvPicPr>
        <xdr:cNvPr descr=" 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28575</xdr:rowOff>
    </xdr:from>
    <xdr:ext cx="800100" cy="800100"/>
    <xdr:pic>
      <xdr:nvPicPr>
        <xdr:cNvPr descr=" 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28575</xdr:rowOff>
    </xdr:from>
    <xdr:ext cx="800100" cy="800100"/>
    <xdr:pic>
      <xdr:nvPicPr>
        <xdr:cNvPr descr=" 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28575</xdr:rowOff>
    </xdr:from>
    <xdr:ext cx="800100" cy="800100"/>
    <xdr:pic>
      <xdr:nvPicPr>
        <xdr:cNvPr descr=" 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31.29"/>
    <col customWidth="1" min="3" max="3" width="13.86"/>
    <col customWidth="1" min="4" max="13" width="6.29"/>
    <col customWidth="1" min="14" max="14" width="10.71"/>
    <col customWidth="1" min="15" max="15" width="7.57"/>
    <col customWidth="1" min="16" max="16" width="13.71"/>
    <col customWidth="1" min="17" max="17" width="19.29"/>
    <col customWidth="1" min="18" max="21" width="10.71"/>
  </cols>
  <sheetData>
    <row r="1" ht="72.75" customHeight="1">
      <c r="A1" s="1" t="s">
        <v>0</v>
      </c>
    </row>
    <row r="2" ht="14.25" customHeight="1">
      <c r="A2" s="2"/>
      <c r="B2" s="3" t="s">
        <v>1</v>
      </c>
    </row>
    <row r="3" ht="14.25" customHeight="1">
      <c r="B3" s="4" t="s">
        <v>2</v>
      </c>
      <c r="C3" s="5"/>
      <c r="F3" s="6"/>
      <c r="G3" s="6"/>
      <c r="H3" s="6"/>
      <c r="I3" s="7" t="s">
        <v>3</v>
      </c>
      <c r="K3" s="8" t="s">
        <v>4</v>
      </c>
    </row>
    <row r="4" ht="14.25" customHeight="1">
      <c r="B4" s="9" t="s">
        <v>5</v>
      </c>
      <c r="C4" s="10" t="s">
        <v>6</v>
      </c>
      <c r="D4" s="11"/>
      <c r="E4" s="6"/>
      <c r="F4" s="6"/>
      <c r="G4" s="6"/>
      <c r="H4" s="6"/>
      <c r="I4" s="7"/>
      <c r="K4" s="12"/>
      <c r="M4" s="6"/>
    </row>
    <row r="5" ht="6.0" customHeight="1">
      <c r="B5" s="13"/>
      <c r="C5" s="13"/>
      <c r="D5" s="9"/>
      <c r="E5" s="9"/>
      <c r="F5" s="9"/>
      <c r="G5" s="9"/>
      <c r="H5" s="9"/>
      <c r="I5" s="9"/>
      <c r="J5" s="9"/>
      <c r="K5" s="9"/>
      <c r="L5" s="9"/>
      <c r="M5" s="9"/>
      <c r="U5" s="14"/>
    </row>
    <row r="6" ht="14.25" customHeight="1">
      <c r="B6" s="15" t="s">
        <v>7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7"/>
    </row>
    <row r="7" ht="157.5" customHeight="1">
      <c r="A7" s="18" t="s">
        <v>8</v>
      </c>
      <c r="B7" s="19" t="s">
        <v>9</v>
      </c>
      <c r="C7" s="20"/>
      <c r="D7" s="21" t="s">
        <v>10</v>
      </c>
      <c r="E7" s="22" t="s">
        <v>11</v>
      </c>
      <c r="F7" s="23" t="s">
        <v>12</v>
      </c>
      <c r="G7" s="24" t="s">
        <v>13</v>
      </c>
      <c r="H7" s="25" t="s">
        <v>14</v>
      </c>
      <c r="I7" s="26" t="s">
        <v>15</v>
      </c>
      <c r="J7" s="27" t="s">
        <v>16</v>
      </c>
      <c r="K7" s="28" t="s">
        <v>17</v>
      </c>
      <c r="L7" s="29" t="s">
        <v>18</v>
      </c>
      <c r="M7" s="30" t="s">
        <v>19</v>
      </c>
      <c r="N7" s="31" t="s">
        <v>20</v>
      </c>
      <c r="O7" s="32" t="s">
        <v>21</v>
      </c>
      <c r="P7" s="33" t="s">
        <v>22</v>
      </c>
      <c r="U7" s="12" t="s">
        <v>23</v>
      </c>
    </row>
    <row r="8" ht="14.25" customHeight="1">
      <c r="A8" s="34">
        <v>1.0</v>
      </c>
      <c r="B8" s="35" t="s">
        <v>24</v>
      </c>
      <c r="C8" s="36"/>
      <c r="D8" s="37">
        <v>7.97</v>
      </c>
      <c r="E8" s="38">
        <v>7.45</v>
      </c>
      <c r="F8" s="39">
        <v>7.02</v>
      </c>
      <c r="G8" s="40">
        <v>7.67</v>
      </c>
      <c r="H8" s="41">
        <v>7.57</v>
      </c>
      <c r="I8" s="42">
        <v>7.38</v>
      </c>
      <c r="J8" s="43">
        <v>8.45</v>
      </c>
      <c r="K8" s="44" t="s">
        <v>25</v>
      </c>
      <c r="L8" s="45" t="s">
        <v>26</v>
      </c>
      <c r="M8" s="46" t="s">
        <v>26</v>
      </c>
      <c r="N8" s="47">
        <f t="shared" ref="N8:N45" si="1">TRUNC(AVERAGE(D8:J8),2)</f>
        <v>7.64</v>
      </c>
      <c r="O8" s="48" t="s">
        <v>27</v>
      </c>
      <c r="P8" s="49" t="s">
        <v>28</v>
      </c>
    </row>
    <row r="9" ht="15.0" customHeight="1">
      <c r="A9" s="34">
        <v>2.0</v>
      </c>
      <c r="B9" s="50" t="s">
        <v>29</v>
      </c>
      <c r="C9" s="51"/>
      <c r="D9" s="52">
        <v>9.78</v>
      </c>
      <c r="E9" s="53">
        <v>9.94</v>
      </c>
      <c r="F9" s="39">
        <v>9.84</v>
      </c>
      <c r="G9" s="54">
        <v>9.95</v>
      </c>
      <c r="H9" s="41">
        <v>9.98</v>
      </c>
      <c r="I9" s="55">
        <v>9.78</v>
      </c>
      <c r="J9" s="43">
        <v>10.0</v>
      </c>
      <c r="K9" s="44" t="s">
        <v>26</v>
      </c>
      <c r="L9" s="45" t="s">
        <v>26</v>
      </c>
      <c r="M9" s="46" t="s">
        <v>26</v>
      </c>
      <c r="N9" s="47">
        <f t="shared" si="1"/>
        <v>9.89</v>
      </c>
      <c r="O9" s="48" t="s">
        <v>27</v>
      </c>
      <c r="P9" s="49" t="s">
        <v>28</v>
      </c>
      <c r="Q9" s="56" t="s">
        <v>30</v>
      </c>
      <c r="R9" s="57">
        <f>LARGE(N8:N45,1)</f>
        <v>9.89</v>
      </c>
      <c r="S9" s="58" t="s">
        <v>31</v>
      </c>
    </row>
    <row r="10" ht="15.0" customHeight="1">
      <c r="A10" s="34">
        <v>3.0</v>
      </c>
      <c r="B10" s="50" t="s">
        <v>32</v>
      </c>
      <c r="C10" s="51"/>
      <c r="D10" s="52">
        <v>7.37</v>
      </c>
      <c r="E10" s="53">
        <v>7.1</v>
      </c>
      <c r="F10" s="39">
        <v>7.0</v>
      </c>
      <c r="G10" s="40">
        <v>7.0</v>
      </c>
      <c r="H10" s="41">
        <v>7.0</v>
      </c>
      <c r="I10" s="55">
        <v>7.67</v>
      </c>
      <c r="J10" s="43">
        <v>8.12</v>
      </c>
      <c r="K10" s="44" t="s">
        <v>33</v>
      </c>
      <c r="L10" s="45" t="s">
        <v>25</v>
      </c>
      <c r="M10" s="46" t="s">
        <v>26</v>
      </c>
      <c r="N10" s="47">
        <f t="shared" si="1"/>
        <v>7.32</v>
      </c>
      <c r="O10" s="48" t="s">
        <v>34</v>
      </c>
      <c r="P10" s="49" t="s">
        <v>28</v>
      </c>
      <c r="Q10" s="56" t="s">
        <v>35</v>
      </c>
      <c r="R10" s="59">
        <f>LARGE(N8:N45,2)</f>
        <v>9.82</v>
      </c>
      <c r="S10" s="58" t="s">
        <v>36</v>
      </c>
    </row>
    <row r="11" ht="15.0" customHeight="1">
      <c r="A11" s="34">
        <v>4.0</v>
      </c>
      <c r="B11" s="50" t="s">
        <v>37</v>
      </c>
      <c r="C11" s="51"/>
      <c r="D11" s="52">
        <v>9.95</v>
      </c>
      <c r="E11" s="53">
        <v>9.6</v>
      </c>
      <c r="F11" s="39">
        <v>9.5</v>
      </c>
      <c r="G11" s="54">
        <v>9.59</v>
      </c>
      <c r="H11" s="41">
        <v>9.68</v>
      </c>
      <c r="I11" s="55">
        <v>9.74</v>
      </c>
      <c r="J11" s="43">
        <v>9.76</v>
      </c>
      <c r="K11" s="44" t="s">
        <v>26</v>
      </c>
      <c r="L11" s="45" t="s">
        <v>26</v>
      </c>
      <c r="M11" s="46" t="s">
        <v>26</v>
      </c>
      <c r="N11" s="47">
        <f t="shared" si="1"/>
        <v>9.68</v>
      </c>
      <c r="O11" s="48" t="s">
        <v>27</v>
      </c>
      <c r="P11" s="49" t="s">
        <v>28</v>
      </c>
      <c r="Q11" s="56" t="s">
        <v>38</v>
      </c>
      <c r="R11" s="59">
        <f>LARGE(N8:N45,3)</f>
        <v>9.8</v>
      </c>
      <c r="S11" s="58" t="s">
        <v>39</v>
      </c>
    </row>
    <row r="12" ht="15.0" customHeight="1">
      <c r="A12" s="34">
        <v>5.0</v>
      </c>
      <c r="B12" s="60" t="s">
        <v>40</v>
      </c>
      <c r="C12" s="61"/>
      <c r="D12" s="52">
        <v>9.79</v>
      </c>
      <c r="E12" s="53">
        <v>9.35</v>
      </c>
      <c r="F12" s="39">
        <v>9.5</v>
      </c>
      <c r="G12" s="54">
        <v>9.76</v>
      </c>
      <c r="H12" s="41">
        <v>9.5</v>
      </c>
      <c r="I12" s="55">
        <v>9.76</v>
      </c>
      <c r="J12" s="43">
        <v>9.77</v>
      </c>
      <c r="K12" s="44" t="s">
        <v>25</v>
      </c>
      <c r="L12" s="45" t="s">
        <v>26</v>
      </c>
      <c r="M12" s="46" t="s">
        <v>26</v>
      </c>
      <c r="N12" s="47">
        <f t="shared" si="1"/>
        <v>9.63</v>
      </c>
      <c r="O12" s="48" t="s">
        <v>27</v>
      </c>
      <c r="P12" s="49" t="s">
        <v>28</v>
      </c>
      <c r="Q12" s="58" t="s">
        <v>38</v>
      </c>
      <c r="R12" s="62">
        <f>LARGE(N8:N45,4)</f>
        <v>9.77</v>
      </c>
    </row>
    <row r="13" ht="15.0" customHeight="1">
      <c r="A13" s="34">
        <v>6.0</v>
      </c>
      <c r="B13" s="50" t="s">
        <v>41</v>
      </c>
      <c r="C13" s="51"/>
      <c r="D13" s="52">
        <v>9.77</v>
      </c>
      <c r="E13" s="63">
        <v>8.84</v>
      </c>
      <c r="F13" s="39">
        <v>9.67</v>
      </c>
      <c r="G13" s="54">
        <v>9.72</v>
      </c>
      <c r="H13" s="41">
        <v>9.47</v>
      </c>
      <c r="I13" s="55">
        <v>9.27</v>
      </c>
      <c r="J13" s="43">
        <v>9.01</v>
      </c>
      <c r="K13" s="44" t="s">
        <v>26</v>
      </c>
      <c r="L13" s="45" t="s">
        <v>26</v>
      </c>
      <c r="M13" s="46" t="s">
        <v>26</v>
      </c>
      <c r="N13" s="47">
        <f t="shared" si="1"/>
        <v>9.39</v>
      </c>
      <c r="O13" s="48" t="s">
        <v>27</v>
      </c>
      <c r="P13" s="49" t="s">
        <v>28</v>
      </c>
    </row>
    <row r="14" ht="15.0" customHeight="1">
      <c r="A14" s="34">
        <v>7.0</v>
      </c>
      <c r="B14" s="50" t="s">
        <v>42</v>
      </c>
      <c r="C14" s="51"/>
      <c r="D14" s="52">
        <v>8.99</v>
      </c>
      <c r="E14" s="53">
        <v>9.07</v>
      </c>
      <c r="F14" s="39">
        <v>8.13</v>
      </c>
      <c r="G14" s="54">
        <v>8.56</v>
      </c>
      <c r="H14" s="41">
        <v>8.9</v>
      </c>
      <c r="I14" s="55">
        <v>9.11</v>
      </c>
      <c r="J14" s="43">
        <v>8.54</v>
      </c>
      <c r="K14" s="44" t="s">
        <v>25</v>
      </c>
      <c r="L14" s="45" t="s">
        <v>26</v>
      </c>
      <c r="M14" s="64" t="s">
        <v>26</v>
      </c>
      <c r="N14" s="47">
        <f t="shared" si="1"/>
        <v>8.75</v>
      </c>
      <c r="O14" s="48" t="s">
        <v>27</v>
      </c>
      <c r="P14" s="49" t="s">
        <v>28</v>
      </c>
    </row>
    <row r="15" ht="15.0" customHeight="1">
      <c r="A15" s="34">
        <v>8.0</v>
      </c>
      <c r="B15" s="50" t="s">
        <v>43</v>
      </c>
      <c r="C15" s="51"/>
      <c r="D15" s="52">
        <v>9.52</v>
      </c>
      <c r="E15" s="53">
        <v>9.05</v>
      </c>
      <c r="F15" s="39">
        <v>9.28</v>
      </c>
      <c r="G15" s="54">
        <v>9.85</v>
      </c>
      <c r="H15" s="41">
        <v>9.39</v>
      </c>
      <c r="I15" s="55">
        <v>9.19</v>
      </c>
      <c r="J15" s="43">
        <v>9.28</v>
      </c>
      <c r="K15" s="44" t="s">
        <v>26</v>
      </c>
      <c r="L15" s="45" t="s">
        <v>26</v>
      </c>
      <c r="M15" s="46" t="s">
        <v>26</v>
      </c>
      <c r="N15" s="47">
        <f t="shared" si="1"/>
        <v>9.36</v>
      </c>
      <c r="O15" s="48" t="s">
        <v>27</v>
      </c>
      <c r="P15" s="49" t="s">
        <v>28</v>
      </c>
    </row>
    <row r="16" ht="15.0" customHeight="1">
      <c r="A16" s="34">
        <v>9.0</v>
      </c>
      <c r="B16" s="50" t="s">
        <v>44</v>
      </c>
      <c r="C16" s="51"/>
      <c r="D16" s="52">
        <v>7.89</v>
      </c>
      <c r="E16" s="53">
        <v>7.0</v>
      </c>
      <c r="F16" s="39">
        <v>7.21</v>
      </c>
      <c r="G16" s="65">
        <v>7.13</v>
      </c>
      <c r="H16" s="41">
        <v>7.0</v>
      </c>
      <c r="I16" s="55">
        <v>7.58</v>
      </c>
      <c r="J16" s="43">
        <v>8.8</v>
      </c>
      <c r="K16" s="44" t="s">
        <v>25</v>
      </c>
      <c r="L16" s="45" t="s">
        <v>26</v>
      </c>
      <c r="M16" s="46" t="s">
        <v>26</v>
      </c>
      <c r="N16" s="47">
        <f t="shared" si="1"/>
        <v>7.51</v>
      </c>
      <c r="O16" s="48" t="s">
        <v>27</v>
      </c>
      <c r="P16" s="49" t="s">
        <v>28</v>
      </c>
      <c r="U16" s="12" t="s">
        <v>45</v>
      </c>
    </row>
    <row r="17" ht="15.0" customHeight="1">
      <c r="A17" s="34">
        <v>10.0</v>
      </c>
      <c r="B17" s="50" t="s">
        <v>46</v>
      </c>
      <c r="C17" s="51"/>
      <c r="D17" s="52">
        <v>9.77</v>
      </c>
      <c r="E17" s="53">
        <v>9.3</v>
      </c>
      <c r="F17" s="39">
        <v>9.61</v>
      </c>
      <c r="G17" s="54">
        <v>9.88</v>
      </c>
      <c r="H17" s="41">
        <v>9.41</v>
      </c>
      <c r="I17" s="55">
        <v>9.64</v>
      </c>
      <c r="J17" s="43">
        <v>9.46</v>
      </c>
      <c r="K17" s="44" t="s">
        <v>26</v>
      </c>
      <c r="L17" s="45" t="s">
        <v>26</v>
      </c>
      <c r="M17" s="46" t="s">
        <v>26</v>
      </c>
      <c r="N17" s="47">
        <f t="shared" si="1"/>
        <v>9.58</v>
      </c>
      <c r="O17" s="48" t="s">
        <v>27</v>
      </c>
      <c r="P17" s="49" t="s">
        <v>28</v>
      </c>
    </row>
    <row r="18" ht="15.0" customHeight="1">
      <c r="A18" s="34">
        <v>11.0</v>
      </c>
      <c r="B18" s="60" t="s">
        <v>47</v>
      </c>
      <c r="C18" s="61"/>
      <c r="D18" s="52">
        <v>9.76</v>
      </c>
      <c r="E18" s="53">
        <v>9.58</v>
      </c>
      <c r="F18" s="39">
        <v>9.47</v>
      </c>
      <c r="G18" s="54">
        <v>9.3</v>
      </c>
      <c r="H18" s="41">
        <v>9.3</v>
      </c>
      <c r="I18" s="55">
        <v>9.08</v>
      </c>
      <c r="J18" s="43">
        <v>9.86</v>
      </c>
      <c r="K18" s="44" t="s">
        <v>25</v>
      </c>
      <c r="L18" s="45" t="s">
        <v>26</v>
      </c>
      <c r="M18" s="46" t="s">
        <v>26</v>
      </c>
      <c r="N18" s="47">
        <f t="shared" si="1"/>
        <v>9.47</v>
      </c>
      <c r="O18" s="48" t="s">
        <v>27</v>
      </c>
      <c r="P18" s="49" t="s">
        <v>28</v>
      </c>
    </row>
    <row r="19" ht="15.0" customHeight="1">
      <c r="A19" s="34">
        <v>12.0</v>
      </c>
      <c r="B19" s="50" t="s">
        <v>48</v>
      </c>
      <c r="C19" s="51"/>
      <c r="D19" s="52">
        <v>9.26</v>
      </c>
      <c r="E19" s="53">
        <v>8.53</v>
      </c>
      <c r="F19" s="39">
        <v>8.89</v>
      </c>
      <c r="G19" s="54">
        <v>8.47</v>
      </c>
      <c r="H19" s="41">
        <v>8.36</v>
      </c>
      <c r="I19" s="55">
        <v>8.73</v>
      </c>
      <c r="J19" s="43">
        <v>9.47</v>
      </c>
      <c r="K19" s="44" t="s">
        <v>26</v>
      </c>
      <c r="L19" s="45" t="s">
        <v>26</v>
      </c>
      <c r="M19" s="46" t="s">
        <v>26</v>
      </c>
      <c r="N19" s="47">
        <f t="shared" si="1"/>
        <v>8.81</v>
      </c>
      <c r="O19" s="48" t="s">
        <v>27</v>
      </c>
      <c r="P19" s="49" t="s">
        <v>28</v>
      </c>
    </row>
    <row r="20" ht="15.0" customHeight="1">
      <c r="A20" s="34">
        <v>13.0</v>
      </c>
      <c r="B20" s="60" t="s">
        <v>49</v>
      </c>
      <c r="C20" s="61"/>
      <c r="D20" s="52">
        <v>9.8</v>
      </c>
      <c r="E20" s="53">
        <v>9.28</v>
      </c>
      <c r="F20" s="39">
        <v>9.37</v>
      </c>
      <c r="G20" s="54">
        <v>9.7</v>
      </c>
      <c r="H20" s="41">
        <v>9.44</v>
      </c>
      <c r="I20" s="55">
        <v>9.4</v>
      </c>
      <c r="J20" s="43">
        <v>9.19</v>
      </c>
      <c r="K20" s="44" t="s">
        <v>26</v>
      </c>
      <c r="L20" s="45" t="s">
        <v>26</v>
      </c>
      <c r="M20" s="46" t="s">
        <v>26</v>
      </c>
      <c r="N20" s="47">
        <f t="shared" si="1"/>
        <v>9.45</v>
      </c>
      <c r="O20" s="48" t="s">
        <v>27</v>
      </c>
      <c r="P20" s="49" t="s">
        <v>28</v>
      </c>
    </row>
    <row r="21" ht="15.0" customHeight="1">
      <c r="A21" s="34">
        <v>14.0</v>
      </c>
      <c r="B21" s="60" t="s">
        <v>50</v>
      </c>
      <c r="C21" s="61"/>
      <c r="D21" s="52">
        <v>9.94</v>
      </c>
      <c r="E21" s="53">
        <v>9.55</v>
      </c>
      <c r="F21" s="39">
        <v>9.85</v>
      </c>
      <c r="G21" s="54">
        <v>9.77</v>
      </c>
      <c r="H21" s="41">
        <v>9.96</v>
      </c>
      <c r="I21" s="55">
        <v>9.67</v>
      </c>
      <c r="J21" s="43">
        <v>9.9</v>
      </c>
      <c r="K21" s="44" t="s">
        <v>26</v>
      </c>
      <c r="L21" s="45" t="s">
        <v>26</v>
      </c>
      <c r="M21" s="46" t="s">
        <v>26</v>
      </c>
      <c r="N21" s="47">
        <f t="shared" si="1"/>
        <v>9.8</v>
      </c>
      <c r="O21" s="48" t="s">
        <v>27</v>
      </c>
      <c r="P21" s="49" t="s">
        <v>28</v>
      </c>
    </row>
    <row r="22" ht="15.0" customHeight="1">
      <c r="A22" s="34">
        <v>15.0</v>
      </c>
      <c r="B22" s="60" t="s">
        <v>51</v>
      </c>
      <c r="C22" s="61"/>
      <c r="D22" s="52">
        <v>8.02</v>
      </c>
      <c r="E22" s="53">
        <v>7.65</v>
      </c>
      <c r="F22" s="39">
        <v>7.51</v>
      </c>
      <c r="G22" s="54">
        <v>7.75</v>
      </c>
      <c r="H22" s="41">
        <v>7.44</v>
      </c>
      <c r="I22" s="42">
        <v>8.07</v>
      </c>
      <c r="J22" s="43">
        <v>8.11</v>
      </c>
      <c r="K22" s="44" t="s">
        <v>52</v>
      </c>
      <c r="L22" s="45" t="s">
        <v>26</v>
      </c>
      <c r="M22" s="46" t="s">
        <v>26</v>
      </c>
      <c r="N22" s="47">
        <f t="shared" si="1"/>
        <v>7.79</v>
      </c>
      <c r="O22" s="48" t="s">
        <v>27</v>
      </c>
      <c r="P22" s="49" t="s">
        <v>28</v>
      </c>
    </row>
    <row r="23" ht="15.0" customHeight="1">
      <c r="A23" s="66">
        <v>16.0</v>
      </c>
      <c r="B23" s="50" t="s">
        <v>53</v>
      </c>
      <c r="C23" s="51"/>
      <c r="D23" s="52">
        <v>9.01</v>
      </c>
      <c r="E23" s="53">
        <v>8.0</v>
      </c>
      <c r="F23" s="39">
        <v>8.99</v>
      </c>
      <c r="G23" s="54">
        <v>8.22</v>
      </c>
      <c r="H23" s="41">
        <v>8.04</v>
      </c>
      <c r="I23" s="55">
        <v>8.99</v>
      </c>
      <c r="J23" s="43">
        <v>8.8</v>
      </c>
      <c r="K23" s="44" t="s">
        <v>26</v>
      </c>
      <c r="L23" s="45" t="s">
        <v>26</v>
      </c>
      <c r="M23" s="64" t="s">
        <v>26</v>
      </c>
      <c r="N23" s="47">
        <f t="shared" si="1"/>
        <v>8.57</v>
      </c>
      <c r="O23" s="48" t="s">
        <v>27</v>
      </c>
      <c r="P23" s="49" t="s">
        <v>28</v>
      </c>
    </row>
    <row r="24" ht="15.0" customHeight="1">
      <c r="A24" s="34">
        <v>17.0</v>
      </c>
      <c r="B24" s="50" t="s">
        <v>54</v>
      </c>
      <c r="C24" s="51"/>
      <c r="D24" s="52">
        <v>9.31</v>
      </c>
      <c r="E24" s="53">
        <v>8.66</v>
      </c>
      <c r="F24" s="39">
        <v>9.33</v>
      </c>
      <c r="G24" s="54">
        <v>9.22</v>
      </c>
      <c r="H24" s="41">
        <v>7.86</v>
      </c>
      <c r="I24" s="55">
        <v>8.75</v>
      </c>
      <c r="J24" s="43">
        <v>9.62</v>
      </c>
      <c r="K24" s="44" t="s">
        <v>26</v>
      </c>
      <c r="L24" s="45" t="s">
        <v>26</v>
      </c>
      <c r="M24" s="46" t="s">
        <v>26</v>
      </c>
      <c r="N24" s="47">
        <f t="shared" si="1"/>
        <v>8.96</v>
      </c>
      <c r="O24" s="48" t="s">
        <v>27</v>
      </c>
      <c r="P24" s="49" t="s">
        <v>28</v>
      </c>
    </row>
    <row r="25" ht="15.0" customHeight="1">
      <c r="A25" s="34">
        <v>18.0</v>
      </c>
      <c r="B25" s="50" t="s">
        <v>55</v>
      </c>
      <c r="C25" s="51"/>
      <c r="D25" s="52">
        <v>9.81</v>
      </c>
      <c r="E25" s="53">
        <v>8.99</v>
      </c>
      <c r="F25" s="39">
        <v>9.49</v>
      </c>
      <c r="G25" s="54">
        <v>9.65</v>
      </c>
      <c r="H25" s="41">
        <v>9.6</v>
      </c>
      <c r="I25" s="55">
        <v>9.22</v>
      </c>
      <c r="J25" s="43">
        <v>9.64</v>
      </c>
      <c r="K25" s="44" t="s">
        <v>26</v>
      </c>
      <c r="L25" s="45" t="s">
        <v>26</v>
      </c>
      <c r="M25" s="64" t="s">
        <v>26</v>
      </c>
      <c r="N25" s="47">
        <f t="shared" si="1"/>
        <v>9.48</v>
      </c>
      <c r="O25" s="48" t="s">
        <v>27</v>
      </c>
      <c r="P25" s="49" t="s">
        <v>28</v>
      </c>
    </row>
    <row r="26" ht="15.0" customHeight="1">
      <c r="A26" s="34">
        <v>19.0</v>
      </c>
      <c r="B26" s="50" t="s">
        <v>56</v>
      </c>
      <c r="C26" s="51"/>
      <c r="D26" s="52">
        <v>9.26</v>
      </c>
      <c r="E26" s="53">
        <v>8.99</v>
      </c>
      <c r="F26" s="39">
        <v>8.86</v>
      </c>
      <c r="G26" s="54">
        <v>9.11</v>
      </c>
      <c r="H26" s="41">
        <v>8.6</v>
      </c>
      <c r="I26" s="55">
        <v>9.09</v>
      </c>
      <c r="J26" s="43">
        <v>9.76</v>
      </c>
      <c r="K26" s="44" t="s">
        <v>26</v>
      </c>
      <c r="L26" s="45" t="s">
        <v>26</v>
      </c>
      <c r="M26" s="46" t="s">
        <v>26</v>
      </c>
      <c r="N26" s="47">
        <f t="shared" si="1"/>
        <v>9.09</v>
      </c>
      <c r="O26" s="48" t="s">
        <v>27</v>
      </c>
      <c r="P26" s="49" t="s">
        <v>28</v>
      </c>
    </row>
    <row r="27" ht="15.0" customHeight="1">
      <c r="A27" s="34">
        <v>20.0</v>
      </c>
      <c r="B27" s="50" t="s">
        <v>57</v>
      </c>
      <c r="C27" s="51"/>
      <c r="D27" s="52">
        <v>8.73</v>
      </c>
      <c r="E27" s="63">
        <v>7.41</v>
      </c>
      <c r="F27" s="39">
        <v>8.63</v>
      </c>
      <c r="G27" s="54">
        <v>8.28</v>
      </c>
      <c r="H27" s="41">
        <v>8.38</v>
      </c>
      <c r="I27" s="55">
        <v>9.02</v>
      </c>
      <c r="J27" s="43">
        <v>8.87</v>
      </c>
      <c r="K27" s="44" t="s">
        <v>25</v>
      </c>
      <c r="L27" s="45" t="s">
        <v>26</v>
      </c>
      <c r="M27" s="46" t="s">
        <v>26</v>
      </c>
      <c r="N27" s="47">
        <f t="shared" si="1"/>
        <v>8.47</v>
      </c>
      <c r="O27" s="48" t="s">
        <v>27</v>
      </c>
      <c r="P27" s="49" t="s">
        <v>28</v>
      </c>
    </row>
    <row r="28" ht="15.0" customHeight="1">
      <c r="A28" s="34">
        <v>21.0</v>
      </c>
      <c r="B28" s="50" t="s">
        <v>58</v>
      </c>
      <c r="C28" s="51"/>
      <c r="D28" s="52">
        <v>8.51</v>
      </c>
      <c r="E28" s="53">
        <v>7.75</v>
      </c>
      <c r="F28" s="39">
        <v>8.02</v>
      </c>
      <c r="G28" s="54">
        <v>7.98</v>
      </c>
      <c r="H28" s="41">
        <v>7.67</v>
      </c>
      <c r="I28" s="55">
        <v>8.45</v>
      </c>
      <c r="J28" s="43">
        <v>9.42</v>
      </c>
      <c r="K28" s="44" t="s">
        <v>52</v>
      </c>
      <c r="L28" s="45" t="s">
        <v>26</v>
      </c>
      <c r="M28" s="64" t="s">
        <v>26</v>
      </c>
      <c r="N28" s="47">
        <f t="shared" si="1"/>
        <v>8.25</v>
      </c>
      <c r="O28" s="48" t="s">
        <v>34</v>
      </c>
      <c r="P28" s="49" t="s">
        <v>28</v>
      </c>
    </row>
    <row r="29" ht="18.0" customHeight="1">
      <c r="A29" s="34">
        <v>22.0</v>
      </c>
      <c r="B29" s="50" t="s">
        <v>59</v>
      </c>
      <c r="C29" s="51"/>
      <c r="D29" s="52">
        <v>8.52</v>
      </c>
      <c r="E29" s="53">
        <v>7.31</v>
      </c>
      <c r="F29" s="39">
        <v>7.81</v>
      </c>
      <c r="G29" s="54">
        <v>7.81</v>
      </c>
      <c r="H29" s="41">
        <v>8.13</v>
      </c>
      <c r="I29" s="55">
        <v>8.51</v>
      </c>
      <c r="J29" s="43">
        <v>8.34</v>
      </c>
      <c r="K29" s="44" t="s">
        <v>52</v>
      </c>
      <c r="L29" s="45" t="s">
        <v>26</v>
      </c>
      <c r="M29" s="46" t="s">
        <v>26</v>
      </c>
      <c r="N29" s="47">
        <f t="shared" si="1"/>
        <v>8.06</v>
      </c>
      <c r="O29" s="48" t="s">
        <v>27</v>
      </c>
      <c r="P29" s="49" t="s">
        <v>28</v>
      </c>
    </row>
    <row r="30" ht="15.0" customHeight="1">
      <c r="A30" s="34">
        <v>23.0</v>
      </c>
      <c r="B30" s="50" t="s">
        <v>60</v>
      </c>
      <c r="C30" s="51"/>
      <c r="D30" s="52">
        <v>9.87</v>
      </c>
      <c r="E30" s="53">
        <v>9.49</v>
      </c>
      <c r="F30" s="39">
        <v>9.81</v>
      </c>
      <c r="G30" s="54">
        <v>9.92</v>
      </c>
      <c r="H30" s="41">
        <v>9.64</v>
      </c>
      <c r="I30" s="55">
        <v>9.78</v>
      </c>
      <c r="J30" s="43">
        <v>9.93</v>
      </c>
      <c r="K30" s="44" t="s">
        <v>26</v>
      </c>
      <c r="L30" s="45" t="s">
        <v>26</v>
      </c>
      <c r="M30" s="46" t="s">
        <v>26</v>
      </c>
      <c r="N30" s="67">
        <f t="shared" si="1"/>
        <v>9.77</v>
      </c>
      <c r="O30" s="48" t="s">
        <v>27</v>
      </c>
      <c r="P30" s="49" t="s">
        <v>28</v>
      </c>
    </row>
    <row r="31" ht="18.0" customHeight="1">
      <c r="A31" s="34">
        <v>24.0</v>
      </c>
      <c r="B31" s="50" t="s">
        <v>61</v>
      </c>
      <c r="C31" s="51"/>
      <c r="D31" s="52">
        <v>9.18</v>
      </c>
      <c r="E31" s="53">
        <v>9.2</v>
      </c>
      <c r="F31" s="39">
        <v>9.35</v>
      </c>
      <c r="G31" s="54">
        <v>9.09</v>
      </c>
      <c r="H31" s="41">
        <v>8.36</v>
      </c>
      <c r="I31" s="55">
        <v>9.05</v>
      </c>
      <c r="J31" s="43">
        <v>9.73</v>
      </c>
      <c r="K31" s="44" t="s">
        <v>26</v>
      </c>
      <c r="L31" s="45" t="s">
        <v>26</v>
      </c>
      <c r="M31" s="64" t="s">
        <v>26</v>
      </c>
      <c r="N31" s="47">
        <f t="shared" si="1"/>
        <v>9.13</v>
      </c>
      <c r="O31" s="48" t="s">
        <v>27</v>
      </c>
      <c r="P31" s="49" t="s">
        <v>28</v>
      </c>
    </row>
    <row r="32" ht="15.0" customHeight="1">
      <c r="A32" s="34">
        <v>25.0</v>
      </c>
      <c r="B32" s="50" t="s">
        <v>62</v>
      </c>
      <c r="C32" s="51"/>
      <c r="D32" s="52">
        <v>8.96</v>
      </c>
      <c r="E32" s="63">
        <v>8.46</v>
      </c>
      <c r="F32" s="39">
        <v>9.24</v>
      </c>
      <c r="G32" s="54">
        <v>9.25</v>
      </c>
      <c r="H32" s="41">
        <v>8.66</v>
      </c>
      <c r="I32" s="55">
        <v>8.99</v>
      </c>
      <c r="J32" s="43">
        <v>8.93</v>
      </c>
      <c r="K32" s="44" t="s">
        <v>26</v>
      </c>
      <c r="L32" s="45" t="s">
        <v>26</v>
      </c>
      <c r="M32" s="46" t="s">
        <v>26</v>
      </c>
      <c r="N32" s="47">
        <f t="shared" si="1"/>
        <v>8.92</v>
      </c>
      <c r="O32" s="48" t="s">
        <v>27</v>
      </c>
      <c r="P32" s="49" t="s">
        <v>28</v>
      </c>
    </row>
    <row r="33" ht="15.0" customHeight="1">
      <c r="A33" s="34">
        <v>26.0</v>
      </c>
      <c r="B33" s="50" t="s">
        <v>63</v>
      </c>
      <c r="C33" s="51"/>
      <c r="D33" s="52">
        <v>9.21</v>
      </c>
      <c r="E33" s="53">
        <v>9.09</v>
      </c>
      <c r="F33" s="39">
        <v>9.19</v>
      </c>
      <c r="G33" s="54">
        <v>8.97</v>
      </c>
      <c r="H33" s="41">
        <v>9.6</v>
      </c>
      <c r="I33" s="55">
        <v>8.83</v>
      </c>
      <c r="J33" s="43">
        <v>9.02</v>
      </c>
      <c r="K33" s="44" t="s">
        <v>25</v>
      </c>
      <c r="L33" s="45" t="s">
        <v>26</v>
      </c>
      <c r="M33" s="46" t="s">
        <v>26</v>
      </c>
      <c r="N33" s="47">
        <f t="shared" si="1"/>
        <v>9.13</v>
      </c>
      <c r="O33" s="48" t="s">
        <v>27</v>
      </c>
      <c r="P33" s="49" t="s">
        <v>28</v>
      </c>
    </row>
    <row r="34" ht="15.0" customHeight="1">
      <c r="A34" s="34">
        <v>27.0</v>
      </c>
      <c r="B34" s="50" t="s">
        <v>64</v>
      </c>
      <c r="C34" s="51"/>
      <c r="D34" s="52">
        <v>9.67</v>
      </c>
      <c r="E34" s="63">
        <v>9.54</v>
      </c>
      <c r="F34" s="39">
        <v>9.58</v>
      </c>
      <c r="G34" s="54">
        <v>9.35</v>
      </c>
      <c r="H34" s="41">
        <v>8.88</v>
      </c>
      <c r="I34" s="55">
        <v>9.34</v>
      </c>
      <c r="J34" s="43">
        <v>9.39</v>
      </c>
      <c r="K34" s="44" t="s">
        <v>26</v>
      </c>
      <c r="L34" s="45" t="s">
        <v>26</v>
      </c>
      <c r="M34" s="46" t="s">
        <v>26</v>
      </c>
      <c r="N34" s="47">
        <f t="shared" si="1"/>
        <v>9.39</v>
      </c>
      <c r="O34" s="48" t="s">
        <v>27</v>
      </c>
      <c r="P34" s="49" t="s">
        <v>28</v>
      </c>
    </row>
    <row r="35" ht="15.0" customHeight="1">
      <c r="A35" s="66">
        <v>28.0</v>
      </c>
      <c r="B35" s="68" t="s">
        <v>65</v>
      </c>
      <c r="C35" s="69"/>
      <c r="D35" s="52">
        <v>8.92</v>
      </c>
      <c r="E35" s="53">
        <v>7.8</v>
      </c>
      <c r="F35" s="39">
        <v>8.79</v>
      </c>
      <c r="G35" s="54">
        <v>8.5</v>
      </c>
      <c r="H35" s="41">
        <v>7.88</v>
      </c>
      <c r="I35" s="55">
        <v>8.29</v>
      </c>
      <c r="J35" s="43">
        <v>8.61</v>
      </c>
      <c r="K35" s="44" t="s">
        <v>26</v>
      </c>
      <c r="L35" s="45" t="s">
        <v>26</v>
      </c>
      <c r="M35" s="46" t="s">
        <v>26</v>
      </c>
      <c r="N35" s="47">
        <f t="shared" si="1"/>
        <v>8.39</v>
      </c>
      <c r="O35" s="48" t="s">
        <v>27</v>
      </c>
      <c r="P35" s="49" t="s">
        <v>28</v>
      </c>
    </row>
    <row r="36" ht="15.0" customHeight="1">
      <c r="A36" s="34">
        <v>29.0</v>
      </c>
      <c r="B36" s="60" t="s">
        <v>66</v>
      </c>
      <c r="C36" s="61"/>
      <c r="D36" s="52">
        <v>8.41</v>
      </c>
      <c r="E36" s="53">
        <v>8.06</v>
      </c>
      <c r="F36" s="39">
        <v>8.46</v>
      </c>
      <c r="G36" s="40">
        <v>8.11</v>
      </c>
      <c r="H36" s="41">
        <v>7.96</v>
      </c>
      <c r="I36" s="55">
        <v>7.86</v>
      </c>
      <c r="J36" s="43">
        <v>8.7</v>
      </c>
      <c r="K36" s="44" t="s">
        <v>25</v>
      </c>
      <c r="L36" s="45" t="s">
        <v>26</v>
      </c>
      <c r="M36" s="46" t="s">
        <v>26</v>
      </c>
      <c r="N36" s="47">
        <f t="shared" si="1"/>
        <v>8.22</v>
      </c>
      <c r="O36" s="48" t="s">
        <v>27</v>
      </c>
      <c r="P36" s="49" t="s">
        <v>28</v>
      </c>
    </row>
    <row r="37" ht="15.0" customHeight="1">
      <c r="A37" s="34">
        <v>30.0</v>
      </c>
      <c r="B37" s="60" t="s">
        <v>67</v>
      </c>
      <c r="C37" s="61"/>
      <c r="D37" s="52">
        <v>7.53</v>
      </c>
      <c r="E37" s="63">
        <v>7.2</v>
      </c>
      <c r="F37" s="39">
        <v>7.0</v>
      </c>
      <c r="G37" s="54">
        <v>7.1</v>
      </c>
      <c r="H37" s="41">
        <v>7.14</v>
      </c>
      <c r="I37" s="55">
        <v>7.48</v>
      </c>
      <c r="J37" s="43">
        <v>8.02</v>
      </c>
      <c r="K37" s="44" t="s">
        <v>52</v>
      </c>
      <c r="L37" s="45" t="s">
        <v>26</v>
      </c>
      <c r="M37" s="64" t="s">
        <v>26</v>
      </c>
      <c r="N37" s="47">
        <f t="shared" si="1"/>
        <v>7.35</v>
      </c>
      <c r="O37" s="48" t="s">
        <v>27</v>
      </c>
      <c r="P37" s="49" t="s">
        <v>28</v>
      </c>
    </row>
    <row r="38" ht="15.0" customHeight="1">
      <c r="A38" s="34">
        <v>31.0</v>
      </c>
      <c r="B38" s="60" t="s">
        <v>68</v>
      </c>
      <c r="C38" s="61"/>
      <c r="D38" s="52">
        <v>6.96</v>
      </c>
      <c r="E38" s="53">
        <v>7.26</v>
      </c>
      <c r="F38" s="39">
        <v>5.98</v>
      </c>
      <c r="G38" s="70">
        <v>6.52</v>
      </c>
      <c r="H38" s="41">
        <v>6.48</v>
      </c>
      <c r="I38" s="55">
        <v>7.56</v>
      </c>
      <c r="J38" s="43">
        <v>8.26</v>
      </c>
      <c r="K38" s="44" t="s">
        <v>52</v>
      </c>
      <c r="L38" s="45" t="s">
        <v>25</v>
      </c>
      <c r="M38" s="46" t="s">
        <v>26</v>
      </c>
      <c r="N38" s="47">
        <f t="shared" si="1"/>
        <v>7</v>
      </c>
      <c r="O38" s="48" t="s">
        <v>69</v>
      </c>
      <c r="P38" s="71" t="s">
        <v>70</v>
      </c>
    </row>
    <row r="39" ht="15.0" customHeight="1">
      <c r="A39" s="34">
        <v>32.0</v>
      </c>
      <c r="B39" s="72" t="s">
        <v>71</v>
      </c>
      <c r="C39" s="61"/>
      <c r="D39" s="52">
        <v>9.94</v>
      </c>
      <c r="E39" s="53">
        <v>9.86</v>
      </c>
      <c r="F39" s="39">
        <v>9.75</v>
      </c>
      <c r="G39" s="54">
        <v>9.97</v>
      </c>
      <c r="H39" s="41">
        <v>9.88</v>
      </c>
      <c r="I39" s="55">
        <v>9.49</v>
      </c>
      <c r="J39" s="43">
        <v>9.88</v>
      </c>
      <c r="K39" s="44" t="s">
        <v>26</v>
      </c>
      <c r="L39" s="45" t="s">
        <v>26</v>
      </c>
      <c r="M39" s="46" t="s">
        <v>26</v>
      </c>
      <c r="N39" s="73">
        <f t="shared" si="1"/>
        <v>9.82</v>
      </c>
      <c r="O39" s="48" t="s">
        <v>27</v>
      </c>
      <c r="P39" s="49" t="s">
        <v>28</v>
      </c>
    </row>
    <row r="40" ht="15.0" customHeight="1">
      <c r="A40" s="34">
        <v>33.0</v>
      </c>
      <c r="B40" s="50" t="s">
        <v>72</v>
      </c>
      <c r="C40" s="51"/>
      <c r="D40" s="52">
        <v>7.83</v>
      </c>
      <c r="E40" s="63">
        <v>7.7</v>
      </c>
      <c r="F40" s="39">
        <v>7.33</v>
      </c>
      <c r="G40" s="65">
        <v>7.22</v>
      </c>
      <c r="H40" s="41">
        <v>7.38</v>
      </c>
      <c r="I40" s="55">
        <v>7.59</v>
      </c>
      <c r="J40" s="43">
        <v>7.99</v>
      </c>
      <c r="K40" s="44" t="s">
        <v>25</v>
      </c>
      <c r="L40" s="45" t="s">
        <v>26</v>
      </c>
      <c r="M40" s="46" t="s">
        <v>26</v>
      </c>
      <c r="N40" s="47">
        <f t="shared" si="1"/>
        <v>7.57</v>
      </c>
      <c r="O40" s="48" t="s">
        <v>27</v>
      </c>
      <c r="P40" s="49" t="s">
        <v>28</v>
      </c>
    </row>
    <row r="41" ht="14.25" customHeight="1">
      <c r="A41" s="34">
        <v>34.0</v>
      </c>
      <c r="B41" s="50" t="s">
        <v>73</v>
      </c>
      <c r="C41" s="51"/>
      <c r="D41" s="52">
        <v>9.54</v>
      </c>
      <c r="E41" s="63">
        <v>9.09</v>
      </c>
      <c r="F41" s="39">
        <v>9.12</v>
      </c>
      <c r="G41" s="54">
        <v>9.04</v>
      </c>
      <c r="H41" s="41">
        <v>9.0</v>
      </c>
      <c r="I41" s="55">
        <v>9.35</v>
      </c>
      <c r="J41" s="43">
        <v>9.16</v>
      </c>
      <c r="K41" s="44" t="s">
        <v>26</v>
      </c>
      <c r="L41" s="45" t="s">
        <v>26</v>
      </c>
      <c r="M41" s="46" t="s">
        <v>26</v>
      </c>
      <c r="N41" s="47">
        <f t="shared" si="1"/>
        <v>9.18</v>
      </c>
      <c r="O41" s="48" t="s">
        <v>27</v>
      </c>
      <c r="P41" s="49" t="s">
        <v>28</v>
      </c>
    </row>
    <row r="42" ht="15.0" customHeight="1">
      <c r="A42" s="34">
        <v>35.0</v>
      </c>
      <c r="B42" s="60" t="s">
        <v>74</v>
      </c>
      <c r="C42" s="61"/>
      <c r="D42" s="52">
        <v>9.5</v>
      </c>
      <c r="E42" s="53">
        <v>9.31</v>
      </c>
      <c r="F42" s="39">
        <v>9.26</v>
      </c>
      <c r="G42" s="54">
        <v>9.35</v>
      </c>
      <c r="H42" s="41">
        <v>9.09</v>
      </c>
      <c r="I42" s="55">
        <v>9.14</v>
      </c>
      <c r="J42" s="43">
        <v>9.64</v>
      </c>
      <c r="K42" s="44" t="s">
        <v>26</v>
      </c>
      <c r="L42" s="45" t="s">
        <v>26</v>
      </c>
      <c r="M42" s="46" t="s">
        <v>26</v>
      </c>
      <c r="N42" s="47">
        <f t="shared" si="1"/>
        <v>9.32</v>
      </c>
      <c r="O42" s="48" t="s">
        <v>27</v>
      </c>
      <c r="P42" s="49" t="s">
        <v>28</v>
      </c>
    </row>
    <row r="43" ht="14.25" customHeight="1">
      <c r="A43" s="74">
        <v>36.0</v>
      </c>
      <c r="B43" s="60" t="s">
        <v>75</v>
      </c>
      <c r="C43" s="61"/>
      <c r="D43" s="52">
        <v>8.94</v>
      </c>
      <c r="E43" s="53">
        <v>7.11</v>
      </c>
      <c r="F43" s="39">
        <v>7.04</v>
      </c>
      <c r="G43" s="54">
        <v>7.0</v>
      </c>
      <c r="H43" s="41">
        <v>7.98</v>
      </c>
      <c r="I43" s="55">
        <v>7.27</v>
      </c>
      <c r="J43" s="43">
        <v>7.92</v>
      </c>
      <c r="K43" s="44" t="s">
        <v>52</v>
      </c>
      <c r="L43" s="45" t="s">
        <v>26</v>
      </c>
      <c r="M43" s="46" t="s">
        <v>26</v>
      </c>
      <c r="N43" s="47">
        <f t="shared" si="1"/>
        <v>7.6</v>
      </c>
      <c r="O43" s="48" t="s">
        <v>34</v>
      </c>
      <c r="P43" s="49" t="s">
        <v>28</v>
      </c>
    </row>
    <row r="44" ht="15.0" customHeight="1">
      <c r="A44" s="75">
        <v>37.0</v>
      </c>
      <c r="B44" s="35" t="s">
        <v>76</v>
      </c>
      <c r="C44" s="36"/>
      <c r="D44" s="52">
        <v>7.0</v>
      </c>
      <c r="E44" s="53">
        <v>7.0</v>
      </c>
      <c r="F44" s="39">
        <v>7.0</v>
      </c>
      <c r="G44" s="40">
        <v>7.0</v>
      </c>
      <c r="H44" s="41">
        <v>7.07</v>
      </c>
      <c r="I44" s="55">
        <v>7.42</v>
      </c>
      <c r="J44" s="43">
        <v>7.41</v>
      </c>
      <c r="K44" s="44" t="s">
        <v>52</v>
      </c>
      <c r="L44" s="45" t="s">
        <v>26</v>
      </c>
      <c r="M44" s="46" t="s">
        <v>26</v>
      </c>
      <c r="N44" s="47">
        <f t="shared" si="1"/>
        <v>7.12</v>
      </c>
      <c r="O44" s="48" t="s">
        <v>34</v>
      </c>
      <c r="P44" s="76" t="s">
        <v>28</v>
      </c>
    </row>
    <row r="45" ht="15.0" customHeight="1">
      <c r="A45" s="75">
        <v>38.0</v>
      </c>
      <c r="B45" s="35" t="s">
        <v>77</v>
      </c>
      <c r="C45" s="36"/>
      <c r="D45" s="52">
        <v>9.09</v>
      </c>
      <c r="E45" s="63">
        <v>8.65</v>
      </c>
      <c r="F45" s="39">
        <v>8.56</v>
      </c>
      <c r="G45" s="54">
        <v>8.41</v>
      </c>
      <c r="H45" s="41">
        <v>8.53</v>
      </c>
      <c r="I45" s="55">
        <v>8.64</v>
      </c>
      <c r="J45" s="43">
        <v>9.33</v>
      </c>
      <c r="K45" s="44" t="s">
        <v>25</v>
      </c>
      <c r="L45" s="45" t="s">
        <v>26</v>
      </c>
      <c r="M45" s="46" t="s">
        <v>26</v>
      </c>
      <c r="N45" s="47">
        <f t="shared" si="1"/>
        <v>8.74</v>
      </c>
      <c r="O45" s="48" t="s">
        <v>27</v>
      </c>
      <c r="P45" s="77" t="s">
        <v>28</v>
      </c>
    </row>
    <row r="46" ht="15.0" customHeight="1">
      <c r="A46" s="75"/>
      <c r="B46" s="78" t="s">
        <v>78</v>
      </c>
      <c r="C46" s="36"/>
      <c r="D46" s="79">
        <f t="shared" ref="D46:J46" si="2">AVERAGE(D8:D45)</f>
        <v>8.981052632</v>
      </c>
      <c r="E46" s="80">
        <f t="shared" si="2"/>
        <v>8.505789474</v>
      </c>
      <c r="F46" s="81">
        <f t="shared" si="2"/>
        <v>8.643157895</v>
      </c>
      <c r="G46" s="82">
        <f t="shared" si="2"/>
        <v>8.662368421</v>
      </c>
      <c r="H46" s="83">
        <f t="shared" si="2"/>
        <v>8.531842105</v>
      </c>
      <c r="I46" s="84">
        <f t="shared" si="2"/>
        <v>8.741578947</v>
      </c>
      <c r="J46" s="85">
        <f t="shared" si="2"/>
        <v>9.055</v>
      </c>
      <c r="K46" s="86"/>
      <c r="L46" s="86"/>
      <c r="M46" s="87"/>
      <c r="N46" s="47">
        <f>AVERAGE(N8:N45)</f>
        <v>8.726315789</v>
      </c>
      <c r="O46" s="88"/>
      <c r="P46" s="89"/>
    </row>
    <row r="47" ht="15.0" customHeight="1">
      <c r="A47" s="90"/>
      <c r="B47" s="91"/>
      <c r="C47" s="91"/>
      <c r="D47" s="92"/>
      <c r="E47" s="92"/>
      <c r="F47" s="93"/>
      <c r="G47" s="92"/>
      <c r="H47" s="94"/>
      <c r="I47" s="94"/>
      <c r="J47" s="95"/>
      <c r="K47" s="94"/>
      <c r="L47" s="96"/>
      <c r="M47" s="97"/>
      <c r="N47" s="92"/>
      <c r="O47" s="96"/>
      <c r="P47" s="92"/>
      <c r="Q47" s="12"/>
    </row>
    <row r="48" ht="15.0" customHeight="1">
      <c r="A48" s="98"/>
      <c r="B48" s="99"/>
      <c r="C48" s="17"/>
      <c r="D48" s="92"/>
      <c r="E48" s="92"/>
      <c r="F48" s="93"/>
      <c r="G48" s="92"/>
      <c r="H48" s="94"/>
      <c r="I48" s="94"/>
      <c r="J48" s="95"/>
      <c r="K48" s="94"/>
      <c r="L48" s="96"/>
      <c r="M48" s="97"/>
      <c r="N48" s="92"/>
      <c r="O48" s="96"/>
      <c r="P48" s="92"/>
      <c r="Q48" s="12"/>
    </row>
    <row r="49" ht="15.0" customHeight="1">
      <c r="A49" s="98"/>
      <c r="B49" s="100" t="s">
        <v>79</v>
      </c>
      <c r="C49" s="17"/>
      <c r="D49" s="101" t="s">
        <v>80</v>
      </c>
      <c r="E49" s="102"/>
      <c r="F49" s="102"/>
      <c r="G49" s="103"/>
      <c r="H49" s="104"/>
      <c r="I49" s="101" t="s">
        <v>81</v>
      </c>
      <c r="J49" s="102"/>
      <c r="K49" s="102"/>
      <c r="L49" s="103"/>
      <c r="M49" s="93"/>
      <c r="N49" s="92"/>
      <c r="O49" s="96"/>
      <c r="P49" s="105"/>
      <c r="Q49" s="12"/>
    </row>
    <row r="50" ht="14.25" customHeight="1">
      <c r="A50" s="98"/>
      <c r="B50" s="100" t="s">
        <v>82</v>
      </c>
      <c r="C50" s="17"/>
      <c r="D50" s="101" t="s">
        <v>83</v>
      </c>
      <c r="E50" s="102"/>
      <c r="F50" s="102"/>
      <c r="G50" s="103"/>
      <c r="H50" s="104"/>
      <c r="I50" s="101" t="s">
        <v>84</v>
      </c>
      <c r="J50" s="102"/>
      <c r="K50" s="102"/>
      <c r="L50" s="103"/>
      <c r="M50" s="93"/>
      <c r="N50" s="106"/>
      <c r="O50" s="96"/>
      <c r="P50" s="105"/>
      <c r="Q50" s="12"/>
    </row>
    <row r="51" ht="14.25" customHeight="1">
      <c r="A51" s="98"/>
      <c r="B51" s="107" t="str">
        <f t="shared" ref="B51:B52" si="3">IFERROR(IF(AND($C$4="OCTAVO A",$K$3="MATUTINA"),VLOOKUP(A51,OCTAVO_A_MAT,2,FALSE),IF(AND($C$4="OCTAVO B",$K$3="MATUTINA"),VLOOKUP(A51,OCTAVO_B_MAT,2,FALSE),IF(AND($C$4="NOVENO A",$K$3="MATUTINA"),VLOOKUP(A51,NOVENO_A_MAT,2,FALSE),IF(AND($C$4="NOVENO B",$K$3="MATUTINA"),VLOOKUP(A51,NOVENO_B_MAT,2,FALSE),IF(AND($C$4="DÉCIMO A",$K$3="MATUTINA"),VLOOKUP(A51,DECIMO_A_MAT,2,FALSE),IF(AND($C$4="DÉCIMO B",$K$3="MATUTINA"),VLOOKUP(A51,DECIMO_B_MAT,2,FALSE),IF(AND($C$4="OCTAVO A",$K$3="VESPERTINA"),VLOOKUP(A51,OCTAVO_A_VESP,2,FALSE),IF(AND($C$4="OCTAVO B",$K$3="VESPERTINA"),VLOOKUP(A51,OCTAVO_B_VESP,2,FALSE),IF(AND($C$4="NOVENO A",$K$3="VESPERTINA"),VLOOKUP(A51,NOVENO_A_VESP,2,FALSE),IF(AND($C$4="NOVENO B",$K$3="VESPERTINA"),VLOOKUP(A51,NOVENO_B_VESP,2,FALSE),IF(AND($C$4="DÉCIMO A",$K$3="VESPERTINA"),VLOOKUP(A51,DECIMO_A_VESP,2,FALSE),IF(AND($C$4="DÉCIMO B",$K$3="VESPERTINA"),VLOOKUP(A51,DECIMO_B_VESP,2,FALSE),IF(AND($C$4="QUINTO A",$K$3="MATUTINA"),VLOOKUP(A51,QUINTO_A_MAT,2,FALSE),IF(AND($C$4="QUINTO B",$K$3="MATUTINA"),VLOOKUP(A51,QUINTO_B_MAT,2,FALSE),IF(AND($C$4="SEXTO A",$K$3="MATUTINA"),VLOOKUP(A51,SEXTO_A_MAT,2,FALSE),IF(AND($C$4="SEXTO B",$K$3="MATUTINA"),VLOOKUP(A51,SEXTO_B_MAT,2,FALSE),IF(AND($C$4="SÉPTIMO A",$K$3="MATUTINA"),VLOOKUP(A51,SEPTIMO_A_MATU,2,FALSE),IF(AND($C$4="SÉPTIMO B",$K$3="MATUTINA"),VLOOKUP(A51,SEPTIMO_B_MAT,2,FALSE),IF(AND($C$4="QUINTO A",$K$3="VESPERTINA"),VLOOKUP(A51,QUINTO_A_VES,2,FALSE),IF(AND($C$4="QUINTO B",$K$3="VESPERTINA"),VLOOKUP(A51,QUINTO_B_VES,2,FALSE),IF(AND($C$4="SEXTO A",$K$3="VESPERTINA"),VLOOKUP(A51,SEXTO_A_VES,2,FALSE),IF(AND($C$4="SEXTO B",$K$3="VESPERTINA"),VLOOKUP(A51,SEXTO_B_VES,2,FALSE),IF(AND($C$4="SÉPTIMO A",$K$3="VESPERTINA"),VLOOKUP(A51,SEPTIMO_A_VES,2,FALSE),IF(AND($C$4="SÉPTIMO B",$K$3="VESPERTINA"),VLOOKUP(A51,SEPTIMO_B_VES,2,FALSE),"")))))))))))))))))))))))),"")</f>
        <v/>
      </c>
      <c r="C51" s="17"/>
      <c r="D51" s="92"/>
      <c r="E51" s="92"/>
      <c r="F51" s="108"/>
      <c r="G51" s="16"/>
      <c r="H51" s="16"/>
      <c r="I51" s="16"/>
      <c r="J51" s="16"/>
      <c r="K51" s="16"/>
      <c r="L51" s="16"/>
      <c r="M51" s="17"/>
      <c r="N51" s="106"/>
      <c r="O51" s="95"/>
      <c r="P51" s="105"/>
      <c r="Q51" s="12"/>
    </row>
    <row r="52" ht="14.25" customHeight="1">
      <c r="A52" s="98"/>
      <c r="B52" s="107" t="str">
        <f t="shared" si="3"/>
        <v/>
      </c>
      <c r="C52" s="17"/>
      <c r="D52" s="92"/>
      <c r="E52" s="92"/>
      <c r="F52" s="92"/>
      <c r="G52" s="92"/>
      <c r="H52" s="92"/>
      <c r="I52" s="92"/>
      <c r="J52" s="95"/>
      <c r="K52" s="95"/>
      <c r="L52" s="95"/>
      <c r="M52" s="95"/>
      <c r="N52" s="92"/>
      <c r="O52" s="95"/>
      <c r="P52" s="105"/>
      <c r="Q52" s="12"/>
    </row>
    <row r="53" ht="14.25" customHeight="1">
      <c r="P53" s="12"/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A1:P1"/>
    <mergeCell ref="B2:P2"/>
    <mergeCell ref="C3:E3"/>
    <mergeCell ref="I3:J3"/>
    <mergeCell ref="K3:N3"/>
    <mergeCell ref="I4:J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6:C36"/>
    <mergeCell ref="B37:C37"/>
    <mergeCell ref="B38:C38"/>
    <mergeCell ref="B39:C39"/>
    <mergeCell ref="B40:C40"/>
    <mergeCell ref="B41:C41"/>
    <mergeCell ref="B42:C42"/>
    <mergeCell ref="B43:C43"/>
    <mergeCell ref="B50:C50"/>
    <mergeCell ref="D50:G50"/>
    <mergeCell ref="I50:L50"/>
    <mergeCell ref="B51:C51"/>
    <mergeCell ref="F51:M51"/>
    <mergeCell ref="B52:C52"/>
    <mergeCell ref="B44:C44"/>
    <mergeCell ref="B45:C45"/>
    <mergeCell ref="B46:C46"/>
    <mergeCell ref="B48:C48"/>
    <mergeCell ref="B49:C49"/>
    <mergeCell ref="D49:G49"/>
    <mergeCell ref="I49:L49"/>
  </mergeCells>
  <conditionalFormatting sqref="D8:J52 N46 K49:K50">
    <cfRule type="cellIs" dxfId="0" priority="1" operator="lessThan">
      <formula>7</formula>
    </cfRule>
  </conditionalFormatting>
  <conditionalFormatting sqref="D8:J52 N46 K49:K50">
    <cfRule type="cellIs" dxfId="0" priority="2" operator="lessThan">
      <formula>6.29</formula>
    </cfRule>
  </conditionalFormatting>
  <conditionalFormatting sqref="N8:N52">
    <cfRule type="cellIs" dxfId="1" priority="3" operator="lessThan">
      <formula>7</formula>
    </cfRule>
  </conditionalFormatting>
  <dataValidations>
    <dataValidation type="list" allowBlank="1" showErrorMessage="1" sqref="K3">
      <formula1>"MATUTINA,VESPERTINA"</formula1>
    </dataValidation>
    <dataValidation type="list" allowBlank="1" showErrorMessage="1" sqref="C4">
      <formula1>"QUINTO A,QUINTO B,SEXTO A,SEXTO B,SÉPTIMO A,SÉPTIMO B,OCTAVO A,OCTAVO B,NOVENO A,NOVENO B,DÉCIMO A,DÉCIMO B"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43"/>
    <col customWidth="1" min="3" max="3" width="12.14"/>
    <col customWidth="1" min="4" max="13" width="6.29"/>
    <col customWidth="1" min="14" max="14" width="8.14"/>
    <col customWidth="1" min="15" max="15" width="7.57"/>
    <col customWidth="1" min="16" max="16" width="15.14"/>
    <col customWidth="1" min="17" max="17" width="21.43"/>
    <col customWidth="1" min="18" max="18" width="6.29"/>
  </cols>
  <sheetData>
    <row r="1" ht="72.75" customHeight="1">
      <c r="A1" s="1" t="s">
        <v>85</v>
      </c>
    </row>
    <row r="2" ht="14.25" customHeight="1">
      <c r="A2" s="2"/>
      <c r="B2" s="3" t="s">
        <v>1</v>
      </c>
    </row>
    <row r="3" ht="14.25" customHeight="1">
      <c r="B3" s="4" t="s">
        <v>86</v>
      </c>
      <c r="C3" s="101" t="s">
        <v>87</v>
      </c>
      <c r="D3" s="102"/>
      <c r="E3" s="103"/>
      <c r="F3" s="6"/>
      <c r="G3" s="6"/>
      <c r="H3" s="6"/>
      <c r="I3" s="7" t="s">
        <v>3</v>
      </c>
      <c r="K3" s="8" t="s">
        <v>4</v>
      </c>
    </row>
    <row r="4" ht="12.0" customHeight="1">
      <c r="B4" s="9" t="s">
        <v>5</v>
      </c>
      <c r="C4" s="10" t="s">
        <v>88</v>
      </c>
      <c r="D4" s="11" t="s">
        <v>89</v>
      </c>
      <c r="E4" s="6"/>
      <c r="F4" s="6"/>
      <c r="G4" s="6"/>
      <c r="H4" s="6"/>
      <c r="I4" s="7"/>
      <c r="K4" s="12"/>
      <c r="M4" s="6"/>
    </row>
    <row r="5" ht="14.25" customHeight="1">
      <c r="B5" s="15" t="s">
        <v>7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7"/>
    </row>
    <row r="6" ht="130.5" customHeight="1">
      <c r="A6" s="109" t="s">
        <v>90</v>
      </c>
      <c r="B6" s="19" t="s">
        <v>9</v>
      </c>
      <c r="C6" s="20"/>
      <c r="D6" s="21" t="s">
        <v>10</v>
      </c>
      <c r="E6" s="22" t="s">
        <v>11</v>
      </c>
      <c r="F6" s="23" t="s">
        <v>12</v>
      </c>
      <c r="G6" s="24" t="s">
        <v>13</v>
      </c>
      <c r="H6" s="25" t="s">
        <v>14</v>
      </c>
      <c r="I6" s="26" t="s">
        <v>15</v>
      </c>
      <c r="J6" s="27" t="s">
        <v>16</v>
      </c>
      <c r="K6" s="28" t="s">
        <v>17</v>
      </c>
      <c r="L6" s="29" t="s">
        <v>18</v>
      </c>
      <c r="M6" s="30" t="s">
        <v>19</v>
      </c>
      <c r="N6" s="31" t="s">
        <v>20</v>
      </c>
      <c r="O6" s="32" t="s">
        <v>21</v>
      </c>
      <c r="P6" s="33" t="s">
        <v>22</v>
      </c>
    </row>
    <row r="7" ht="14.25" customHeight="1">
      <c r="A7" s="75">
        <v>1.0</v>
      </c>
      <c r="B7" s="110" t="s">
        <v>91</v>
      </c>
      <c r="C7" s="111"/>
      <c r="D7" s="37" t="s">
        <v>92</v>
      </c>
      <c r="E7" s="112">
        <v>8.62</v>
      </c>
      <c r="F7" s="39">
        <v>8.19</v>
      </c>
      <c r="G7" s="113">
        <v>7.95</v>
      </c>
      <c r="H7" s="114">
        <v>8.47</v>
      </c>
      <c r="I7" s="115">
        <v>8.0</v>
      </c>
      <c r="J7" s="43">
        <v>8.97</v>
      </c>
      <c r="K7" s="44" t="s">
        <v>25</v>
      </c>
      <c r="L7" s="116" t="s">
        <v>26</v>
      </c>
      <c r="M7" s="43" t="s">
        <v>26</v>
      </c>
      <c r="N7" s="47">
        <f t="shared" ref="N7:N46" si="1">TRUNC(AVERAGE(D7:J7),2)</f>
        <v>8.36</v>
      </c>
      <c r="O7" s="117" t="s">
        <v>27</v>
      </c>
      <c r="P7" s="118" t="s">
        <v>28</v>
      </c>
    </row>
    <row r="8" ht="15.0" customHeight="1">
      <c r="A8" s="75">
        <v>2.0</v>
      </c>
      <c r="B8" s="119" t="s">
        <v>93</v>
      </c>
      <c r="C8" s="120"/>
      <c r="D8" s="52" t="s">
        <v>94</v>
      </c>
      <c r="E8" s="112">
        <v>9.16</v>
      </c>
      <c r="F8" s="39">
        <v>8.78</v>
      </c>
      <c r="G8" s="121">
        <v>8.62</v>
      </c>
      <c r="H8" s="114">
        <v>8.25</v>
      </c>
      <c r="I8" s="122">
        <v>8.72</v>
      </c>
      <c r="J8" s="43">
        <v>9.31</v>
      </c>
      <c r="K8" s="44" t="s">
        <v>26</v>
      </c>
      <c r="L8" s="116" t="s">
        <v>26</v>
      </c>
      <c r="M8" s="123" t="s">
        <v>52</v>
      </c>
      <c r="N8" s="47">
        <f t="shared" si="1"/>
        <v>8.8</v>
      </c>
      <c r="O8" s="117" t="s">
        <v>27</v>
      </c>
      <c r="P8" s="118" t="s">
        <v>28</v>
      </c>
      <c r="Q8" s="56" t="s">
        <v>30</v>
      </c>
      <c r="R8" s="57">
        <f>LARGE(N7:N46,1)</f>
        <v>9.87</v>
      </c>
      <c r="S8" s="110" t="s">
        <v>95</v>
      </c>
      <c r="T8" s="124"/>
    </row>
    <row r="9" ht="15.0" customHeight="1">
      <c r="A9" s="75">
        <v>3.0</v>
      </c>
      <c r="B9" s="110" t="s">
        <v>96</v>
      </c>
      <c r="C9" s="124"/>
      <c r="D9" s="52" t="s">
        <v>97</v>
      </c>
      <c r="E9" s="112">
        <v>9.76</v>
      </c>
      <c r="F9" s="39">
        <v>9.28</v>
      </c>
      <c r="G9" s="121">
        <v>9.75</v>
      </c>
      <c r="H9" s="114">
        <v>8.88</v>
      </c>
      <c r="I9" s="122">
        <v>9.42</v>
      </c>
      <c r="J9" s="43">
        <v>9.93</v>
      </c>
      <c r="K9" s="44" t="s">
        <v>26</v>
      </c>
      <c r="L9" s="116" t="s">
        <v>26</v>
      </c>
      <c r="M9" s="123" t="s">
        <v>26</v>
      </c>
      <c r="N9" s="47">
        <f t="shared" si="1"/>
        <v>9.5</v>
      </c>
      <c r="O9" s="117" t="s">
        <v>27</v>
      </c>
      <c r="P9" s="118" t="s">
        <v>28</v>
      </c>
      <c r="Q9" s="56" t="s">
        <v>35</v>
      </c>
      <c r="R9" s="59">
        <f>LARGE(N7:N46,2)</f>
        <v>9.83</v>
      </c>
      <c r="S9" s="110" t="s">
        <v>98</v>
      </c>
      <c r="T9" s="124"/>
    </row>
    <row r="10" ht="15.0" customHeight="1">
      <c r="A10" s="75">
        <v>4.0</v>
      </c>
      <c r="B10" s="110" t="s">
        <v>99</v>
      </c>
      <c r="C10" s="124"/>
      <c r="D10" s="52" t="s">
        <v>100</v>
      </c>
      <c r="E10" s="112">
        <v>9.24</v>
      </c>
      <c r="F10" s="39">
        <v>9.4</v>
      </c>
      <c r="G10" s="121">
        <v>9.17</v>
      </c>
      <c r="H10" s="114">
        <v>9.36</v>
      </c>
      <c r="I10" s="122">
        <v>9.11</v>
      </c>
      <c r="J10" s="43">
        <v>9.64</v>
      </c>
      <c r="K10" s="44" t="s">
        <v>26</v>
      </c>
      <c r="L10" s="116" t="s">
        <v>26</v>
      </c>
      <c r="M10" s="123" t="s">
        <v>26</v>
      </c>
      <c r="N10" s="47">
        <f t="shared" si="1"/>
        <v>9.32</v>
      </c>
      <c r="O10" s="117" t="s">
        <v>27</v>
      </c>
      <c r="P10" s="118" t="s">
        <v>28</v>
      </c>
      <c r="Q10" s="56" t="s">
        <v>38</v>
      </c>
      <c r="R10" s="59">
        <f>LARGE(N7:N46,3)</f>
        <v>9.71</v>
      </c>
      <c r="S10" s="110" t="s">
        <v>101</v>
      </c>
      <c r="T10" s="124"/>
    </row>
    <row r="11" ht="15.0" customHeight="1">
      <c r="A11" s="75">
        <v>5.0</v>
      </c>
      <c r="B11" s="110" t="s">
        <v>102</v>
      </c>
      <c r="C11" s="124"/>
      <c r="D11" s="52" t="s">
        <v>103</v>
      </c>
      <c r="E11" s="112">
        <v>7.0</v>
      </c>
      <c r="F11" s="39">
        <v>7.84</v>
      </c>
      <c r="G11" s="121">
        <v>7.41</v>
      </c>
      <c r="H11" s="114">
        <v>7.59</v>
      </c>
      <c r="I11" s="122">
        <v>8.22</v>
      </c>
      <c r="J11" s="43">
        <v>8.5</v>
      </c>
      <c r="K11" s="44" t="s">
        <v>52</v>
      </c>
      <c r="L11" s="116" t="s">
        <v>52</v>
      </c>
      <c r="M11" s="123" t="s">
        <v>52</v>
      </c>
      <c r="N11" s="47">
        <f t="shared" si="1"/>
        <v>7.76</v>
      </c>
      <c r="O11" s="117" t="s">
        <v>34</v>
      </c>
      <c r="P11" s="118" t="s">
        <v>28</v>
      </c>
    </row>
    <row r="12" ht="15.0" customHeight="1">
      <c r="A12" s="75">
        <v>6.0</v>
      </c>
      <c r="B12" s="110" t="s">
        <v>104</v>
      </c>
      <c r="C12" s="124"/>
      <c r="D12" s="52" t="s">
        <v>105</v>
      </c>
      <c r="E12" s="112">
        <v>8.08</v>
      </c>
      <c r="F12" s="39">
        <v>7.0</v>
      </c>
      <c r="G12" s="121">
        <v>7.13</v>
      </c>
      <c r="H12" s="114">
        <v>8.17</v>
      </c>
      <c r="I12" s="122">
        <v>7.42</v>
      </c>
      <c r="J12" s="43">
        <v>8.54</v>
      </c>
      <c r="K12" s="44" t="s">
        <v>25</v>
      </c>
      <c r="L12" s="116" t="s">
        <v>25</v>
      </c>
      <c r="M12" s="123" t="s">
        <v>26</v>
      </c>
      <c r="N12" s="47">
        <f t="shared" si="1"/>
        <v>7.72</v>
      </c>
      <c r="O12" s="117" t="s">
        <v>69</v>
      </c>
      <c r="P12" s="118" t="s">
        <v>28</v>
      </c>
    </row>
    <row r="13" ht="15.0" customHeight="1">
      <c r="A13" s="75">
        <v>7.0</v>
      </c>
      <c r="B13" s="110" t="s">
        <v>106</v>
      </c>
      <c r="C13" s="124"/>
      <c r="D13" s="52" t="s">
        <v>107</v>
      </c>
      <c r="E13" s="112">
        <v>9.11</v>
      </c>
      <c r="F13" s="39">
        <v>8.65</v>
      </c>
      <c r="G13" s="121">
        <v>8.25</v>
      </c>
      <c r="H13" s="114">
        <v>8.0</v>
      </c>
      <c r="I13" s="122">
        <v>8.74</v>
      </c>
      <c r="J13" s="43">
        <v>9.23</v>
      </c>
      <c r="K13" s="44" t="s">
        <v>25</v>
      </c>
      <c r="L13" s="116" t="s">
        <v>26</v>
      </c>
      <c r="M13" s="123" t="s">
        <v>26</v>
      </c>
      <c r="N13" s="47">
        <f t="shared" si="1"/>
        <v>8.66</v>
      </c>
      <c r="O13" s="117" t="s">
        <v>27</v>
      </c>
      <c r="P13" s="118" t="s">
        <v>28</v>
      </c>
    </row>
    <row r="14" ht="15.0" customHeight="1">
      <c r="A14" s="75">
        <v>8.0</v>
      </c>
      <c r="B14" s="110" t="s">
        <v>108</v>
      </c>
      <c r="C14" s="124"/>
      <c r="D14" s="52" t="s">
        <v>109</v>
      </c>
      <c r="E14" s="112">
        <v>8.8</v>
      </c>
      <c r="F14" s="39">
        <v>7.66</v>
      </c>
      <c r="G14" s="121">
        <v>7.58</v>
      </c>
      <c r="H14" s="114">
        <v>8.28</v>
      </c>
      <c r="I14" s="122">
        <v>8.18</v>
      </c>
      <c r="J14" s="43">
        <v>8.65</v>
      </c>
      <c r="K14" s="44" t="s">
        <v>25</v>
      </c>
      <c r="L14" s="116" t="s">
        <v>26</v>
      </c>
      <c r="M14" s="123" t="s">
        <v>26</v>
      </c>
      <c r="N14" s="47">
        <f t="shared" si="1"/>
        <v>8.19</v>
      </c>
      <c r="O14" s="117" t="s">
        <v>27</v>
      </c>
      <c r="P14" s="118" t="s">
        <v>28</v>
      </c>
    </row>
    <row r="15" ht="15.0" customHeight="1">
      <c r="A15" s="75">
        <v>9.0</v>
      </c>
      <c r="B15" s="110" t="s">
        <v>110</v>
      </c>
      <c r="C15" s="124"/>
      <c r="D15" s="52" t="s">
        <v>111</v>
      </c>
      <c r="E15" s="112">
        <v>9.38</v>
      </c>
      <c r="F15" s="39">
        <v>8.7</v>
      </c>
      <c r="G15" s="121">
        <v>9.31</v>
      </c>
      <c r="H15" s="114">
        <v>8.76</v>
      </c>
      <c r="I15" s="122">
        <v>8.98</v>
      </c>
      <c r="J15" s="43">
        <v>9.17</v>
      </c>
      <c r="K15" s="44" t="s">
        <v>25</v>
      </c>
      <c r="L15" s="116" t="s">
        <v>26</v>
      </c>
      <c r="M15" s="123" t="s">
        <v>26</v>
      </c>
      <c r="N15" s="47">
        <f t="shared" si="1"/>
        <v>9.05</v>
      </c>
      <c r="O15" s="117" t="s">
        <v>27</v>
      </c>
      <c r="P15" s="118" t="s">
        <v>28</v>
      </c>
    </row>
    <row r="16" ht="15.0" customHeight="1">
      <c r="A16" s="75">
        <v>10.0</v>
      </c>
      <c r="B16" s="110" t="s">
        <v>112</v>
      </c>
      <c r="C16" s="124"/>
      <c r="D16" s="52" t="s">
        <v>113</v>
      </c>
      <c r="E16" s="112">
        <v>7.86</v>
      </c>
      <c r="F16" s="39">
        <v>7.97</v>
      </c>
      <c r="G16" s="121">
        <v>7.91</v>
      </c>
      <c r="H16" s="114">
        <v>7.77</v>
      </c>
      <c r="I16" s="122">
        <v>8.28</v>
      </c>
      <c r="J16" s="43">
        <v>8.33</v>
      </c>
      <c r="K16" s="44" t="s">
        <v>26</v>
      </c>
      <c r="L16" s="116" t="s">
        <v>25</v>
      </c>
      <c r="M16" s="123" t="s">
        <v>26</v>
      </c>
      <c r="N16" s="47">
        <f t="shared" si="1"/>
        <v>8.02</v>
      </c>
      <c r="O16" s="117" t="s">
        <v>27</v>
      </c>
      <c r="P16" s="118" t="s">
        <v>28</v>
      </c>
    </row>
    <row r="17" ht="15.0" customHeight="1">
      <c r="A17" s="75">
        <v>11.0</v>
      </c>
      <c r="B17" s="110" t="s">
        <v>114</v>
      </c>
      <c r="C17" s="124"/>
      <c r="D17" s="52" t="s">
        <v>115</v>
      </c>
      <c r="E17" s="112">
        <v>8.49</v>
      </c>
      <c r="F17" s="39">
        <v>8.95</v>
      </c>
      <c r="G17" s="121">
        <v>9.18</v>
      </c>
      <c r="H17" s="114">
        <v>8.92</v>
      </c>
      <c r="I17" s="122">
        <v>8.85</v>
      </c>
      <c r="J17" s="43">
        <v>9.71</v>
      </c>
      <c r="K17" s="44" t="s">
        <v>26</v>
      </c>
      <c r="L17" s="116" t="s">
        <v>26</v>
      </c>
      <c r="M17" s="123" t="s">
        <v>26</v>
      </c>
      <c r="N17" s="47">
        <f t="shared" si="1"/>
        <v>9.01</v>
      </c>
      <c r="O17" s="117" t="s">
        <v>27</v>
      </c>
      <c r="P17" s="118" t="s">
        <v>28</v>
      </c>
    </row>
    <row r="18" ht="15.0" customHeight="1">
      <c r="A18" s="75">
        <v>12.0</v>
      </c>
      <c r="B18" s="119" t="s">
        <v>116</v>
      </c>
      <c r="C18" s="120"/>
      <c r="D18" s="52" t="s">
        <v>117</v>
      </c>
      <c r="E18" s="112">
        <v>9.13</v>
      </c>
      <c r="F18" s="39">
        <v>8.85</v>
      </c>
      <c r="G18" s="121">
        <v>9.12</v>
      </c>
      <c r="H18" s="114">
        <v>8.28</v>
      </c>
      <c r="I18" s="122">
        <v>8.85</v>
      </c>
      <c r="J18" s="43">
        <v>9.45</v>
      </c>
      <c r="K18" s="44" t="s">
        <v>26</v>
      </c>
      <c r="L18" s="116" t="s">
        <v>26</v>
      </c>
      <c r="M18" s="123" t="s">
        <v>26</v>
      </c>
      <c r="N18" s="47">
        <f t="shared" si="1"/>
        <v>8.94</v>
      </c>
      <c r="O18" s="117" t="s">
        <v>27</v>
      </c>
      <c r="P18" s="118" t="s">
        <v>28</v>
      </c>
    </row>
    <row r="19" ht="15.0" customHeight="1">
      <c r="A19" s="75">
        <v>13.0</v>
      </c>
      <c r="B19" s="110" t="s">
        <v>118</v>
      </c>
      <c r="C19" s="124"/>
      <c r="D19" s="52" t="s">
        <v>119</v>
      </c>
      <c r="E19" s="112">
        <v>7.0</v>
      </c>
      <c r="F19" s="39">
        <v>7.0</v>
      </c>
      <c r="G19" s="121">
        <v>7.15</v>
      </c>
      <c r="H19" s="114">
        <v>7.0</v>
      </c>
      <c r="I19" s="122">
        <v>7.72</v>
      </c>
      <c r="J19" s="43">
        <v>7.57</v>
      </c>
      <c r="K19" s="44" t="s">
        <v>52</v>
      </c>
      <c r="L19" s="116" t="s">
        <v>25</v>
      </c>
      <c r="M19" s="123" t="s">
        <v>26</v>
      </c>
      <c r="N19" s="47">
        <f t="shared" si="1"/>
        <v>7.24</v>
      </c>
      <c r="O19" s="117" t="s">
        <v>27</v>
      </c>
      <c r="P19" s="118" t="s">
        <v>28</v>
      </c>
    </row>
    <row r="20" ht="15.0" customHeight="1">
      <c r="A20" s="75">
        <v>14.0</v>
      </c>
      <c r="B20" s="110" t="s">
        <v>120</v>
      </c>
      <c r="C20" s="124"/>
      <c r="D20" s="52" t="s">
        <v>121</v>
      </c>
      <c r="E20" s="112">
        <v>7.18</v>
      </c>
      <c r="F20" s="39">
        <v>8.22</v>
      </c>
      <c r="G20" s="121">
        <v>7.99</v>
      </c>
      <c r="H20" s="114">
        <v>7.95</v>
      </c>
      <c r="I20" s="122">
        <v>7.98</v>
      </c>
      <c r="J20" s="43">
        <v>8.84</v>
      </c>
      <c r="K20" s="44" t="s">
        <v>25</v>
      </c>
      <c r="L20" s="116" t="s">
        <v>25</v>
      </c>
      <c r="M20" s="123" t="s">
        <v>52</v>
      </c>
      <c r="N20" s="47">
        <f t="shared" si="1"/>
        <v>8.02</v>
      </c>
      <c r="O20" s="117" t="s">
        <v>27</v>
      </c>
      <c r="P20" s="118" t="s">
        <v>28</v>
      </c>
    </row>
    <row r="21" ht="15.0" customHeight="1">
      <c r="A21" s="75">
        <v>15.0</v>
      </c>
      <c r="B21" s="110" t="s">
        <v>122</v>
      </c>
      <c r="C21" s="124"/>
      <c r="D21" s="52" t="s">
        <v>123</v>
      </c>
      <c r="E21" s="112">
        <v>7.29</v>
      </c>
      <c r="F21" s="39">
        <v>7.4</v>
      </c>
      <c r="G21" s="121">
        <v>7.66</v>
      </c>
      <c r="H21" s="114">
        <v>7.76</v>
      </c>
      <c r="I21" s="122">
        <v>8.08</v>
      </c>
      <c r="J21" s="43">
        <v>8.72</v>
      </c>
      <c r="K21" s="44" t="s">
        <v>25</v>
      </c>
      <c r="L21" s="116" t="s">
        <v>26</v>
      </c>
      <c r="M21" s="123" t="s">
        <v>25</v>
      </c>
      <c r="N21" s="47">
        <f t="shared" si="1"/>
        <v>7.81</v>
      </c>
      <c r="O21" s="117" t="s">
        <v>27</v>
      </c>
      <c r="P21" s="118" t="s">
        <v>28</v>
      </c>
    </row>
    <row r="22" ht="15.0" customHeight="1">
      <c r="A22" s="75">
        <v>16.0</v>
      </c>
      <c r="B22" s="110" t="s">
        <v>98</v>
      </c>
      <c r="C22" s="124"/>
      <c r="D22" s="52" t="s">
        <v>124</v>
      </c>
      <c r="E22" s="112">
        <v>9.86</v>
      </c>
      <c r="F22" s="39">
        <v>9.8</v>
      </c>
      <c r="G22" s="121">
        <v>9.87</v>
      </c>
      <c r="H22" s="114">
        <v>9.64</v>
      </c>
      <c r="I22" s="122">
        <v>9.88</v>
      </c>
      <c r="J22" s="43">
        <v>9.98</v>
      </c>
      <c r="K22" s="44" t="s">
        <v>26</v>
      </c>
      <c r="L22" s="116" t="s">
        <v>26</v>
      </c>
      <c r="M22" s="123" t="s">
        <v>26</v>
      </c>
      <c r="N22" s="47">
        <f t="shared" si="1"/>
        <v>9.83</v>
      </c>
      <c r="O22" s="117" t="s">
        <v>27</v>
      </c>
      <c r="P22" s="118" t="s">
        <v>28</v>
      </c>
    </row>
    <row r="23" ht="15.0" customHeight="1">
      <c r="A23" s="75">
        <v>17.0</v>
      </c>
      <c r="B23" s="110" t="s">
        <v>125</v>
      </c>
      <c r="C23" s="124"/>
      <c r="D23" s="52" t="s">
        <v>126</v>
      </c>
      <c r="E23" s="125">
        <v>7.58</v>
      </c>
      <c r="F23" s="39">
        <v>7.06</v>
      </c>
      <c r="G23" s="121">
        <v>7.07</v>
      </c>
      <c r="H23" s="114">
        <v>7.09</v>
      </c>
      <c r="I23" s="122">
        <v>7.5</v>
      </c>
      <c r="J23" s="43">
        <v>7.97</v>
      </c>
      <c r="K23" s="44" t="s">
        <v>52</v>
      </c>
      <c r="L23" s="116" t="s">
        <v>25</v>
      </c>
      <c r="M23" s="123" t="s">
        <v>26</v>
      </c>
      <c r="N23" s="47">
        <f t="shared" si="1"/>
        <v>7.37</v>
      </c>
      <c r="O23" s="117" t="s">
        <v>34</v>
      </c>
      <c r="P23" s="118" t="s">
        <v>28</v>
      </c>
    </row>
    <row r="24" ht="15.0" customHeight="1">
      <c r="A24" s="75">
        <v>18.0</v>
      </c>
      <c r="B24" s="110" t="s">
        <v>127</v>
      </c>
      <c r="C24" s="124"/>
      <c r="D24" s="52" t="s">
        <v>128</v>
      </c>
      <c r="E24" s="112">
        <v>9.87</v>
      </c>
      <c r="F24" s="39">
        <v>9.61</v>
      </c>
      <c r="G24" s="121">
        <v>9.72</v>
      </c>
      <c r="H24" s="114">
        <v>9.69</v>
      </c>
      <c r="I24" s="122">
        <v>9.34</v>
      </c>
      <c r="J24" s="43">
        <v>9.87</v>
      </c>
      <c r="K24" s="44" t="s">
        <v>26</v>
      </c>
      <c r="L24" s="116" t="s">
        <v>26</v>
      </c>
      <c r="M24" s="123" t="s">
        <v>52</v>
      </c>
      <c r="N24" s="47">
        <f t="shared" si="1"/>
        <v>9.68</v>
      </c>
      <c r="O24" s="117" t="s">
        <v>27</v>
      </c>
      <c r="P24" s="118" t="s">
        <v>28</v>
      </c>
    </row>
    <row r="25" ht="15.0" customHeight="1">
      <c r="A25" s="75">
        <v>19.0</v>
      </c>
      <c r="B25" s="110" t="s">
        <v>129</v>
      </c>
      <c r="C25" s="124"/>
      <c r="D25" s="52" t="s">
        <v>130</v>
      </c>
      <c r="E25" s="112">
        <v>7.31</v>
      </c>
      <c r="F25" s="39">
        <v>8.54</v>
      </c>
      <c r="G25" s="121">
        <v>7.98</v>
      </c>
      <c r="H25" s="114">
        <v>7.35</v>
      </c>
      <c r="I25" s="122">
        <v>8.05</v>
      </c>
      <c r="J25" s="43">
        <v>8.01</v>
      </c>
      <c r="K25" s="44" t="s">
        <v>25</v>
      </c>
      <c r="L25" s="116" t="s">
        <v>25</v>
      </c>
      <c r="M25" s="123" t="s">
        <v>52</v>
      </c>
      <c r="N25" s="47">
        <f t="shared" si="1"/>
        <v>7.87</v>
      </c>
      <c r="O25" s="117" t="s">
        <v>27</v>
      </c>
      <c r="P25" s="118" t="s">
        <v>28</v>
      </c>
    </row>
    <row r="26" ht="15.0" customHeight="1">
      <c r="A26" s="75">
        <v>20.0</v>
      </c>
      <c r="B26" s="110" t="s">
        <v>131</v>
      </c>
      <c r="C26" s="124"/>
      <c r="D26" s="52" t="s">
        <v>94</v>
      </c>
      <c r="E26" s="112">
        <v>8.96</v>
      </c>
      <c r="F26" s="39">
        <v>8.24</v>
      </c>
      <c r="G26" s="121">
        <v>8.15</v>
      </c>
      <c r="H26" s="114">
        <v>8.65</v>
      </c>
      <c r="I26" s="122">
        <v>8.7</v>
      </c>
      <c r="J26" s="43">
        <v>9.14</v>
      </c>
      <c r="K26" s="44" t="s">
        <v>26</v>
      </c>
      <c r="L26" s="116" t="s">
        <v>25</v>
      </c>
      <c r="M26" s="123" t="s">
        <v>26</v>
      </c>
      <c r="N26" s="47">
        <f t="shared" si="1"/>
        <v>8.64</v>
      </c>
      <c r="O26" s="117" t="s">
        <v>27</v>
      </c>
      <c r="P26" s="118" t="s">
        <v>28</v>
      </c>
    </row>
    <row r="27" ht="15.0" customHeight="1">
      <c r="A27" s="75">
        <v>21.0</v>
      </c>
      <c r="B27" s="110" t="s">
        <v>132</v>
      </c>
      <c r="C27" s="124"/>
      <c r="D27" s="52">
        <v>7.01</v>
      </c>
      <c r="E27" s="112">
        <v>7.04</v>
      </c>
      <c r="F27" s="39">
        <v>7.02</v>
      </c>
      <c r="G27" s="121">
        <v>7.06</v>
      </c>
      <c r="H27" s="114">
        <v>7.06</v>
      </c>
      <c r="I27" s="122">
        <v>7.08</v>
      </c>
      <c r="J27" s="43">
        <v>7.45</v>
      </c>
      <c r="K27" s="44" t="s">
        <v>52</v>
      </c>
      <c r="L27" s="116" t="s">
        <v>52</v>
      </c>
      <c r="M27" s="123" t="s">
        <v>25</v>
      </c>
      <c r="N27" s="47">
        <f t="shared" si="1"/>
        <v>7.1</v>
      </c>
      <c r="O27" s="117" t="s">
        <v>69</v>
      </c>
      <c r="P27" s="118" t="s">
        <v>28</v>
      </c>
    </row>
    <row r="28" ht="18.0" customHeight="1">
      <c r="A28" s="75">
        <v>22.0</v>
      </c>
      <c r="B28" s="110" t="s">
        <v>133</v>
      </c>
      <c r="C28" s="124"/>
      <c r="D28" s="52" t="s">
        <v>134</v>
      </c>
      <c r="E28" s="125">
        <v>8.14</v>
      </c>
      <c r="F28" s="39">
        <v>7.08</v>
      </c>
      <c r="G28" s="121">
        <v>7.54</v>
      </c>
      <c r="H28" s="114">
        <v>8.13</v>
      </c>
      <c r="I28" s="122">
        <v>8.18</v>
      </c>
      <c r="J28" s="43">
        <v>8.5</v>
      </c>
      <c r="K28" s="44" t="s">
        <v>26</v>
      </c>
      <c r="L28" s="116" t="s">
        <v>25</v>
      </c>
      <c r="M28" s="123" t="s">
        <v>25</v>
      </c>
      <c r="N28" s="47">
        <f t="shared" si="1"/>
        <v>7.92</v>
      </c>
      <c r="O28" s="117" t="s">
        <v>27</v>
      </c>
      <c r="P28" s="118" t="s">
        <v>28</v>
      </c>
    </row>
    <row r="29" ht="15.0" customHeight="1">
      <c r="A29" s="75">
        <v>23.0</v>
      </c>
      <c r="B29" s="110" t="s">
        <v>135</v>
      </c>
      <c r="C29" s="124"/>
      <c r="D29" s="52">
        <v>5.24</v>
      </c>
      <c r="E29" s="112">
        <v>4.44</v>
      </c>
      <c r="F29" s="126">
        <v>5.1</v>
      </c>
      <c r="G29" s="121">
        <v>3.68</v>
      </c>
      <c r="H29" s="114">
        <v>4.75</v>
      </c>
      <c r="I29" s="122">
        <v>5.09</v>
      </c>
      <c r="J29" s="43">
        <v>4.5</v>
      </c>
      <c r="K29" s="44" t="s">
        <v>136</v>
      </c>
      <c r="L29" s="116" t="s">
        <v>137</v>
      </c>
      <c r="M29" s="123"/>
      <c r="N29" s="47">
        <f t="shared" si="1"/>
        <v>4.68</v>
      </c>
      <c r="O29" s="117" t="s">
        <v>138</v>
      </c>
      <c r="P29" s="127" t="s">
        <v>139</v>
      </c>
    </row>
    <row r="30" ht="18.0" customHeight="1">
      <c r="A30" s="75">
        <v>24.0</v>
      </c>
      <c r="B30" s="110" t="s">
        <v>140</v>
      </c>
      <c r="C30" s="124"/>
      <c r="D30" s="52" t="s">
        <v>141</v>
      </c>
      <c r="E30" s="112">
        <v>8.33</v>
      </c>
      <c r="F30" s="39">
        <v>8.4</v>
      </c>
      <c r="G30" s="121">
        <v>7.92</v>
      </c>
      <c r="H30" s="114">
        <v>7.54</v>
      </c>
      <c r="I30" s="122">
        <v>8.67</v>
      </c>
      <c r="J30" s="43">
        <v>8.74</v>
      </c>
      <c r="K30" s="44" t="s">
        <v>26</v>
      </c>
      <c r="L30" s="116" t="s">
        <v>26</v>
      </c>
      <c r="M30" s="123" t="s">
        <v>26</v>
      </c>
      <c r="N30" s="47">
        <f t="shared" si="1"/>
        <v>8.26</v>
      </c>
      <c r="O30" s="117" t="s">
        <v>27</v>
      </c>
      <c r="P30" s="118" t="s">
        <v>28</v>
      </c>
    </row>
    <row r="31" ht="15.0" customHeight="1">
      <c r="A31" s="75">
        <v>25.0</v>
      </c>
      <c r="B31" s="110" t="s">
        <v>95</v>
      </c>
      <c r="C31" s="124"/>
      <c r="D31" s="52" t="s">
        <v>142</v>
      </c>
      <c r="E31" s="112">
        <v>9.85</v>
      </c>
      <c r="F31" s="39">
        <v>9.75</v>
      </c>
      <c r="G31" s="121">
        <v>9.75</v>
      </c>
      <c r="H31" s="114">
        <v>10.0</v>
      </c>
      <c r="I31" s="122">
        <v>9.9</v>
      </c>
      <c r="J31" s="43">
        <v>9.99</v>
      </c>
      <c r="K31" s="44" t="s">
        <v>26</v>
      </c>
      <c r="L31" s="116" t="s">
        <v>26</v>
      </c>
      <c r="M31" s="123" t="s">
        <v>26</v>
      </c>
      <c r="N31" s="47">
        <f t="shared" si="1"/>
        <v>9.87</v>
      </c>
      <c r="O31" s="117" t="s">
        <v>27</v>
      </c>
      <c r="P31" s="118" t="s">
        <v>28</v>
      </c>
    </row>
    <row r="32" ht="15.0" customHeight="1">
      <c r="A32" s="75">
        <v>26.0</v>
      </c>
      <c r="B32" s="110" t="s">
        <v>143</v>
      </c>
      <c r="C32" s="124"/>
      <c r="D32" s="52" t="s">
        <v>144</v>
      </c>
      <c r="E32" s="112">
        <v>7.23</v>
      </c>
      <c r="F32" s="39">
        <v>7.12</v>
      </c>
      <c r="G32" s="121">
        <v>7.02</v>
      </c>
      <c r="H32" s="114">
        <v>7.2</v>
      </c>
      <c r="I32" s="122">
        <v>7.38</v>
      </c>
      <c r="J32" s="43">
        <v>7.95</v>
      </c>
      <c r="K32" s="44" t="s">
        <v>25</v>
      </c>
      <c r="L32" s="116" t="s">
        <v>25</v>
      </c>
      <c r="M32" s="123" t="s">
        <v>26</v>
      </c>
      <c r="N32" s="47">
        <f t="shared" si="1"/>
        <v>7.31</v>
      </c>
      <c r="O32" s="117" t="s">
        <v>27</v>
      </c>
      <c r="P32" s="118" t="s">
        <v>28</v>
      </c>
    </row>
    <row r="33" ht="15.0" customHeight="1">
      <c r="A33" s="75">
        <v>27.0</v>
      </c>
      <c r="B33" s="110" t="s">
        <v>145</v>
      </c>
      <c r="C33" s="124"/>
      <c r="D33" s="52" t="s">
        <v>146</v>
      </c>
      <c r="E33" s="112">
        <v>9.38</v>
      </c>
      <c r="F33" s="39">
        <v>9.49</v>
      </c>
      <c r="G33" s="121">
        <v>9.59</v>
      </c>
      <c r="H33" s="114">
        <v>9.63</v>
      </c>
      <c r="I33" s="122">
        <v>9.57</v>
      </c>
      <c r="J33" s="43">
        <v>9.56</v>
      </c>
      <c r="K33" s="44" t="s">
        <v>26</v>
      </c>
      <c r="L33" s="116" t="s">
        <v>26</v>
      </c>
      <c r="M33" s="123" t="s">
        <v>26</v>
      </c>
      <c r="N33" s="47">
        <f t="shared" si="1"/>
        <v>9.53</v>
      </c>
      <c r="O33" s="117" t="s">
        <v>27</v>
      </c>
      <c r="P33" s="118" t="s">
        <v>28</v>
      </c>
    </row>
    <row r="34" ht="15.0" customHeight="1">
      <c r="A34" s="75">
        <v>28.0</v>
      </c>
      <c r="B34" s="110" t="s">
        <v>147</v>
      </c>
      <c r="C34" s="124"/>
      <c r="D34" s="52" t="s">
        <v>148</v>
      </c>
      <c r="E34" s="112">
        <v>8.53</v>
      </c>
      <c r="F34" s="39">
        <v>7.72</v>
      </c>
      <c r="G34" s="121">
        <v>8.24</v>
      </c>
      <c r="H34" s="114">
        <v>8.01</v>
      </c>
      <c r="I34" s="122">
        <v>8.17</v>
      </c>
      <c r="J34" s="43">
        <v>8.94</v>
      </c>
      <c r="K34" s="44" t="s">
        <v>26</v>
      </c>
      <c r="L34" s="116" t="s">
        <v>25</v>
      </c>
      <c r="M34" s="123" t="s">
        <v>25</v>
      </c>
      <c r="N34" s="47">
        <f t="shared" si="1"/>
        <v>8.26</v>
      </c>
      <c r="O34" s="117" t="s">
        <v>27</v>
      </c>
      <c r="P34" s="118" t="s">
        <v>28</v>
      </c>
    </row>
    <row r="35" ht="15.0" customHeight="1">
      <c r="A35" s="75">
        <v>29.0</v>
      </c>
      <c r="B35" s="110" t="s">
        <v>101</v>
      </c>
      <c r="C35" s="124"/>
      <c r="D35" s="52" t="s">
        <v>149</v>
      </c>
      <c r="E35" s="112">
        <v>9.76</v>
      </c>
      <c r="F35" s="39">
        <v>9.64</v>
      </c>
      <c r="G35" s="121">
        <v>9.76</v>
      </c>
      <c r="H35" s="114">
        <v>9.74</v>
      </c>
      <c r="I35" s="122">
        <v>9.74</v>
      </c>
      <c r="J35" s="43">
        <v>9.67</v>
      </c>
      <c r="K35" s="44" t="s">
        <v>26</v>
      </c>
      <c r="L35" s="116" t="s">
        <v>26</v>
      </c>
      <c r="M35" s="123" t="s">
        <v>26</v>
      </c>
      <c r="N35" s="47">
        <f t="shared" si="1"/>
        <v>9.71</v>
      </c>
      <c r="O35" s="117" t="s">
        <v>27</v>
      </c>
      <c r="P35" s="118" t="s">
        <v>28</v>
      </c>
    </row>
    <row r="36" ht="15.0" customHeight="1">
      <c r="A36" s="75">
        <v>30.0</v>
      </c>
      <c r="B36" s="110" t="s">
        <v>150</v>
      </c>
      <c r="C36" s="124"/>
      <c r="D36" s="52" t="s">
        <v>151</v>
      </c>
      <c r="E36" s="112">
        <v>7.0</v>
      </c>
      <c r="F36" s="39">
        <v>7.11</v>
      </c>
      <c r="G36" s="121">
        <v>7.03</v>
      </c>
      <c r="H36" s="114">
        <v>7.87</v>
      </c>
      <c r="I36" s="122">
        <v>7.83</v>
      </c>
      <c r="J36" s="43">
        <v>7.77</v>
      </c>
      <c r="K36" s="44" t="s">
        <v>26</v>
      </c>
      <c r="L36" s="116" t="s">
        <v>25</v>
      </c>
      <c r="M36" s="123" t="s">
        <v>25</v>
      </c>
      <c r="N36" s="47">
        <f t="shared" si="1"/>
        <v>7.43</v>
      </c>
      <c r="O36" s="117" t="s">
        <v>27</v>
      </c>
      <c r="P36" s="118" t="s">
        <v>28</v>
      </c>
    </row>
    <row r="37" ht="15.0" customHeight="1">
      <c r="A37" s="75">
        <v>31.0</v>
      </c>
      <c r="B37" s="110" t="s">
        <v>152</v>
      </c>
      <c r="C37" s="124"/>
      <c r="D37" s="52" t="s">
        <v>153</v>
      </c>
      <c r="E37" s="112">
        <v>7.79</v>
      </c>
      <c r="F37" s="39">
        <v>7.86</v>
      </c>
      <c r="G37" s="121">
        <v>8.19</v>
      </c>
      <c r="H37" s="114">
        <v>7.4</v>
      </c>
      <c r="I37" s="122">
        <v>7.91</v>
      </c>
      <c r="J37" s="43">
        <v>8.71</v>
      </c>
      <c r="K37" s="44" t="s">
        <v>25</v>
      </c>
      <c r="L37" s="116" t="s">
        <v>26</v>
      </c>
      <c r="M37" s="123" t="s">
        <v>26</v>
      </c>
      <c r="N37" s="47">
        <f t="shared" si="1"/>
        <v>7.97</v>
      </c>
      <c r="O37" s="117" t="s">
        <v>27</v>
      </c>
      <c r="P37" s="118" t="s">
        <v>28</v>
      </c>
    </row>
    <row r="38" ht="15.0" customHeight="1">
      <c r="A38" s="75">
        <v>32.0</v>
      </c>
      <c r="B38" s="110" t="s">
        <v>154</v>
      </c>
      <c r="C38" s="124"/>
      <c r="D38" s="52">
        <v>7.0</v>
      </c>
      <c r="E38" s="112">
        <v>7.0</v>
      </c>
      <c r="F38" s="39">
        <v>5.52</v>
      </c>
      <c r="G38" s="121">
        <v>4.94</v>
      </c>
      <c r="H38" s="114">
        <v>6.92</v>
      </c>
      <c r="I38" s="122">
        <v>7.19</v>
      </c>
      <c r="J38" s="43">
        <v>7.47</v>
      </c>
      <c r="K38" s="44" t="s">
        <v>25</v>
      </c>
      <c r="L38" s="116" t="s">
        <v>52</v>
      </c>
      <c r="M38" s="123" t="s">
        <v>25</v>
      </c>
      <c r="N38" s="47">
        <f t="shared" si="1"/>
        <v>6.57</v>
      </c>
      <c r="O38" s="117" t="s">
        <v>34</v>
      </c>
      <c r="P38" s="127" t="s">
        <v>70</v>
      </c>
    </row>
    <row r="39" ht="15.0" customHeight="1">
      <c r="A39" s="75">
        <v>33.0</v>
      </c>
      <c r="B39" s="110" t="s">
        <v>155</v>
      </c>
      <c r="C39" s="124"/>
      <c r="D39" s="52" t="s">
        <v>111</v>
      </c>
      <c r="E39" s="125">
        <v>9.34</v>
      </c>
      <c r="F39" s="39">
        <v>9.12</v>
      </c>
      <c r="G39" s="121">
        <v>9.32</v>
      </c>
      <c r="H39" s="114">
        <v>8.7</v>
      </c>
      <c r="I39" s="122">
        <v>9.44</v>
      </c>
      <c r="J39" s="43">
        <v>9.67</v>
      </c>
      <c r="K39" s="44" t="s">
        <v>26</v>
      </c>
      <c r="L39" s="116" t="s">
        <v>26</v>
      </c>
      <c r="M39" s="123" t="s">
        <v>25</v>
      </c>
      <c r="N39" s="47">
        <f t="shared" si="1"/>
        <v>9.26</v>
      </c>
      <c r="O39" s="117" t="s">
        <v>27</v>
      </c>
      <c r="P39" s="118" t="s">
        <v>28</v>
      </c>
    </row>
    <row r="40" ht="18.0" customHeight="1">
      <c r="A40" s="75">
        <v>34.0</v>
      </c>
      <c r="B40" s="110" t="s">
        <v>156</v>
      </c>
      <c r="C40" s="124"/>
      <c r="D40" s="52" t="s">
        <v>157</v>
      </c>
      <c r="E40" s="112">
        <v>7.38</v>
      </c>
      <c r="F40" s="39">
        <v>7.66</v>
      </c>
      <c r="G40" s="121">
        <v>8.41</v>
      </c>
      <c r="H40" s="114">
        <v>7.46</v>
      </c>
      <c r="I40" s="122">
        <v>7.94</v>
      </c>
      <c r="J40" s="43">
        <v>8.5</v>
      </c>
      <c r="K40" s="44" t="s">
        <v>25</v>
      </c>
      <c r="L40" s="116" t="s">
        <v>26</v>
      </c>
      <c r="M40" s="123" t="s">
        <v>26</v>
      </c>
      <c r="N40" s="47">
        <f t="shared" si="1"/>
        <v>7.89</v>
      </c>
      <c r="O40" s="117" t="s">
        <v>27</v>
      </c>
      <c r="P40" s="118" t="s">
        <v>28</v>
      </c>
    </row>
    <row r="41" ht="15.0" customHeight="1">
      <c r="A41" s="75">
        <v>35.0</v>
      </c>
      <c r="B41" s="110" t="s">
        <v>158</v>
      </c>
      <c r="C41" s="124"/>
      <c r="D41" s="52" t="s">
        <v>142</v>
      </c>
      <c r="E41" s="125">
        <v>9.48</v>
      </c>
      <c r="F41" s="39">
        <v>9.47</v>
      </c>
      <c r="G41" s="121">
        <v>9.65</v>
      </c>
      <c r="H41" s="114">
        <v>9.63</v>
      </c>
      <c r="I41" s="122">
        <v>9.53</v>
      </c>
      <c r="J41" s="43">
        <v>9.27</v>
      </c>
      <c r="K41" s="44" t="s">
        <v>25</v>
      </c>
      <c r="L41" s="116" t="s">
        <v>26</v>
      </c>
      <c r="M41" s="123" t="s">
        <v>26</v>
      </c>
      <c r="N41" s="47">
        <f t="shared" si="1"/>
        <v>9.5</v>
      </c>
      <c r="O41" s="117" t="s">
        <v>27</v>
      </c>
      <c r="P41" s="118" t="s">
        <v>28</v>
      </c>
    </row>
    <row r="42" ht="14.25" customHeight="1">
      <c r="A42" s="128">
        <v>36.0</v>
      </c>
      <c r="B42" s="129" t="s">
        <v>159</v>
      </c>
      <c r="C42" s="130"/>
      <c r="D42" s="52" t="s">
        <v>117</v>
      </c>
      <c r="E42" s="112">
        <v>9.85</v>
      </c>
      <c r="F42" s="39">
        <v>9.72</v>
      </c>
      <c r="G42" s="121">
        <v>9.74</v>
      </c>
      <c r="H42" s="114">
        <v>9.71</v>
      </c>
      <c r="I42" s="122">
        <v>9.54</v>
      </c>
      <c r="J42" s="43">
        <v>9.05</v>
      </c>
      <c r="K42" s="44" t="s">
        <v>26</v>
      </c>
      <c r="L42" s="116" t="s">
        <v>26</v>
      </c>
      <c r="M42" s="123" t="s">
        <v>26</v>
      </c>
      <c r="N42" s="47">
        <f t="shared" si="1"/>
        <v>9.6</v>
      </c>
      <c r="O42" s="117" t="s">
        <v>27</v>
      </c>
      <c r="P42" s="118" t="s">
        <v>28</v>
      </c>
    </row>
    <row r="43" ht="15.0" customHeight="1">
      <c r="A43" s="34">
        <v>37.0</v>
      </c>
      <c r="B43" s="35" t="s">
        <v>160</v>
      </c>
      <c r="C43" s="36"/>
      <c r="D43" s="52" t="s">
        <v>161</v>
      </c>
      <c r="E43" s="112">
        <v>7.63</v>
      </c>
      <c r="F43" s="39">
        <v>8.05</v>
      </c>
      <c r="G43" s="121">
        <v>8.73</v>
      </c>
      <c r="H43" s="114">
        <v>7.79</v>
      </c>
      <c r="I43" s="122">
        <v>8.55</v>
      </c>
      <c r="J43" s="43">
        <v>8.95</v>
      </c>
      <c r="K43" s="44" t="s">
        <v>26</v>
      </c>
      <c r="L43" s="116" t="s">
        <v>25</v>
      </c>
      <c r="M43" s="123" t="s">
        <v>26</v>
      </c>
      <c r="N43" s="47">
        <f t="shared" si="1"/>
        <v>8.28</v>
      </c>
      <c r="O43" s="117" t="s">
        <v>27</v>
      </c>
      <c r="P43" s="118" t="s">
        <v>28</v>
      </c>
    </row>
    <row r="44" ht="15.0" customHeight="1">
      <c r="A44" s="34">
        <v>38.0</v>
      </c>
      <c r="B44" s="119" t="s">
        <v>162</v>
      </c>
      <c r="C44" s="120"/>
      <c r="D44" s="52" t="s">
        <v>163</v>
      </c>
      <c r="E44" s="112">
        <v>7.36</v>
      </c>
      <c r="F44" s="39">
        <v>7.53</v>
      </c>
      <c r="G44" s="121">
        <v>7.64</v>
      </c>
      <c r="H44" s="114">
        <v>7.12</v>
      </c>
      <c r="I44" s="131">
        <v>7.96</v>
      </c>
      <c r="J44" s="43">
        <v>9.25</v>
      </c>
      <c r="K44" s="44" t="s">
        <v>25</v>
      </c>
      <c r="L44" s="116" t="s">
        <v>26</v>
      </c>
      <c r="M44" s="123" t="s">
        <v>26</v>
      </c>
      <c r="N44" s="47">
        <f t="shared" si="1"/>
        <v>7.81</v>
      </c>
      <c r="O44" s="117" t="s">
        <v>34</v>
      </c>
      <c r="P44" s="118" t="s">
        <v>28</v>
      </c>
    </row>
    <row r="45" ht="15.0" customHeight="1">
      <c r="A45" s="74">
        <v>39.0</v>
      </c>
      <c r="B45" s="132" t="s">
        <v>164</v>
      </c>
      <c r="C45" s="133"/>
      <c r="D45" s="52" t="s">
        <v>165</v>
      </c>
      <c r="E45" s="112">
        <v>7.63</v>
      </c>
      <c r="F45" s="39">
        <v>7.59</v>
      </c>
      <c r="G45" s="121">
        <v>7.69</v>
      </c>
      <c r="H45" s="114">
        <v>7.45</v>
      </c>
      <c r="I45" s="131">
        <v>8.22</v>
      </c>
      <c r="J45" s="43">
        <v>9.18</v>
      </c>
      <c r="K45" s="44" t="s">
        <v>25</v>
      </c>
      <c r="L45" s="116" t="s">
        <v>25</v>
      </c>
      <c r="M45" s="123" t="s">
        <v>26</v>
      </c>
      <c r="N45" s="47">
        <f t="shared" si="1"/>
        <v>7.96</v>
      </c>
      <c r="O45" s="117" t="s">
        <v>27</v>
      </c>
      <c r="P45" s="118" t="s">
        <v>28</v>
      </c>
    </row>
    <row r="46" ht="15.0" customHeight="1">
      <c r="A46" s="75">
        <v>40.0</v>
      </c>
      <c r="B46" s="35" t="s">
        <v>166</v>
      </c>
      <c r="C46" s="36"/>
      <c r="D46" s="52" t="s">
        <v>167</v>
      </c>
      <c r="E46" s="112">
        <v>7.83</v>
      </c>
      <c r="F46" s="39">
        <v>8.5</v>
      </c>
      <c r="G46" s="121">
        <v>8.39</v>
      </c>
      <c r="H46" s="114">
        <v>7.36</v>
      </c>
      <c r="I46" s="131">
        <v>8.28</v>
      </c>
      <c r="J46" s="43">
        <v>9.26</v>
      </c>
      <c r="K46" s="44" t="s">
        <v>26</v>
      </c>
      <c r="L46" s="116" t="s">
        <v>26</v>
      </c>
      <c r="M46" s="123" t="s">
        <v>26</v>
      </c>
      <c r="N46" s="47">
        <f t="shared" si="1"/>
        <v>8.27</v>
      </c>
      <c r="O46" s="117" t="s">
        <v>27</v>
      </c>
      <c r="P46" s="118" t="s">
        <v>28</v>
      </c>
      <c r="Q46" s="134"/>
    </row>
    <row r="47" ht="15.0" customHeight="1">
      <c r="A47" s="75">
        <v>41.0</v>
      </c>
      <c r="B47" s="78" t="s">
        <v>78</v>
      </c>
      <c r="C47" s="36"/>
      <c r="D47" s="135">
        <v>8.6</v>
      </c>
      <c r="E47" s="80">
        <f t="shared" ref="E47:J47" si="2">AVERAGE(E7:E46)</f>
        <v>8.26675</v>
      </c>
      <c r="F47" s="81">
        <f t="shared" si="2"/>
        <v>8.16475</v>
      </c>
      <c r="G47" s="136">
        <f t="shared" si="2"/>
        <v>8.1815</v>
      </c>
      <c r="H47" s="83">
        <f t="shared" si="2"/>
        <v>8.13325</v>
      </c>
      <c r="I47" s="137">
        <f t="shared" si="2"/>
        <v>8.40475</v>
      </c>
      <c r="J47" s="85">
        <f t="shared" si="2"/>
        <v>8.79775</v>
      </c>
      <c r="K47" s="138"/>
      <c r="L47" s="139"/>
      <c r="M47" s="139"/>
      <c r="N47" s="47">
        <f>AVERAGE(N7:N46)</f>
        <v>8.32425</v>
      </c>
      <c r="O47" s="140"/>
      <c r="P47" s="141"/>
      <c r="Q47" s="134"/>
    </row>
    <row r="48" ht="14.25" customHeight="1">
      <c r="A48" s="142">
        <v>42.0</v>
      </c>
      <c r="B48" s="143"/>
      <c r="C48" s="144"/>
      <c r="D48" s="145"/>
      <c r="E48" s="145"/>
      <c r="F48" s="146"/>
      <c r="G48" s="145"/>
      <c r="H48" s="145"/>
      <c r="I48" s="145"/>
      <c r="J48" s="147"/>
      <c r="K48" s="148"/>
      <c r="L48" s="148"/>
      <c r="M48" s="148"/>
      <c r="N48" s="149"/>
      <c r="O48" s="150"/>
      <c r="P48" s="141"/>
      <c r="Q48" s="134"/>
    </row>
    <row r="49" ht="14.25" customHeight="1">
      <c r="A49" s="151"/>
      <c r="B49" s="100" t="s">
        <v>79</v>
      </c>
      <c r="C49" s="17"/>
      <c r="D49" s="152" t="s">
        <v>80</v>
      </c>
      <c r="E49" s="102"/>
      <c r="F49" s="102"/>
      <c r="G49" s="103"/>
      <c r="H49" s="104"/>
      <c r="I49" s="101" t="s">
        <v>87</v>
      </c>
      <c r="J49" s="102"/>
      <c r="K49" s="102"/>
      <c r="L49" s="103"/>
      <c r="M49" s="148"/>
      <c r="N49" s="149"/>
      <c r="O49" s="150"/>
      <c r="P49" s="141"/>
      <c r="Q49" s="134"/>
    </row>
    <row r="50" ht="14.25" customHeight="1">
      <c r="A50" s="151"/>
      <c r="B50" s="100" t="s">
        <v>82</v>
      </c>
      <c r="C50" s="17"/>
      <c r="D50" s="152" t="s">
        <v>83</v>
      </c>
      <c r="E50" s="102"/>
      <c r="F50" s="102"/>
      <c r="G50" s="103"/>
      <c r="H50" s="104"/>
      <c r="I50" s="101" t="s">
        <v>84</v>
      </c>
      <c r="J50" s="102"/>
      <c r="K50" s="102"/>
      <c r="L50" s="103"/>
      <c r="M50" s="148"/>
      <c r="N50" s="149"/>
      <c r="O50" s="150"/>
      <c r="P50" s="141"/>
      <c r="Q50" s="134"/>
    </row>
    <row r="51" ht="14.25" customHeight="1">
      <c r="P51" s="153"/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A1:P1"/>
    <mergeCell ref="B2:P2"/>
    <mergeCell ref="C3:E3"/>
    <mergeCell ref="I3:J3"/>
    <mergeCell ref="K3:N3"/>
    <mergeCell ref="I4:J4"/>
    <mergeCell ref="B5:P5"/>
    <mergeCell ref="B8:C8"/>
    <mergeCell ref="S8:T8"/>
    <mergeCell ref="B9:C9"/>
    <mergeCell ref="S9:T9"/>
    <mergeCell ref="B10:C10"/>
    <mergeCell ref="S10:T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7:C47"/>
    <mergeCell ref="B48:C48"/>
    <mergeCell ref="B49:C49"/>
    <mergeCell ref="D49:G49"/>
    <mergeCell ref="I49:L49"/>
    <mergeCell ref="D50:G50"/>
    <mergeCell ref="I50:L50"/>
    <mergeCell ref="B40:C40"/>
    <mergeCell ref="B41:C41"/>
    <mergeCell ref="B42:C42"/>
    <mergeCell ref="B43:C43"/>
    <mergeCell ref="B44:C44"/>
    <mergeCell ref="B45:C45"/>
    <mergeCell ref="B46:C46"/>
    <mergeCell ref="B50:C50"/>
  </mergeCells>
  <conditionalFormatting sqref="C3 D7:D50 F7:J50 E47:E50 N47 K49:K50">
    <cfRule type="cellIs" dxfId="0" priority="1" operator="lessThan">
      <formula>7</formula>
    </cfRule>
  </conditionalFormatting>
  <conditionalFormatting sqref="C3 D7:D50 F7:J50 E47:E50 N47 K49:K50">
    <cfRule type="cellIs" dxfId="0" priority="2" operator="lessThan">
      <formula>6.29</formula>
    </cfRule>
  </conditionalFormatting>
  <conditionalFormatting sqref="E7:E46">
    <cfRule type="cellIs" dxfId="2" priority="3" operator="lessThan">
      <formula>7</formula>
    </cfRule>
  </conditionalFormatting>
  <conditionalFormatting sqref="N7:N50">
    <cfRule type="cellIs" dxfId="1" priority="4" operator="lessThan">
      <formula>7</formula>
    </cfRule>
  </conditionalFormatting>
  <dataValidations>
    <dataValidation type="list" allowBlank="1" showErrorMessage="1" sqref="K3">
      <formula1>"MATUTINA,VESPERTINA"</formula1>
    </dataValidation>
    <dataValidation type="list" allowBlank="1" showErrorMessage="1" sqref="C4">
      <formula1>"QUINTO A,QUINTO B,SEXTO A,SEXTO B,SÉPTIMO A,SÉPTIMO B,OCTAVO A,OCTAVO B,NOVENO A,NOVENO B,DÉCIMO A,DÉCIMO B"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43"/>
    <col customWidth="1" min="3" max="3" width="13.71"/>
    <col customWidth="1" min="4" max="13" width="6.29"/>
    <col customWidth="1" min="14" max="14" width="8.14"/>
    <col customWidth="1" min="15" max="15" width="7.57"/>
    <col customWidth="1" min="16" max="16" width="14.29"/>
    <col customWidth="1" min="17" max="17" width="20.29"/>
    <col customWidth="1" min="18" max="18" width="7.71"/>
    <col customWidth="1" min="20" max="20" width="7.57"/>
  </cols>
  <sheetData>
    <row r="1" ht="72.75" customHeight="1">
      <c r="A1" s="154" t="s">
        <v>168</v>
      </c>
    </row>
    <row r="2" ht="14.25" customHeight="1">
      <c r="A2" s="2"/>
      <c r="B2" s="3" t="s">
        <v>1</v>
      </c>
    </row>
    <row r="3" ht="14.25" customHeight="1">
      <c r="B3" s="4" t="s">
        <v>169</v>
      </c>
      <c r="C3" s="5" t="s">
        <v>170</v>
      </c>
      <c r="F3" s="6"/>
      <c r="G3" s="6"/>
      <c r="H3" s="6"/>
      <c r="I3" s="7" t="s">
        <v>3</v>
      </c>
      <c r="K3" s="8" t="s">
        <v>4</v>
      </c>
    </row>
    <row r="4" ht="14.25" customHeight="1">
      <c r="B4" s="9" t="s">
        <v>5</v>
      </c>
      <c r="C4" s="10" t="s">
        <v>171</v>
      </c>
      <c r="D4" s="11" t="s">
        <v>172</v>
      </c>
      <c r="E4" s="6"/>
      <c r="F4" s="6"/>
      <c r="G4" s="6"/>
      <c r="H4" s="6"/>
      <c r="I4" s="7"/>
      <c r="K4" s="12"/>
      <c r="M4" s="6"/>
    </row>
    <row r="5" ht="6.0" customHeight="1">
      <c r="B5" s="13"/>
      <c r="C5" s="13"/>
      <c r="D5" s="9"/>
      <c r="E5" s="9"/>
      <c r="F5" s="9"/>
      <c r="G5" s="9"/>
      <c r="H5" s="9"/>
      <c r="I5" s="9"/>
      <c r="J5" s="9"/>
      <c r="K5" s="9"/>
      <c r="L5" s="9"/>
      <c r="M5" s="9"/>
    </row>
    <row r="6" ht="14.25" customHeight="1">
      <c r="B6" s="15" t="s">
        <v>7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7"/>
    </row>
    <row r="7" ht="164.25" customHeight="1">
      <c r="A7" s="155" t="s">
        <v>8</v>
      </c>
      <c r="B7" s="19" t="s">
        <v>9</v>
      </c>
      <c r="C7" s="20"/>
      <c r="D7" s="156" t="s">
        <v>10</v>
      </c>
      <c r="E7" s="22" t="s">
        <v>11</v>
      </c>
      <c r="F7" s="23" t="s">
        <v>12</v>
      </c>
      <c r="G7" s="24" t="s">
        <v>13</v>
      </c>
      <c r="H7" s="25" t="s">
        <v>14</v>
      </c>
      <c r="I7" s="26" t="s">
        <v>15</v>
      </c>
      <c r="J7" s="27" t="s">
        <v>16</v>
      </c>
      <c r="K7" s="28" t="s">
        <v>17</v>
      </c>
      <c r="L7" s="29" t="s">
        <v>18</v>
      </c>
      <c r="M7" s="30" t="s">
        <v>19</v>
      </c>
      <c r="N7" s="31" t="s">
        <v>20</v>
      </c>
      <c r="O7" s="32" t="s">
        <v>21</v>
      </c>
      <c r="P7" s="33" t="s">
        <v>22</v>
      </c>
    </row>
    <row r="8" ht="14.25" customHeight="1">
      <c r="A8" s="75">
        <v>1.0</v>
      </c>
      <c r="B8" s="157" t="s">
        <v>173</v>
      </c>
      <c r="C8" s="158"/>
      <c r="D8" s="159">
        <v>7.84</v>
      </c>
      <c r="E8" s="160">
        <v>7.53</v>
      </c>
      <c r="F8" s="39">
        <v>7.01</v>
      </c>
      <c r="G8" s="40">
        <v>7.0</v>
      </c>
      <c r="H8" s="161">
        <v>7.01</v>
      </c>
      <c r="I8" s="162">
        <v>7.56</v>
      </c>
      <c r="J8" s="43">
        <v>8.16</v>
      </c>
      <c r="K8" s="163" t="s">
        <v>52</v>
      </c>
      <c r="L8" s="164" t="s">
        <v>33</v>
      </c>
      <c r="M8" s="64" t="s">
        <v>33</v>
      </c>
      <c r="N8" s="47">
        <f t="shared" ref="N8:N47" si="1">TRUNC(AVERAGE(D8:J8),2)</f>
        <v>7.44</v>
      </c>
      <c r="O8" s="165" t="s">
        <v>34</v>
      </c>
      <c r="P8" s="77" t="s">
        <v>28</v>
      </c>
    </row>
    <row r="9" ht="15.0" customHeight="1">
      <c r="A9" s="75">
        <v>2.0</v>
      </c>
      <c r="B9" s="157" t="s">
        <v>174</v>
      </c>
      <c r="C9" s="158"/>
      <c r="D9" s="159">
        <v>8.85</v>
      </c>
      <c r="E9" s="160">
        <v>9.13</v>
      </c>
      <c r="F9" s="39">
        <v>8.4</v>
      </c>
      <c r="G9" s="54">
        <v>9.09</v>
      </c>
      <c r="H9" s="166">
        <v>8.03</v>
      </c>
      <c r="I9" s="167">
        <v>8.4</v>
      </c>
      <c r="J9" s="43">
        <v>9.62</v>
      </c>
      <c r="K9" s="168" t="s">
        <v>25</v>
      </c>
      <c r="L9" s="164" t="s">
        <v>25</v>
      </c>
      <c r="M9" s="64" t="s">
        <v>25</v>
      </c>
      <c r="N9" s="47">
        <f t="shared" si="1"/>
        <v>8.78</v>
      </c>
      <c r="O9" s="165" t="s">
        <v>27</v>
      </c>
      <c r="P9" s="77" t="s">
        <v>28</v>
      </c>
      <c r="Q9" s="56" t="s">
        <v>30</v>
      </c>
      <c r="R9" s="57">
        <f>LARGE(N9:N48,1)</f>
        <v>9.89</v>
      </c>
      <c r="S9" s="58" t="s">
        <v>175</v>
      </c>
      <c r="T9" s="58">
        <v>9.87</v>
      </c>
    </row>
    <row r="10" ht="15.0" customHeight="1">
      <c r="A10" s="75">
        <v>3.0</v>
      </c>
      <c r="B10" s="157" t="s">
        <v>176</v>
      </c>
      <c r="C10" s="158"/>
      <c r="D10" s="159">
        <v>8.63</v>
      </c>
      <c r="E10" s="160">
        <v>8.24</v>
      </c>
      <c r="F10" s="39">
        <v>8.09</v>
      </c>
      <c r="G10" s="54">
        <v>9.04</v>
      </c>
      <c r="H10" s="166">
        <v>7.66</v>
      </c>
      <c r="I10" s="167">
        <v>7.85</v>
      </c>
      <c r="J10" s="43">
        <v>9.69</v>
      </c>
      <c r="K10" s="168" t="s">
        <v>25</v>
      </c>
      <c r="L10" s="164" t="s">
        <v>25</v>
      </c>
      <c r="M10" s="64" t="s">
        <v>52</v>
      </c>
      <c r="N10" s="47">
        <f t="shared" si="1"/>
        <v>8.45</v>
      </c>
      <c r="O10" s="165" t="s">
        <v>27</v>
      </c>
      <c r="P10" s="77" t="s">
        <v>28</v>
      </c>
      <c r="Q10" s="56" t="s">
        <v>35</v>
      </c>
      <c r="R10" s="59">
        <f>LARGE(N8:N47,2)</f>
        <v>9.89</v>
      </c>
      <c r="S10" s="58" t="s">
        <v>177</v>
      </c>
      <c r="T10" s="58">
        <v>9.87</v>
      </c>
    </row>
    <row r="11" ht="15.0" customHeight="1">
      <c r="A11" s="75">
        <v>4.0</v>
      </c>
      <c r="B11" s="157" t="s">
        <v>178</v>
      </c>
      <c r="C11" s="158"/>
      <c r="D11" s="159">
        <v>8.01</v>
      </c>
      <c r="E11" s="160">
        <v>7.8</v>
      </c>
      <c r="F11" s="39">
        <v>7.01</v>
      </c>
      <c r="G11" s="54">
        <v>7.84</v>
      </c>
      <c r="H11" s="161">
        <v>7.19</v>
      </c>
      <c r="I11" s="167">
        <v>7.26</v>
      </c>
      <c r="J11" s="43">
        <v>7.0</v>
      </c>
      <c r="K11" s="168" t="s">
        <v>52</v>
      </c>
      <c r="L11" s="164" t="s">
        <v>33</v>
      </c>
      <c r="M11" s="64" t="s">
        <v>33</v>
      </c>
      <c r="N11" s="47">
        <f t="shared" si="1"/>
        <v>7.44</v>
      </c>
      <c r="O11" s="165" t="s">
        <v>27</v>
      </c>
      <c r="P11" s="77" t="s">
        <v>28</v>
      </c>
      <c r="Q11" s="56" t="s">
        <v>38</v>
      </c>
      <c r="R11" s="59">
        <f>LARGE(N8:N47,3)</f>
        <v>9.87</v>
      </c>
      <c r="S11" s="58" t="s">
        <v>179</v>
      </c>
      <c r="T11" s="58">
        <v>9.86</v>
      </c>
    </row>
    <row r="12" ht="15.0" customHeight="1">
      <c r="A12" s="75">
        <v>5.0</v>
      </c>
      <c r="B12" s="157" t="s">
        <v>180</v>
      </c>
      <c r="C12" s="158"/>
      <c r="D12" s="159">
        <v>8.43</v>
      </c>
      <c r="E12" s="160">
        <v>8.78</v>
      </c>
      <c r="F12" s="39">
        <v>7.86</v>
      </c>
      <c r="G12" s="54">
        <v>8.3</v>
      </c>
      <c r="H12" s="161">
        <v>7.85</v>
      </c>
      <c r="I12" s="167">
        <v>7.81</v>
      </c>
      <c r="J12" s="43">
        <v>8.31</v>
      </c>
      <c r="K12" s="168" t="s">
        <v>25</v>
      </c>
      <c r="L12" s="164" t="s">
        <v>25</v>
      </c>
      <c r="M12" s="64" t="s">
        <v>25</v>
      </c>
      <c r="N12" s="47">
        <f t="shared" si="1"/>
        <v>8.19</v>
      </c>
      <c r="O12" s="165" t="s">
        <v>27</v>
      </c>
      <c r="P12" s="77" t="s">
        <v>28</v>
      </c>
      <c r="Q12" s="58" t="s">
        <v>181</v>
      </c>
      <c r="R12" s="62">
        <f>LARGE(N8:N47,4)</f>
        <v>9.62</v>
      </c>
    </row>
    <row r="13" ht="15.0" customHeight="1">
      <c r="A13" s="169">
        <v>6.0</v>
      </c>
      <c r="B13" s="157" t="s">
        <v>182</v>
      </c>
      <c r="C13" s="158"/>
      <c r="D13" s="159">
        <v>8.25</v>
      </c>
      <c r="E13" s="160">
        <v>8.63</v>
      </c>
      <c r="F13" s="170">
        <v>7.05</v>
      </c>
      <c r="G13" s="54">
        <v>8.19</v>
      </c>
      <c r="H13" s="166">
        <v>7.68</v>
      </c>
      <c r="I13" s="167">
        <v>8.15</v>
      </c>
      <c r="J13" s="43">
        <v>8.3</v>
      </c>
      <c r="K13" s="168" t="s">
        <v>33</v>
      </c>
      <c r="L13" s="164" t="s">
        <v>25</v>
      </c>
      <c r="M13" s="64" t="s">
        <v>25</v>
      </c>
      <c r="N13" s="47">
        <f t="shared" si="1"/>
        <v>8.03</v>
      </c>
      <c r="O13" s="165" t="s">
        <v>69</v>
      </c>
      <c r="P13" s="77" t="s">
        <v>28</v>
      </c>
      <c r="Q13" s="171"/>
    </row>
    <row r="14" ht="15.0" customHeight="1">
      <c r="A14" s="75">
        <v>7.0</v>
      </c>
      <c r="B14" s="157" t="s">
        <v>183</v>
      </c>
      <c r="C14" s="158"/>
      <c r="D14" s="159">
        <v>8.09</v>
      </c>
      <c r="E14" s="160">
        <v>7.79</v>
      </c>
      <c r="F14" s="39">
        <v>7.35</v>
      </c>
      <c r="G14" s="54">
        <v>8.21</v>
      </c>
      <c r="H14" s="166">
        <v>7.43</v>
      </c>
      <c r="I14" s="167">
        <v>8.03</v>
      </c>
      <c r="J14" s="43">
        <v>8.85</v>
      </c>
      <c r="K14" s="168" t="s">
        <v>52</v>
      </c>
      <c r="L14" s="164" t="s">
        <v>25</v>
      </c>
      <c r="M14" s="64" t="s">
        <v>25</v>
      </c>
      <c r="N14" s="47">
        <f t="shared" si="1"/>
        <v>7.96</v>
      </c>
      <c r="O14" s="165" t="s">
        <v>27</v>
      </c>
      <c r="P14" s="77" t="s">
        <v>28</v>
      </c>
      <c r="Q14" s="171"/>
    </row>
    <row r="15" ht="15.0" customHeight="1">
      <c r="A15" s="75">
        <v>8.0</v>
      </c>
      <c r="B15" s="157" t="s">
        <v>184</v>
      </c>
      <c r="C15" s="158"/>
      <c r="D15" s="159">
        <v>9.85</v>
      </c>
      <c r="E15" s="160">
        <v>9.88</v>
      </c>
      <c r="F15" s="39">
        <v>9.72</v>
      </c>
      <c r="G15" s="54">
        <v>9.92</v>
      </c>
      <c r="H15" s="166">
        <v>9.84</v>
      </c>
      <c r="I15" s="167">
        <v>9.93</v>
      </c>
      <c r="J15" s="43">
        <v>9.99</v>
      </c>
      <c r="K15" s="168" t="s">
        <v>25</v>
      </c>
      <c r="L15" s="164" t="s">
        <v>26</v>
      </c>
      <c r="M15" s="64" t="s">
        <v>26</v>
      </c>
      <c r="N15" s="47">
        <f t="shared" si="1"/>
        <v>9.87</v>
      </c>
      <c r="O15" s="165" t="s">
        <v>27</v>
      </c>
      <c r="P15" s="77" t="s">
        <v>28</v>
      </c>
    </row>
    <row r="16" ht="15.0" customHeight="1">
      <c r="A16" s="75">
        <v>9.0</v>
      </c>
      <c r="B16" s="157" t="s">
        <v>185</v>
      </c>
      <c r="C16" s="158"/>
      <c r="D16" s="159">
        <v>8.35</v>
      </c>
      <c r="E16" s="160">
        <v>8.27</v>
      </c>
      <c r="F16" s="39">
        <v>7.11</v>
      </c>
      <c r="G16" s="54">
        <v>7.83</v>
      </c>
      <c r="H16" s="166">
        <v>7.7</v>
      </c>
      <c r="I16" s="167">
        <v>7.67</v>
      </c>
      <c r="J16" s="43">
        <v>8.58</v>
      </c>
      <c r="K16" s="168" t="s">
        <v>52</v>
      </c>
      <c r="L16" s="164" t="s">
        <v>25</v>
      </c>
      <c r="M16" s="64" t="s">
        <v>52</v>
      </c>
      <c r="N16" s="47">
        <f t="shared" si="1"/>
        <v>7.93</v>
      </c>
      <c r="O16" s="165" t="s">
        <v>27</v>
      </c>
      <c r="P16" s="77" t="s">
        <v>28</v>
      </c>
    </row>
    <row r="17" ht="15.0" customHeight="1">
      <c r="A17" s="75">
        <v>10.0</v>
      </c>
      <c r="B17" s="157" t="s">
        <v>186</v>
      </c>
      <c r="C17" s="158"/>
      <c r="D17" s="159">
        <v>9.41</v>
      </c>
      <c r="E17" s="160">
        <v>9.72</v>
      </c>
      <c r="F17" s="39">
        <v>9.17</v>
      </c>
      <c r="G17" s="54">
        <v>9.76</v>
      </c>
      <c r="H17" s="166">
        <v>9.67</v>
      </c>
      <c r="I17" s="167">
        <v>9.64</v>
      </c>
      <c r="J17" s="43">
        <v>9.98</v>
      </c>
      <c r="K17" s="168" t="s">
        <v>25</v>
      </c>
      <c r="L17" s="164" t="s">
        <v>26</v>
      </c>
      <c r="M17" s="64" t="s">
        <v>26</v>
      </c>
      <c r="N17" s="47">
        <f t="shared" si="1"/>
        <v>9.62</v>
      </c>
      <c r="O17" s="165" t="s">
        <v>27</v>
      </c>
      <c r="P17" s="77" t="s">
        <v>28</v>
      </c>
    </row>
    <row r="18" ht="15.0" customHeight="1">
      <c r="A18" s="75">
        <v>11.0</v>
      </c>
      <c r="B18" s="157" t="s">
        <v>187</v>
      </c>
      <c r="C18" s="158"/>
      <c r="D18" s="159">
        <v>8.88</v>
      </c>
      <c r="E18" s="160">
        <v>8.73</v>
      </c>
      <c r="F18" s="39">
        <v>8.39</v>
      </c>
      <c r="G18" s="54">
        <v>9.06</v>
      </c>
      <c r="H18" s="166">
        <v>8.06</v>
      </c>
      <c r="I18" s="167">
        <v>9.34</v>
      </c>
      <c r="J18" s="43">
        <v>8.47</v>
      </c>
      <c r="K18" s="168" t="s">
        <v>25</v>
      </c>
      <c r="L18" s="164" t="s">
        <v>26</v>
      </c>
      <c r="M18" s="64" t="s">
        <v>25</v>
      </c>
      <c r="N18" s="47">
        <f t="shared" si="1"/>
        <v>8.7</v>
      </c>
      <c r="O18" s="165" t="s">
        <v>27</v>
      </c>
      <c r="P18" s="77" t="s">
        <v>28</v>
      </c>
    </row>
    <row r="19" ht="15.0" customHeight="1">
      <c r="A19" s="75">
        <v>12.0</v>
      </c>
      <c r="B19" s="157" t="s">
        <v>188</v>
      </c>
      <c r="C19" s="158"/>
      <c r="D19" s="159">
        <v>8.04</v>
      </c>
      <c r="E19" s="160">
        <v>7.83</v>
      </c>
      <c r="F19" s="39">
        <v>7.54</v>
      </c>
      <c r="G19" s="54">
        <v>8.22</v>
      </c>
      <c r="H19" s="41">
        <v>7.95</v>
      </c>
      <c r="I19" s="167">
        <v>8.1</v>
      </c>
      <c r="J19" s="43">
        <v>9.13</v>
      </c>
      <c r="K19" s="168" t="s">
        <v>25</v>
      </c>
      <c r="L19" s="164" t="s">
        <v>25</v>
      </c>
      <c r="M19" s="64" t="s">
        <v>25</v>
      </c>
      <c r="N19" s="47">
        <f t="shared" si="1"/>
        <v>8.11</v>
      </c>
      <c r="O19" s="165" t="s">
        <v>27</v>
      </c>
      <c r="P19" s="77" t="s">
        <v>28</v>
      </c>
    </row>
    <row r="20" ht="15.0" customHeight="1">
      <c r="A20" s="75">
        <v>13.0</v>
      </c>
      <c r="B20" s="157" t="s">
        <v>189</v>
      </c>
      <c r="C20" s="158"/>
      <c r="D20" s="159">
        <v>9.3</v>
      </c>
      <c r="E20" s="160">
        <v>9.57</v>
      </c>
      <c r="F20" s="39">
        <v>9.01</v>
      </c>
      <c r="G20" s="54">
        <v>9.26</v>
      </c>
      <c r="H20" s="172">
        <v>9.32</v>
      </c>
      <c r="I20" s="167">
        <v>9.42</v>
      </c>
      <c r="J20" s="43">
        <v>9.89</v>
      </c>
      <c r="K20" s="168" t="s">
        <v>26</v>
      </c>
      <c r="L20" s="164" t="s">
        <v>26</v>
      </c>
      <c r="M20" s="64" t="s">
        <v>26</v>
      </c>
      <c r="N20" s="47">
        <f t="shared" si="1"/>
        <v>9.39</v>
      </c>
      <c r="O20" s="165" t="s">
        <v>27</v>
      </c>
      <c r="P20" s="77" t="s">
        <v>28</v>
      </c>
    </row>
    <row r="21" ht="15.0" customHeight="1">
      <c r="A21" s="75">
        <v>14.0</v>
      </c>
      <c r="B21" s="157" t="s">
        <v>190</v>
      </c>
      <c r="C21" s="158"/>
      <c r="D21" s="159">
        <v>8.89</v>
      </c>
      <c r="E21" s="160">
        <v>8.95</v>
      </c>
      <c r="F21" s="39">
        <v>7.9</v>
      </c>
      <c r="G21" s="54">
        <v>8.49</v>
      </c>
      <c r="H21" s="172">
        <v>8.31</v>
      </c>
      <c r="I21" s="167">
        <v>8.63</v>
      </c>
      <c r="J21" s="43">
        <v>8.97</v>
      </c>
      <c r="K21" s="168" t="s">
        <v>25</v>
      </c>
      <c r="L21" s="164" t="s">
        <v>25</v>
      </c>
      <c r="M21" s="64" t="s">
        <v>25</v>
      </c>
      <c r="N21" s="47">
        <f t="shared" si="1"/>
        <v>8.59</v>
      </c>
      <c r="O21" s="165" t="s">
        <v>27</v>
      </c>
      <c r="P21" s="77" t="s">
        <v>28</v>
      </c>
    </row>
    <row r="22" ht="15.0" customHeight="1">
      <c r="A22" s="75">
        <v>15.0</v>
      </c>
      <c r="B22" s="157" t="s">
        <v>191</v>
      </c>
      <c r="C22" s="158"/>
      <c r="D22" s="159">
        <v>7.52</v>
      </c>
      <c r="E22" s="160">
        <v>7.73</v>
      </c>
      <c r="F22" s="39">
        <v>7.0</v>
      </c>
      <c r="G22" s="54">
        <v>7.0</v>
      </c>
      <c r="H22" s="172">
        <v>7.0</v>
      </c>
      <c r="I22" s="167">
        <v>7.8</v>
      </c>
      <c r="J22" s="43">
        <v>7.0</v>
      </c>
      <c r="K22" s="168" t="s">
        <v>52</v>
      </c>
      <c r="L22" s="164" t="s">
        <v>33</v>
      </c>
      <c r="M22" s="64" t="s">
        <v>192</v>
      </c>
      <c r="N22" s="47">
        <f t="shared" si="1"/>
        <v>7.29</v>
      </c>
      <c r="O22" s="165" t="s">
        <v>69</v>
      </c>
      <c r="P22" s="173" t="s">
        <v>70</v>
      </c>
    </row>
    <row r="23" ht="15.0" customHeight="1">
      <c r="A23" s="75">
        <v>16.0</v>
      </c>
      <c r="B23" s="157" t="s">
        <v>193</v>
      </c>
      <c r="C23" s="158"/>
      <c r="D23" s="159">
        <v>8.9</v>
      </c>
      <c r="E23" s="160">
        <v>8.83</v>
      </c>
      <c r="F23" s="39">
        <v>8.15</v>
      </c>
      <c r="G23" s="54">
        <v>8.31</v>
      </c>
      <c r="H23" s="172">
        <v>8.49</v>
      </c>
      <c r="I23" s="167">
        <v>8.22</v>
      </c>
      <c r="J23" s="43">
        <v>8.59</v>
      </c>
      <c r="K23" s="168" t="s">
        <v>25</v>
      </c>
      <c r="L23" s="164" t="s">
        <v>25</v>
      </c>
      <c r="M23" s="64" t="s">
        <v>25</v>
      </c>
      <c r="N23" s="47">
        <f t="shared" si="1"/>
        <v>8.49</v>
      </c>
      <c r="O23" s="165" t="s">
        <v>27</v>
      </c>
      <c r="P23" s="77" t="s">
        <v>28</v>
      </c>
    </row>
    <row r="24" ht="15.0" customHeight="1">
      <c r="A24" s="75">
        <v>17.0</v>
      </c>
      <c r="B24" s="157" t="s">
        <v>194</v>
      </c>
      <c r="C24" s="158"/>
      <c r="D24" s="159">
        <v>9.7</v>
      </c>
      <c r="E24" s="160">
        <v>9.8</v>
      </c>
      <c r="F24" s="39">
        <v>9.99</v>
      </c>
      <c r="G24" s="54">
        <v>9.81</v>
      </c>
      <c r="H24" s="172">
        <v>9.96</v>
      </c>
      <c r="I24" s="167">
        <v>9.99</v>
      </c>
      <c r="J24" s="43">
        <v>9.99</v>
      </c>
      <c r="K24" s="168" t="s">
        <v>26</v>
      </c>
      <c r="L24" s="164" t="s">
        <v>26</v>
      </c>
      <c r="M24" s="64" t="s">
        <v>26</v>
      </c>
      <c r="N24" s="47">
        <f t="shared" si="1"/>
        <v>9.89</v>
      </c>
      <c r="O24" s="165" t="s">
        <v>27</v>
      </c>
      <c r="P24" s="77" t="s">
        <v>28</v>
      </c>
    </row>
    <row r="25" ht="15.0" customHeight="1">
      <c r="A25" s="75">
        <v>18.0</v>
      </c>
      <c r="B25" s="157" t="s">
        <v>195</v>
      </c>
      <c r="C25" s="158"/>
      <c r="D25" s="159">
        <v>7.4</v>
      </c>
      <c r="E25" s="160">
        <v>7.0</v>
      </c>
      <c r="F25" s="39">
        <v>7.0</v>
      </c>
      <c r="G25" s="54">
        <v>7.0</v>
      </c>
      <c r="H25" s="166">
        <v>7.28</v>
      </c>
      <c r="I25" s="167">
        <v>7.65</v>
      </c>
      <c r="J25" s="43">
        <v>7.94</v>
      </c>
      <c r="K25" s="168" t="s">
        <v>52</v>
      </c>
      <c r="L25" s="164" t="s">
        <v>52</v>
      </c>
      <c r="M25" s="64" t="s">
        <v>52</v>
      </c>
      <c r="N25" s="47">
        <f t="shared" si="1"/>
        <v>7.32</v>
      </c>
      <c r="O25" s="165" t="s">
        <v>69</v>
      </c>
      <c r="P25" s="173" t="s">
        <v>70</v>
      </c>
    </row>
    <row r="26" ht="15.0" customHeight="1">
      <c r="A26" s="75">
        <v>19.0</v>
      </c>
      <c r="B26" s="157" t="s">
        <v>196</v>
      </c>
      <c r="C26" s="158"/>
      <c r="D26" s="159">
        <v>9.0</v>
      </c>
      <c r="E26" s="160">
        <v>9.05</v>
      </c>
      <c r="F26" s="39">
        <v>8.56</v>
      </c>
      <c r="G26" s="54">
        <v>8.89</v>
      </c>
      <c r="H26" s="174">
        <v>8.93</v>
      </c>
      <c r="I26" s="167">
        <v>8.73</v>
      </c>
      <c r="J26" s="43">
        <v>9.43</v>
      </c>
      <c r="K26" s="168" t="s">
        <v>25</v>
      </c>
      <c r="L26" s="164" t="s">
        <v>26</v>
      </c>
      <c r="M26" s="64" t="s">
        <v>26</v>
      </c>
      <c r="N26" s="47">
        <f t="shared" si="1"/>
        <v>8.94</v>
      </c>
      <c r="O26" s="165" t="s">
        <v>27</v>
      </c>
      <c r="P26" s="77" t="s">
        <v>28</v>
      </c>
    </row>
    <row r="27" ht="15.0" customHeight="1">
      <c r="A27" s="75">
        <v>20.0</v>
      </c>
      <c r="B27" s="157" t="s">
        <v>197</v>
      </c>
      <c r="C27" s="158"/>
      <c r="D27" s="159">
        <v>8.5</v>
      </c>
      <c r="E27" s="160">
        <v>8.73</v>
      </c>
      <c r="F27" s="39">
        <v>8.16</v>
      </c>
      <c r="G27" s="54">
        <v>8.48</v>
      </c>
      <c r="H27" s="172">
        <v>8.17</v>
      </c>
      <c r="I27" s="167">
        <v>8.15</v>
      </c>
      <c r="J27" s="43">
        <v>9.53</v>
      </c>
      <c r="K27" s="168" t="s">
        <v>52</v>
      </c>
      <c r="L27" s="164" t="s">
        <v>25</v>
      </c>
      <c r="M27" s="64" t="s">
        <v>26</v>
      </c>
      <c r="N27" s="47">
        <f t="shared" si="1"/>
        <v>8.53</v>
      </c>
      <c r="O27" s="165" t="s">
        <v>27</v>
      </c>
      <c r="P27" s="77" t="s">
        <v>28</v>
      </c>
    </row>
    <row r="28" ht="15.0" customHeight="1">
      <c r="A28" s="75">
        <v>21.0</v>
      </c>
      <c r="B28" s="157" t="s">
        <v>198</v>
      </c>
      <c r="C28" s="158"/>
      <c r="D28" s="159">
        <v>7.54</v>
      </c>
      <c r="E28" s="160">
        <v>7.02</v>
      </c>
      <c r="F28" s="39">
        <v>7.01</v>
      </c>
      <c r="G28" s="54">
        <v>7.33</v>
      </c>
      <c r="H28" s="175">
        <v>7.25</v>
      </c>
      <c r="I28" s="167">
        <v>7.9</v>
      </c>
      <c r="J28" s="43">
        <v>8.48</v>
      </c>
      <c r="K28" s="168" t="s">
        <v>52</v>
      </c>
      <c r="L28" s="164" t="s">
        <v>52</v>
      </c>
      <c r="M28" s="64" t="s">
        <v>25</v>
      </c>
      <c r="N28" s="47">
        <f t="shared" si="1"/>
        <v>7.5</v>
      </c>
      <c r="O28" s="165" t="s">
        <v>27</v>
      </c>
      <c r="P28" s="77" t="s">
        <v>28</v>
      </c>
    </row>
    <row r="29" ht="13.5" customHeight="1">
      <c r="A29" s="75">
        <v>22.0</v>
      </c>
      <c r="B29" s="157" t="s">
        <v>199</v>
      </c>
      <c r="C29" s="158"/>
      <c r="D29" s="159">
        <v>9.15</v>
      </c>
      <c r="E29" s="160">
        <v>9.21</v>
      </c>
      <c r="F29" s="39">
        <v>9.25</v>
      </c>
      <c r="G29" s="54">
        <v>8.63</v>
      </c>
      <c r="H29" s="175">
        <v>8.97</v>
      </c>
      <c r="I29" s="167">
        <v>8.78</v>
      </c>
      <c r="J29" s="43">
        <v>8.89</v>
      </c>
      <c r="K29" s="168" t="s">
        <v>52</v>
      </c>
      <c r="L29" s="164" t="s">
        <v>25</v>
      </c>
      <c r="M29" s="64" t="s">
        <v>25</v>
      </c>
      <c r="N29" s="47">
        <f t="shared" si="1"/>
        <v>8.98</v>
      </c>
      <c r="O29" s="165" t="s">
        <v>27</v>
      </c>
      <c r="P29" s="77" t="s">
        <v>28</v>
      </c>
    </row>
    <row r="30" ht="15.0" customHeight="1">
      <c r="A30" s="75">
        <v>23.0</v>
      </c>
      <c r="B30" s="157" t="s">
        <v>200</v>
      </c>
      <c r="C30" s="158"/>
      <c r="D30" s="159">
        <v>7.75</v>
      </c>
      <c r="E30" s="160">
        <v>7.45</v>
      </c>
      <c r="F30" s="39">
        <v>7.36</v>
      </c>
      <c r="G30" s="54">
        <v>7.91</v>
      </c>
      <c r="H30" s="172">
        <v>7.32</v>
      </c>
      <c r="I30" s="176">
        <v>7.5</v>
      </c>
      <c r="J30" s="43">
        <v>8.59</v>
      </c>
      <c r="K30" s="168" t="s">
        <v>52</v>
      </c>
      <c r="L30" s="164" t="s">
        <v>25</v>
      </c>
      <c r="M30" s="64" t="s">
        <v>25</v>
      </c>
      <c r="N30" s="47">
        <f t="shared" si="1"/>
        <v>7.69</v>
      </c>
      <c r="O30" s="165" t="s">
        <v>27</v>
      </c>
      <c r="P30" s="77" t="s">
        <v>28</v>
      </c>
    </row>
    <row r="31" ht="13.5" customHeight="1">
      <c r="A31" s="75">
        <v>24.0</v>
      </c>
      <c r="B31" s="157" t="s">
        <v>201</v>
      </c>
      <c r="C31" s="158"/>
      <c r="D31" s="159">
        <v>7.7</v>
      </c>
      <c r="E31" s="160">
        <v>7.54</v>
      </c>
      <c r="F31" s="39">
        <v>7.0</v>
      </c>
      <c r="G31" s="54">
        <v>7.57</v>
      </c>
      <c r="H31" s="172">
        <v>7.09</v>
      </c>
      <c r="I31" s="176">
        <v>7.62</v>
      </c>
      <c r="J31" s="43">
        <v>7.38</v>
      </c>
      <c r="K31" s="168" t="s">
        <v>52</v>
      </c>
      <c r="L31" s="164" t="s">
        <v>52</v>
      </c>
      <c r="M31" s="64" t="s">
        <v>52</v>
      </c>
      <c r="N31" s="47">
        <f t="shared" si="1"/>
        <v>7.41</v>
      </c>
      <c r="O31" s="165" t="s">
        <v>34</v>
      </c>
      <c r="P31" s="77" t="s">
        <v>28</v>
      </c>
    </row>
    <row r="32" ht="15.0" customHeight="1">
      <c r="A32" s="75">
        <v>25.0</v>
      </c>
      <c r="B32" s="157" t="s">
        <v>202</v>
      </c>
      <c r="C32" s="158"/>
      <c r="D32" s="159">
        <v>8.99</v>
      </c>
      <c r="E32" s="160">
        <v>8.76</v>
      </c>
      <c r="F32" s="39">
        <v>8.54</v>
      </c>
      <c r="G32" s="54">
        <v>8.98</v>
      </c>
      <c r="H32" s="175">
        <v>8.57</v>
      </c>
      <c r="I32" s="176">
        <v>8.57</v>
      </c>
      <c r="J32" s="43">
        <v>9.33</v>
      </c>
      <c r="K32" s="168" t="s">
        <v>26</v>
      </c>
      <c r="L32" s="164" t="s">
        <v>26</v>
      </c>
      <c r="M32" s="64" t="s">
        <v>26</v>
      </c>
      <c r="N32" s="47">
        <f t="shared" si="1"/>
        <v>8.82</v>
      </c>
      <c r="O32" s="165" t="s">
        <v>27</v>
      </c>
      <c r="P32" s="77" t="s">
        <v>28</v>
      </c>
    </row>
    <row r="33" ht="15.0" customHeight="1">
      <c r="A33" s="75">
        <v>26.0</v>
      </c>
      <c r="B33" s="157" t="s">
        <v>203</v>
      </c>
      <c r="C33" s="158"/>
      <c r="D33" s="159">
        <v>8.53</v>
      </c>
      <c r="E33" s="160">
        <v>7.82</v>
      </c>
      <c r="F33" s="39">
        <v>7.22</v>
      </c>
      <c r="G33" s="54">
        <v>7.07</v>
      </c>
      <c r="H33" s="172">
        <v>9.36</v>
      </c>
      <c r="I33" s="176">
        <v>8.57</v>
      </c>
      <c r="J33" s="43">
        <v>9.34</v>
      </c>
      <c r="K33" s="168" t="s">
        <v>52</v>
      </c>
      <c r="L33" s="164" t="s">
        <v>25</v>
      </c>
      <c r="M33" s="64" t="s">
        <v>26</v>
      </c>
      <c r="N33" s="47">
        <f t="shared" si="1"/>
        <v>8.27</v>
      </c>
      <c r="O33" s="165" t="s">
        <v>27</v>
      </c>
      <c r="P33" s="77" t="s">
        <v>28</v>
      </c>
    </row>
    <row r="34" ht="15.0" customHeight="1">
      <c r="A34" s="75">
        <v>27.0</v>
      </c>
      <c r="B34" s="157" t="s">
        <v>204</v>
      </c>
      <c r="C34" s="158"/>
      <c r="D34" s="159">
        <v>7.54</v>
      </c>
      <c r="E34" s="160">
        <v>7.0</v>
      </c>
      <c r="F34" s="39">
        <v>7.0</v>
      </c>
      <c r="G34" s="54">
        <v>7.0</v>
      </c>
      <c r="H34" s="172">
        <v>7.26</v>
      </c>
      <c r="I34" s="176">
        <v>7.22</v>
      </c>
      <c r="J34" s="43">
        <v>8.55</v>
      </c>
      <c r="K34" s="168" t="s">
        <v>52</v>
      </c>
      <c r="L34" s="164" t="s">
        <v>52</v>
      </c>
      <c r="M34" s="64" t="s">
        <v>25</v>
      </c>
      <c r="N34" s="47">
        <f t="shared" si="1"/>
        <v>7.36</v>
      </c>
      <c r="O34" s="165" t="s">
        <v>27</v>
      </c>
      <c r="P34" s="77" t="s">
        <v>28</v>
      </c>
    </row>
    <row r="35" ht="15.0" customHeight="1">
      <c r="A35" s="75">
        <v>28.0</v>
      </c>
      <c r="B35" s="157" t="s">
        <v>205</v>
      </c>
      <c r="C35" s="158"/>
      <c r="D35" s="159">
        <v>8.35</v>
      </c>
      <c r="E35" s="160">
        <v>7.62</v>
      </c>
      <c r="F35" s="39">
        <v>8.1</v>
      </c>
      <c r="G35" s="54">
        <v>8.04</v>
      </c>
      <c r="H35" s="172">
        <v>8.05</v>
      </c>
      <c r="I35" s="176">
        <v>8.37</v>
      </c>
      <c r="J35" s="43">
        <v>8.52</v>
      </c>
      <c r="K35" s="168" t="s">
        <v>25</v>
      </c>
      <c r="L35" s="164" t="s">
        <v>25</v>
      </c>
      <c r="M35" s="64" t="s">
        <v>25</v>
      </c>
      <c r="N35" s="47">
        <f t="shared" si="1"/>
        <v>8.15</v>
      </c>
      <c r="O35" s="165" t="s">
        <v>27</v>
      </c>
      <c r="P35" s="77" t="s">
        <v>28</v>
      </c>
    </row>
    <row r="36" ht="15.0" customHeight="1">
      <c r="A36" s="75">
        <v>29.0</v>
      </c>
      <c r="B36" s="157" t="s">
        <v>206</v>
      </c>
      <c r="C36" s="158"/>
      <c r="D36" s="159">
        <v>8.73</v>
      </c>
      <c r="E36" s="160">
        <v>8.39</v>
      </c>
      <c r="F36" s="39">
        <v>8.37</v>
      </c>
      <c r="G36" s="54">
        <v>8.82</v>
      </c>
      <c r="H36" s="172">
        <v>8.0</v>
      </c>
      <c r="I36" s="176">
        <v>8.12</v>
      </c>
      <c r="J36" s="43">
        <v>8.9</v>
      </c>
      <c r="K36" s="168" t="s">
        <v>25</v>
      </c>
      <c r="L36" s="164" t="s">
        <v>25</v>
      </c>
      <c r="M36" s="64" t="s">
        <v>25</v>
      </c>
      <c r="N36" s="47">
        <f t="shared" si="1"/>
        <v>8.47</v>
      </c>
      <c r="O36" s="165" t="s">
        <v>27</v>
      </c>
      <c r="P36" s="77" t="s">
        <v>28</v>
      </c>
    </row>
    <row r="37" ht="15.0" customHeight="1">
      <c r="A37" s="75">
        <v>30.0</v>
      </c>
      <c r="B37" s="157" t="s">
        <v>207</v>
      </c>
      <c r="C37" s="158"/>
      <c r="D37" s="159">
        <v>9.89</v>
      </c>
      <c r="E37" s="160">
        <v>9.83</v>
      </c>
      <c r="F37" s="39">
        <v>9.79</v>
      </c>
      <c r="G37" s="54">
        <v>9.95</v>
      </c>
      <c r="H37" s="172">
        <v>9.81</v>
      </c>
      <c r="I37" s="176">
        <v>10.0</v>
      </c>
      <c r="J37" s="43">
        <v>10.0</v>
      </c>
      <c r="K37" s="168" t="s">
        <v>26</v>
      </c>
      <c r="L37" s="164" t="s">
        <v>26</v>
      </c>
      <c r="M37" s="64" t="s">
        <v>26</v>
      </c>
      <c r="N37" s="47">
        <f t="shared" si="1"/>
        <v>9.89</v>
      </c>
      <c r="O37" s="165" t="s">
        <v>27</v>
      </c>
      <c r="P37" s="77" t="s">
        <v>28</v>
      </c>
    </row>
    <row r="38" ht="15.0" customHeight="1">
      <c r="A38" s="75">
        <v>31.0</v>
      </c>
      <c r="B38" s="157" t="s">
        <v>208</v>
      </c>
      <c r="C38" s="158"/>
      <c r="D38" s="159">
        <v>8.16</v>
      </c>
      <c r="E38" s="160">
        <v>8.04</v>
      </c>
      <c r="F38" s="39">
        <v>7.17</v>
      </c>
      <c r="G38" s="54">
        <v>8.2</v>
      </c>
      <c r="H38" s="172">
        <v>7.68</v>
      </c>
      <c r="I38" s="176">
        <v>8.11</v>
      </c>
      <c r="J38" s="177">
        <v>8.98</v>
      </c>
      <c r="K38" s="168" t="s">
        <v>25</v>
      </c>
      <c r="L38" s="164" t="s">
        <v>25</v>
      </c>
      <c r="M38" s="64" t="s">
        <v>25</v>
      </c>
      <c r="N38" s="47">
        <f t="shared" si="1"/>
        <v>8.04</v>
      </c>
      <c r="O38" s="165" t="s">
        <v>27</v>
      </c>
      <c r="P38" s="77" t="s">
        <v>28</v>
      </c>
    </row>
    <row r="39" ht="15.0" customHeight="1">
      <c r="A39" s="75">
        <v>32.0</v>
      </c>
      <c r="B39" s="157" t="s">
        <v>209</v>
      </c>
      <c r="C39" s="158"/>
      <c r="D39" s="159">
        <v>9.4</v>
      </c>
      <c r="E39" s="160">
        <v>8.84</v>
      </c>
      <c r="F39" s="39">
        <v>8.86</v>
      </c>
      <c r="G39" s="54">
        <v>9.29</v>
      </c>
      <c r="H39" s="172">
        <v>9.41</v>
      </c>
      <c r="I39" s="176">
        <v>9.27</v>
      </c>
      <c r="J39" s="43">
        <v>9.98</v>
      </c>
      <c r="K39" s="168" t="s">
        <v>26</v>
      </c>
      <c r="L39" s="164" t="s">
        <v>26</v>
      </c>
      <c r="M39" s="64" t="s">
        <v>26</v>
      </c>
      <c r="N39" s="47">
        <f t="shared" si="1"/>
        <v>9.29</v>
      </c>
      <c r="O39" s="165" t="s">
        <v>27</v>
      </c>
      <c r="P39" s="77" t="s">
        <v>28</v>
      </c>
    </row>
    <row r="40" ht="15.0" customHeight="1">
      <c r="A40" s="75">
        <v>33.0</v>
      </c>
      <c r="B40" s="157" t="s">
        <v>210</v>
      </c>
      <c r="C40" s="158"/>
      <c r="D40" s="159">
        <v>7.85</v>
      </c>
      <c r="E40" s="160">
        <v>7.22</v>
      </c>
      <c r="F40" s="39">
        <v>7.28</v>
      </c>
      <c r="G40" s="54">
        <v>7.65</v>
      </c>
      <c r="H40" s="172">
        <v>7.36</v>
      </c>
      <c r="I40" s="176">
        <v>7.75</v>
      </c>
      <c r="J40" s="43">
        <v>8.24</v>
      </c>
      <c r="K40" s="168" t="s">
        <v>52</v>
      </c>
      <c r="L40" s="164" t="s">
        <v>52</v>
      </c>
      <c r="M40" s="64" t="s">
        <v>25</v>
      </c>
      <c r="N40" s="47">
        <f t="shared" si="1"/>
        <v>7.62</v>
      </c>
      <c r="O40" s="165" t="s">
        <v>27</v>
      </c>
      <c r="P40" s="77" t="s">
        <v>28</v>
      </c>
    </row>
    <row r="41" ht="15.0" customHeight="1">
      <c r="A41" s="75">
        <v>34.0</v>
      </c>
      <c r="B41" s="157" t="s">
        <v>211</v>
      </c>
      <c r="C41" s="158"/>
      <c r="D41" s="159">
        <v>8.87</v>
      </c>
      <c r="E41" s="160">
        <v>8.98</v>
      </c>
      <c r="F41" s="39">
        <v>7.85</v>
      </c>
      <c r="G41" s="54">
        <v>9.38</v>
      </c>
      <c r="H41" s="172">
        <v>8.84</v>
      </c>
      <c r="I41" s="176">
        <v>8.12</v>
      </c>
      <c r="J41" s="43">
        <v>9.13</v>
      </c>
      <c r="K41" s="168" t="s">
        <v>25</v>
      </c>
      <c r="L41" s="164" t="s">
        <v>25</v>
      </c>
      <c r="M41" s="64" t="s">
        <v>26</v>
      </c>
      <c r="N41" s="47">
        <f t="shared" si="1"/>
        <v>8.73</v>
      </c>
      <c r="O41" s="165" t="s">
        <v>27</v>
      </c>
      <c r="P41" s="77" t="s">
        <v>28</v>
      </c>
    </row>
    <row r="42" ht="13.5" customHeight="1">
      <c r="A42" s="75">
        <v>35.0</v>
      </c>
      <c r="B42" s="157" t="s">
        <v>212</v>
      </c>
      <c r="C42" s="158"/>
      <c r="D42" s="159">
        <v>9.51</v>
      </c>
      <c r="E42" s="160">
        <v>9.46</v>
      </c>
      <c r="F42" s="39">
        <v>8.98</v>
      </c>
      <c r="G42" s="54">
        <v>9.73</v>
      </c>
      <c r="H42" s="172">
        <v>8.84</v>
      </c>
      <c r="I42" s="176">
        <v>9.18</v>
      </c>
      <c r="J42" s="43">
        <v>9.48</v>
      </c>
      <c r="K42" s="168" t="s">
        <v>26</v>
      </c>
      <c r="L42" s="164" t="s">
        <v>26</v>
      </c>
      <c r="M42" s="64" t="s">
        <v>26</v>
      </c>
      <c r="N42" s="47">
        <f t="shared" si="1"/>
        <v>9.31</v>
      </c>
      <c r="O42" s="165" t="s">
        <v>27</v>
      </c>
      <c r="P42" s="77" t="s">
        <v>28</v>
      </c>
    </row>
    <row r="43" ht="15.0" customHeight="1">
      <c r="A43" s="75">
        <v>36.0</v>
      </c>
      <c r="B43" s="157" t="s">
        <v>213</v>
      </c>
      <c r="C43" s="158"/>
      <c r="D43" s="159">
        <v>8.64</v>
      </c>
      <c r="E43" s="160">
        <v>8.18</v>
      </c>
      <c r="F43" s="39">
        <v>7.89</v>
      </c>
      <c r="G43" s="54">
        <v>7.82</v>
      </c>
      <c r="H43" s="175">
        <v>7.5</v>
      </c>
      <c r="I43" s="176">
        <v>8.51</v>
      </c>
      <c r="J43" s="43">
        <v>9.39</v>
      </c>
      <c r="K43" s="168" t="s">
        <v>52</v>
      </c>
      <c r="L43" s="164" t="s">
        <v>25</v>
      </c>
      <c r="M43" s="64" t="s">
        <v>26</v>
      </c>
      <c r="N43" s="47">
        <f t="shared" si="1"/>
        <v>8.27</v>
      </c>
      <c r="O43" s="165" t="s">
        <v>27</v>
      </c>
      <c r="P43" s="77" t="s">
        <v>28</v>
      </c>
    </row>
    <row r="44" ht="14.25" customHeight="1">
      <c r="A44" s="169">
        <v>37.0</v>
      </c>
      <c r="B44" s="157" t="s">
        <v>214</v>
      </c>
      <c r="C44" s="158"/>
      <c r="D44" s="159">
        <v>7.54</v>
      </c>
      <c r="E44" s="160">
        <v>7.01</v>
      </c>
      <c r="F44" s="39">
        <v>7.0</v>
      </c>
      <c r="G44" s="54">
        <v>7.0</v>
      </c>
      <c r="H44" s="172">
        <v>7.0</v>
      </c>
      <c r="I44" s="176">
        <v>7.53</v>
      </c>
      <c r="J44" s="43">
        <v>7.0</v>
      </c>
      <c r="K44" s="168" t="s">
        <v>33</v>
      </c>
      <c r="L44" s="164" t="s">
        <v>52</v>
      </c>
      <c r="M44" s="64" t="s">
        <v>52</v>
      </c>
      <c r="N44" s="47">
        <f t="shared" si="1"/>
        <v>7.15</v>
      </c>
      <c r="O44" s="165" t="s">
        <v>69</v>
      </c>
      <c r="P44" s="173" t="s">
        <v>70</v>
      </c>
    </row>
    <row r="45" ht="15.0" customHeight="1">
      <c r="A45" s="75">
        <v>38.0</v>
      </c>
      <c r="B45" s="157" t="s">
        <v>215</v>
      </c>
      <c r="C45" s="158"/>
      <c r="D45" s="159">
        <v>8.17</v>
      </c>
      <c r="E45" s="160">
        <v>7.39</v>
      </c>
      <c r="F45" s="39">
        <v>7.29</v>
      </c>
      <c r="G45" s="54">
        <v>7.16</v>
      </c>
      <c r="H45" s="172">
        <v>7.1</v>
      </c>
      <c r="I45" s="176">
        <v>7.76</v>
      </c>
      <c r="J45" s="43">
        <v>8.33</v>
      </c>
      <c r="K45" s="168" t="s">
        <v>52</v>
      </c>
      <c r="L45" s="164" t="s">
        <v>52</v>
      </c>
      <c r="M45" s="64" t="s">
        <v>33</v>
      </c>
      <c r="N45" s="47">
        <f t="shared" si="1"/>
        <v>7.6</v>
      </c>
      <c r="O45" s="165" t="s">
        <v>69</v>
      </c>
      <c r="P45" s="77" t="s">
        <v>28</v>
      </c>
    </row>
    <row r="46" ht="15.0" customHeight="1">
      <c r="A46" s="75">
        <v>39.0</v>
      </c>
      <c r="B46" s="157" t="s">
        <v>216</v>
      </c>
      <c r="C46" s="158"/>
      <c r="D46" s="159">
        <v>8.96</v>
      </c>
      <c r="E46" s="160">
        <v>9.01</v>
      </c>
      <c r="F46" s="39">
        <v>8.51</v>
      </c>
      <c r="G46" s="54">
        <v>8.58</v>
      </c>
      <c r="H46" s="172">
        <v>8.58</v>
      </c>
      <c r="I46" s="176">
        <v>8.63</v>
      </c>
      <c r="J46" s="43">
        <v>8.71</v>
      </c>
      <c r="K46" s="168" t="s">
        <v>25</v>
      </c>
      <c r="L46" s="164" t="s">
        <v>25</v>
      </c>
      <c r="M46" s="64" t="s">
        <v>25</v>
      </c>
      <c r="N46" s="47">
        <f t="shared" si="1"/>
        <v>8.71</v>
      </c>
      <c r="O46" s="165" t="s">
        <v>27</v>
      </c>
      <c r="P46" s="77" t="s">
        <v>28</v>
      </c>
    </row>
    <row r="47" ht="15.0" customHeight="1">
      <c r="A47" s="75">
        <v>40.0</v>
      </c>
      <c r="B47" s="157" t="s">
        <v>217</v>
      </c>
      <c r="C47" s="158"/>
      <c r="D47" s="159">
        <v>9.04</v>
      </c>
      <c r="E47" s="160">
        <v>9.21</v>
      </c>
      <c r="F47" s="39">
        <v>7.93</v>
      </c>
      <c r="G47" s="54">
        <v>9.12</v>
      </c>
      <c r="H47" s="172">
        <v>9.07</v>
      </c>
      <c r="I47" s="178">
        <v>8.8</v>
      </c>
      <c r="J47" s="43">
        <v>9.32</v>
      </c>
      <c r="K47" s="179" t="s">
        <v>25</v>
      </c>
      <c r="L47" s="164" t="s">
        <v>25</v>
      </c>
      <c r="M47" s="64" t="s">
        <v>25</v>
      </c>
      <c r="N47" s="47">
        <f t="shared" si="1"/>
        <v>8.92</v>
      </c>
      <c r="O47" s="117" t="s">
        <v>27</v>
      </c>
      <c r="P47" s="77" t="s">
        <v>28</v>
      </c>
    </row>
    <row r="48" ht="15.0" customHeight="1">
      <c r="A48" s="128">
        <v>40.0</v>
      </c>
      <c r="B48" s="99" t="s">
        <v>78</v>
      </c>
      <c r="C48" s="17"/>
      <c r="D48" s="79">
        <f t="shared" ref="D48:J48" si="2">AVERAGE(D10:D47)</f>
        <v>8.564736842</v>
      </c>
      <c r="E48" s="80">
        <f t="shared" si="2"/>
        <v>8.402894737</v>
      </c>
      <c r="F48" s="81">
        <f t="shared" si="2"/>
        <v>7.985789474</v>
      </c>
      <c r="G48" s="82">
        <f t="shared" si="2"/>
        <v>8.390526316</v>
      </c>
      <c r="H48" s="83">
        <f t="shared" si="2"/>
        <v>8.198684211</v>
      </c>
      <c r="I48" s="180">
        <f t="shared" si="2"/>
        <v>8.386315789</v>
      </c>
      <c r="J48" s="181">
        <f t="shared" si="2"/>
        <v>8.846842105</v>
      </c>
      <c r="K48" s="181"/>
      <c r="L48" s="182"/>
      <c r="M48" s="182"/>
      <c r="N48" s="181">
        <f>AVERAGE(N10:N47)</f>
        <v>8.392631579</v>
      </c>
      <c r="O48" s="183"/>
      <c r="P48" s="184"/>
      <c r="Q48" s="134"/>
    </row>
    <row r="49" ht="15.0" customHeight="1">
      <c r="A49" s="34"/>
      <c r="B49" s="185" t="str">
        <f t="shared" ref="B49:B50" si="3">IFERROR(IF(AND($C$4="OCTAVO A",$K$3="MATUTINA"),VLOOKUP(A49,OCTAVO_A_MAT,2,FALSE),IF(AND($C$4="OCTAVO B",$K$3="MATUTINA"),VLOOKUP(A49,OCTAVO_B_MAT,2,FALSE),IF(AND($C$4="NOVENO A",$K$3="MATUTINA"),VLOOKUP(A49,NOVENO_A_MAT,2,FALSE),IF(AND($C$4="NOVENO B",$K$3="MATUTINA"),VLOOKUP(A49,NOVENO_B_MAT,2,FALSE),IF(AND($C$4="DÉCIMO A",$K$3="MATUTINA"),VLOOKUP(A49,DECIMO_A_MAT,2,FALSE),IF(AND($C$4="DÉCIMO B",$K$3="MATUTINA"),VLOOKUP(A49,DECIMO_B_MAT,2,FALSE),IF(AND($C$4="OCTAVO A",$K$3="VESPERTINA"),VLOOKUP(A49,OCTAVO_A_VESP,2,FALSE),IF(AND($C$4="OCTAVO B",$K$3="VESPERTINA"),VLOOKUP(A49,OCTAVO_B_VESP,2,FALSE),IF(AND($C$4="NOVENO A",$K$3="VESPERTINA"),VLOOKUP(A49,NOVENO_A_VESP,2,FALSE),IF(AND($C$4="NOVENO B",$K$3="VESPERTINA"),VLOOKUP(A49,NOVENO_B_VESP,2,FALSE),IF(AND($C$4="DÉCIMO A",$K$3="VESPERTINA"),VLOOKUP(A49,DECIMO_A_VESP,2,FALSE),IF(AND($C$4="DÉCIMO B",$K$3="VESPERTINA"),VLOOKUP(A49,DECIMO_B_VESP,2,FALSE),IF(AND($C$4="QUINTO A",$K$3="MATUTINA"),VLOOKUP(A49,QUINTO_A_MAT,2,FALSE),IF(AND($C$4="QUINTO B",$K$3="MATUTINA"),VLOOKUP(A49,QUINTO_B_MAT,2,FALSE),IF(AND($C$4="SEXTO A",$K$3="MATUTINA"),VLOOKUP(A49,SEXTO_A_MAT,2,FALSE),IF(AND($C$4="SEXTO B",$K$3="MATUTINA"),VLOOKUP(A49,SEXTO_B_MAT,2,FALSE),IF(AND($C$4="SÉPTIMO A",$K$3="MATUTINA"),VLOOKUP(A49,SEPTIMO_A_MATU,2,FALSE),IF(AND($C$4="SÉPTIMO B",$K$3="MATUTINA"),VLOOKUP(A49,SEPTIMO_B_MAT,2,FALSE),IF(AND($C$4="QUINTO A",$K$3="VESPERTINA"),VLOOKUP(A49,QUINTO_A_VES,2,FALSE),IF(AND($C$4="QUINTO B",$K$3="VESPERTINA"),VLOOKUP(A49,QUINTO_B_VES,2,FALSE),IF(AND($C$4="SEXTO A",$K$3="VESPERTINA"),VLOOKUP(A49,SEXTO_A_VES,2,FALSE),IF(AND($C$4="SEXTO B",$K$3="VESPERTINA"),VLOOKUP(A49,SEXTO_B_VES,2,FALSE),IF(AND($C$4="SÉPTIMO A",$K$3="VESPERTINA"),VLOOKUP(A49,SEPTIMO_A_VES,2,FALSE),IF(AND($C$4="SÉPTIMO B",$K$3="VESPERTINA"),VLOOKUP(A49,SEPTIMO_B_VES,2,FALSE),"")))))))))))))))))))))))),"")</f>
        <v/>
      </c>
      <c r="C49" s="103"/>
      <c r="D49" s="186"/>
      <c r="E49" s="186"/>
      <c r="F49" s="186"/>
      <c r="G49" s="186"/>
      <c r="H49" s="186"/>
      <c r="I49" s="186"/>
      <c r="J49" s="187"/>
      <c r="K49" s="187"/>
      <c r="L49" s="187"/>
      <c r="M49" s="187"/>
      <c r="N49" s="186"/>
      <c r="O49" s="188"/>
      <c r="P49" s="141"/>
      <c r="Q49" s="134"/>
    </row>
    <row r="50" ht="14.25" customHeight="1">
      <c r="A50" s="34"/>
      <c r="B50" s="185" t="str">
        <f t="shared" si="3"/>
        <v/>
      </c>
      <c r="C50" s="103"/>
      <c r="D50" s="189"/>
      <c r="E50" s="189"/>
      <c r="F50" s="189"/>
      <c r="G50" s="189"/>
      <c r="H50" s="189"/>
      <c r="I50" s="189"/>
      <c r="J50" s="190"/>
      <c r="K50" s="190"/>
      <c r="L50" s="190"/>
      <c r="M50" s="190"/>
      <c r="N50" s="191"/>
      <c r="O50" s="192"/>
      <c r="P50" s="141"/>
      <c r="Q50" s="134"/>
    </row>
    <row r="51" ht="14.25" customHeight="1">
      <c r="A51" s="151"/>
      <c r="B51" s="100" t="s">
        <v>79</v>
      </c>
      <c r="C51" s="17"/>
      <c r="D51" s="101" t="s">
        <v>80</v>
      </c>
      <c r="E51" s="102"/>
      <c r="F51" s="102"/>
      <c r="G51" s="103"/>
      <c r="H51" s="104"/>
      <c r="I51" s="101" t="s">
        <v>218</v>
      </c>
      <c r="J51" s="102"/>
      <c r="K51" s="102"/>
      <c r="L51" s="102"/>
      <c r="M51" s="103"/>
      <c r="N51" s="191"/>
      <c r="O51" s="192"/>
      <c r="P51" s="141"/>
      <c r="Q51" s="134"/>
    </row>
    <row r="52" ht="14.25" customHeight="1">
      <c r="A52" s="151"/>
      <c r="B52" s="100" t="s">
        <v>82</v>
      </c>
      <c r="C52" s="17"/>
      <c r="D52" s="101" t="s">
        <v>83</v>
      </c>
      <c r="E52" s="102"/>
      <c r="F52" s="102"/>
      <c r="G52" s="103"/>
      <c r="H52" s="104"/>
      <c r="I52" s="101" t="s">
        <v>219</v>
      </c>
      <c r="J52" s="102"/>
      <c r="K52" s="102"/>
      <c r="L52" s="103"/>
      <c r="M52" s="190"/>
      <c r="N52" s="191"/>
      <c r="O52" s="192"/>
      <c r="P52" s="141"/>
      <c r="Q52" s="134"/>
    </row>
    <row r="53" ht="14.25" customHeight="1">
      <c r="P53" s="153"/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6">
    <mergeCell ref="A1:P1"/>
    <mergeCell ref="B2:P2"/>
    <mergeCell ref="C3:E3"/>
    <mergeCell ref="I3:J3"/>
    <mergeCell ref="K3:N3"/>
    <mergeCell ref="I4:J4"/>
    <mergeCell ref="B6:P6"/>
    <mergeCell ref="D52:G52"/>
    <mergeCell ref="I52:L52"/>
    <mergeCell ref="B48:C48"/>
    <mergeCell ref="B49:C49"/>
    <mergeCell ref="B50:C50"/>
    <mergeCell ref="B51:C51"/>
    <mergeCell ref="D51:G51"/>
    <mergeCell ref="I51:M51"/>
    <mergeCell ref="B52:C52"/>
  </mergeCells>
  <conditionalFormatting sqref="N8:N52">
    <cfRule type="cellIs" dxfId="1" priority="1" operator="lessThan">
      <formula>7</formula>
    </cfRule>
  </conditionalFormatting>
  <conditionalFormatting sqref="D8:J52 K48 N48 K51:K52">
    <cfRule type="cellIs" dxfId="0" priority="2" operator="lessThan">
      <formula>7</formula>
    </cfRule>
  </conditionalFormatting>
  <conditionalFormatting sqref="D8:J52 K48 N48 K51:K52">
    <cfRule type="cellIs" dxfId="0" priority="3" operator="lessThan">
      <formula>6.29</formula>
    </cfRule>
  </conditionalFormatting>
  <dataValidations>
    <dataValidation type="list" allowBlank="1" showErrorMessage="1" sqref="K3">
      <formula1>"MATUTINA,VESPERTINA"</formula1>
    </dataValidation>
    <dataValidation type="list" allowBlank="1" showErrorMessage="1" sqref="C4">
      <formula1>"QUINTO A,QUINTO B,SEXTO A,SEXTO B,SÉPTIMO A,SÉPTIMO B,OCTAVO A,OCTAVO B,NOVENO A,NOVENO B,DÉCIMO A,DÉCIMO B"</formula1>
    </dataValidation>
  </dataValidations>
  <printOptions gridLines="1"/>
  <pageMargins bottom="0.75" footer="0.0" header="0.0" left="0.7" right="0.7" top="0.75"/>
  <pageSetup cellComments="atEnd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43"/>
    <col customWidth="1" min="3" max="3" width="13.71"/>
    <col customWidth="1" min="4" max="4" width="6.29"/>
    <col customWidth="1" min="5" max="5" width="8.71"/>
    <col customWidth="1" min="6" max="13" width="6.29"/>
    <col customWidth="1" min="14" max="14" width="8.14"/>
    <col customWidth="1" min="15" max="15" width="7.57"/>
    <col customWidth="1" min="16" max="16" width="13.0"/>
    <col customWidth="1" min="17" max="17" width="20.71"/>
    <col customWidth="1" min="18" max="18" width="7.14"/>
  </cols>
  <sheetData>
    <row r="1" ht="72.75" customHeight="1">
      <c r="A1" s="1" t="s">
        <v>220</v>
      </c>
    </row>
    <row r="2" ht="14.25" customHeight="1">
      <c r="A2" s="2"/>
      <c r="B2" s="3" t="s">
        <v>1</v>
      </c>
    </row>
    <row r="3" ht="14.25" customHeight="1">
      <c r="B3" s="4" t="s">
        <v>221</v>
      </c>
      <c r="C3" s="5" t="s">
        <v>222</v>
      </c>
      <c r="F3" s="6"/>
      <c r="G3" s="6"/>
      <c r="H3" s="6"/>
      <c r="I3" s="7" t="s">
        <v>3</v>
      </c>
      <c r="K3" s="8" t="s">
        <v>4</v>
      </c>
    </row>
    <row r="4" ht="14.25" customHeight="1">
      <c r="B4" s="9" t="s">
        <v>5</v>
      </c>
      <c r="C4" s="10" t="s">
        <v>223</v>
      </c>
      <c r="D4" s="11" t="s">
        <v>89</v>
      </c>
      <c r="E4" s="6"/>
      <c r="F4" s="6"/>
      <c r="G4" s="6"/>
      <c r="H4" s="6"/>
      <c r="I4" s="7"/>
      <c r="K4" s="12"/>
      <c r="M4" s="6"/>
    </row>
    <row r="5" ht="6.0" customHeight="1">
      <c r="B5" s="13"/>
      <c r="C5" s="13"/>
      <c r="D5" s="9"/>
      <c r="E5" s="9"/>
      <c r="F5" s="9"/>
      <c r="G5" s="9"/>
      <c r="H5" s="9"/>
      <c r="I5" s="9"/>
      <c r="J5" s="9"/>
      <c r="K5" s="9"/>
      <c r="L5" s="9"/>
      <c r="M5" s="9"/>
    </row>
    <row r="6" ht="14.25" customHeight="1">
      <c r="B6" s="15" t="s">
        <v>7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7"/>
    </row>
    <row r="7" ht="157.5" customHeight="1">
      <c r="A7" s="193" t="s">
        <v>8</v>
      </c>
      <c r="B7" s="194" t="s">
        <v>9</v>
      </c>
      <c r="C7" s="36"/>
      <c r="D7" s="195" t="s">
        <v>10</v>
      </c>
      <c r="E7" s="196" t="s">
        <v>11</v>
      </c>
      <c r="F7" s="197" t="s">
        <v>12</v>
      </c>
      <c r="G7" s="198" t="s">
        <v>13</v>
      </c>
      <c r="H7" s="199" t="s">
        <v>14</v>
      </c>
      <c r="I7" s="200" t="s">
        <v>15</v>
      </c>
      <c r="J7" s="201" t="s">
        <v>16</v>
      </c>
      <c r="K7" s="202" t="s">
        <v>17</v>
      </c>
      <c r="L7" s="203" t="s">
        <v>18</v>
      </c>
      <c r="M7" s="204" t="s">
        <v>19</v>
      </c>
      <c r="N7" s="205" t="s">
        <v>20</v>
      </c>
      <c r="O7" s="206" t="s">
        <v>224</v>
      </c>
      <c r="P7" s="33" t="s">
        <v>22</v>
      </c>
    </row>
    <row r="8" ht="14.25" customHeight="1">
      <c r="A8" s="75">
        <v>1.0</v>
      </c>
      <c r="B8" s="207" t="s">
        <v>225</v>
      </c>
      <c r="C8" s="208"/>
      <c r="D8" s="159">
        <v>7.73</v>
      </c>
      <c r="E8" s="160">
        <v>8.06</v>
      </c>
      <c r="F8" s="39">
        <v>7.1</v>
      </c>
      <c r="G8" s="40">
        <v>7.47</v>
      </c>
      <c r="H8" s="41">
        <v>7.21</v>
      </c>
      <c r="I8" s="209">
        <v>7.96</v>
      </c>
      <c r="J8" s="43">
        <v>7.91</v>
      </c>
      <c r="K8" s="210" t="s">
        <v>33</v>
      </c>
      <c r="L8" s="211" t="s">
        <v>25</v>
      </c>
      <c r="M8" s="37" t="s">
        <v>26</v>
      </c>
      <c r="N8" s="47">
        <f t="shared" ref="N8:N47" si="1">TRUNC(AVERAGE(D8:J8),2)</f>
        <v>7.63</v>
      </c>
      <c r="O8" s="212" t="s">
        <v>34</v>
      </c>
      <c r="P8" s="77" t="s">
        <v>28</v>
      </c>
      <c r="Q8" s="213"/>
    </row>
    <row r="9" ht="15.0" customHeight="1">
      <c r="A9" s="75">
        <v>2.0</v>
      </c>
      <c r="B9" s="214" t="s">
        <v>226</v>
      </c>
      <c r="C9" s="215"/>
      <c r="D9" s="159">
        <v>7.95</v>
      </c>
      <c r="E9" s="160">
        <v>7.84</v>
      </c>
      <c r="F9" s="39">
        <v>7.35</v>
      </c>
      <c r="G9" s="54">
        <v>8.26</v>
      </c>
      <c r="H9" s="172">
        <v>7.27</v>
      </c>
      <c r="I9" s="216">
        <v>8.12</v>
      </c>
      <c r="J9" s="43">
        <v>8.87</v>
      </c>
      <c r="K9" s="210" t="s">
        <v>33</v>
      </c>
      <c r="L9" s="211" t="s">
        <v>25</v>
      </c>
      <c r="M9" s="37" t="s">
        <v>26</v>
      </c>
      <c r="N9" s="47">
        <f t="shared" si="1"/>
        <v>7.95</v>
      </c>
      <c r="O9" s="212" t="s">
        <v>27</v>
      </c>
      <c r="P9" s="77" t="s">
        <v>28</v>
      </c>
      <c r="Q9" s="56" t="s">
        <v>30</v>
      </c>
      <c r="R9" s="57">
        <f>LARGE(N8:N47,1)</f>
        <v>9.63</v>
      </c>
      <c r="S9" s="58" t="s">
        <v>227</v>
      </c>
    </row>
    <row r="10" ht="15.0" customHeight="1">
      <c r="A10" s="217">
        <v>3.0</v>
      </c>
      <c r="B10" s="214" t="s">
        <v>228</v>
      </c>
      <c r="C10" s="215"/>
      <c r="D10" s="159">
        <v>7.34</v>
      </c>
      <c r="E10" s="160">
        <v>7.31</v>
      </c>
      <c r="F10" s="39">
        <v>7.63</v>
      </c>
      <c r="G10" s="54">
        <v>7.3</v>
      </c>
      <c r="H10" s="172">
        <v>7.94</v>
      </c>
      <c r="I10" s="216">
        <v>7.64</v>
      </c>
      <c r="J10" s="43">
        <v>8.7</v>
      </c>
      <c r="K10" s="210" t="s">
        <v>52</v>
      </c>
      <c r="L10" s="211" t="s">
        <v>26</v>
      </c>
      <c r="M10" s="37" t="s">
        <v>26</v>
      </c>
      <c r="N10" s="47">
        <f t="shared" si="1"/>
        <v>7.69</v>
      </c>
      <c r="O10" s="212" t="s">
        <v>27</v>
      </c>
      <c r="P10" s="77" t="s">
        <v>28</v>
      </c>
      <c r="Q10" s="56" t="s">
        <v>35</v>
      </c>
      <c r="R10" s="59">
        <f>LARGE(N8:N47,2)</f>
        <v>9.58</v>
      </c>
      <c r="S10" s="58" t="s">
        <v>229</v>
      </c>
    </row>
    <row r="11" ht="15.0" customHeight="1">
      <c r="A11" s="75">
        <v>4.0</v>
      </c>
      <c r="B11" s="214" t="s">
        <v>230</v>
      </c>
      <c r="C11" s="215"/>
      <c r="D11" s="159">
        <v>8.97</v>
      </c>
      <c r="E11" s="160">
        <v>8.61</v>
      </c>
      <c r="F11" s="39">
        <v>8.05</v>
      </c>
      <c r="G11" s="54">
        <v>8.39</v>
      </c>
      <c r="H11" s="174">
        <v>8.01</v>
      </c>
      <c r="I11" s="216">
        <v>8.84</v>
      </c>
      <c r="J11" s="43">
        <v>9.24</v>
      </c>
      <c r="K11" s="210" t="s">
        <v>25</v>
      </c>
      <c r="L11" s="211" t="s">
        <v>26</v>
      </c>
      <c r="M11" s="37" t="s">
        <v>26</v>
      </c>
      <c r="N11" s="47">
        <f t="shared" si="1"/>
        <v>8.58</v>
      </c>
      <c r="O11" s="212" t="s">
        <v>27</v>
      </c>
      <c r="P11" s="77" t="s">
        <v>28</v>
      </c>
      <c r="Q11" s="56" t="s">
        <v>38</v>
      </c>
      <c r="R11" s="59">
        <f>LARGE(N8:N47,3)</f>
        <v>9.52</v>
      </c>
      <c r="S11" s="58" t="s">
        <v>231</v>
      </c>
    </row>
    <row r="12" ht="15.0" customHeight="1">
      <c r="A12" s="75">
        <v>5.0</v>
      </c>
      <c r="B12" s="214" t="s">
        <v>232</v>
      </c>
      <c r="C12" s="215"/>
      <c r="D12" s="159">
        <v>8.05</v>
      </c>
      <c r="E12" s="160">
        <v>7.0</v>
      </c>
      <c r="F12" s="39">
        <v>7.0</v>
      </c>
      <c r="G12" s="54">
        <v>7.13</v>
      </c>
      <c r="H12" s="172">
        <v>7.0</v>
      </c>
      <c r="I12" s="216">
        <v>8.43</v>
      </c>
      <c r="J12" s="43">
        <v>7.95</v>
      </c>
      <c r="K12" s="210" t="s">
        <v>33</v>
      </c>
      <c r="L12" s="211" t="s">
        <v>25</v>
      </c>
      <c r="M12" s="37" t="s">
        <v>25</v>
      </c>
      <c r="N12" s="47">
        <f t="shared" si="1"/>
        <v>7.5</v>
      </c>
      <c r="O12" s="212" t="s">
        <v>34</v>
      </c>
      <c r="P12" s="77" t="s">
        <v>28</v>
      </c>
      <c r="Q12" s="213"/>
    </row>
    <row r="13" ht="15.0" customHeight="1">
      <c r="A13" s="217">
        <v>6.0</v>
      </c>
      <c r="B13" s="214" t="s">
        <v>233</v>
      </c>
      <c r="C13" s="215"/>
      <c r="D13" s="159">
        <v>9.08</v>
      </c>
      <c r="E13" s="160">
        <v>8.79</v>
      </c>
      <c r="F13" s="39">
        <v>8.35</v>
      </c>
      <c r="G13" s="54">
        <v>9.07</v>
      </c>
      <c r="H13" s="172">
        <v>9.01</v>
      </c>
      <c r="I13" s="216">
        <v>9.2</v>
      </c>
      <c r="J13" s="43">
        <v>8.81</v>
      </c>
      <c r="K13" s="210" t="s">
        <v>25</v>
      </c>
      <c r="L13" s="211" t="s">
        <v>26</v>
      </c>
      <c r="M13" s="37" t="s">
        <v>26</v>
      </c>
      <c r="N13" s="47">
        <f t="shared" si="1"/>
        <v>8.9</v>
      </c>
      <c r="O13" s="212" t="s">
        <v>27</v>
      </c>
      <c r="P13" s="77" t="s">
        <v>28</v>
      </c>
      <c r="Q13" s="213"/>
    </row>
    <row r="14" ht="15.0" customHeight="1">
      <c r="A14" s="75">
        <v>7.0</v>
      </c>
      <c r="B14" s="214" t="s">
        <v>234</v>
      </c>
      <c r="C14" s="215"/>
      <c r="D14" s="159">
        <v>8.79</v>
      </c>
      <c r="E14" s="160">
        <v>9.07</v>
      </c>
      <c r="F14" s="39">
        <v>8.89</v>
      </c>
      <c r="G14" s="54">
        <v>8.96</v>
      </c>
      <c r="H14" s="172">
        <v>8.89</v>
      </c>
      <c r="I14" s="216">
        <v>9.37</v>
      </c>
      <c r="J14" s="43">
        <v>9.71</v>
      </c>
      <c r="K14" s="210" t="s">
        <v>25</v>
      </c>
      <c r="L14" s="211" t="s">
        <v>26</v>
      </c>
      <c r="M14" s="37" t="s">
        <v>26</v>
      </c>
      <c r="N14" s="47">
        <f t="shared" si="1"/>
        <v>9.09</v>
      </c>
      <c r="O14" s="212" t="s">
        <v>27</v>
      </c>
      <c r="P14" s="77" t="s">
        <v>28</v>
      </c>
      <c r="Q14" s="213"/>
    </row>
    <row r="15" ht="15.0" customHeight="1">
      <c r="A15" s="75">
        <v>8.0</v>
      </c>
      <c r="B15" s="214" t="s">
        <v>235</v>
      </c>
      <c r="C15" s="215"/>
      <c r="D15" s="159">
        <v>7.74</v>
      </c>
      <c r="E15" s="160">
        <v>7.35</v>
      </c>
      <c r="F15" s="39">
        <v>7.28</v>
      </c>
      <c r="G15" s="54">
        <v>7.6</v>
      </c>
      <c r="H15" s="172">
        <v>7.0</v>
      </c>
      <c r="I15" s="216">
        <v>8.34</v>
      </c>
      <c r="J15" s="43">
        <v>8.51</v>
      </c>
      <c r="K15" s="210" t="s">
        <v>52</v>
      </c>
      <c r="L15" s="211" t="s">
        <v>25</v>
      </c>
      <c r="M15" s="37" t="s">
        <v>25</v>
      </c>
      <c r="N15" s="47">
        <f t="shared" si="1"/>
        <v>7.68</v>
      </c>
      <c r="O15" s="212" t="s">
        <v>27</v>
      </c>
      <c r="P15" s="77" t="s">
        <v>28</v>
      </c>
      <c r="Q15" s="213"/>
    </row>
    <row r="16" ht="15.0" customHeight="1">
      <c r="A16" s="217">
        <v>9.0</v>
      </c>
      <c r="B16" s="214" t="s">
        <v>236</v>
      </c>
      <c r="C16" s="215"/>
      <c r="D16" s="159">
        <v>8.0</v>
      </c>
      <c r="E16" s="160">
        <v>7.49</v>
      </c>
      <c r="F16" s="39">
        <v>7.44</v>
      </c>
      <c r="G16" s="54">
        <v>7.91</v>
      </c>
      <c r="H16" s="172">
        <v>7.28</v>
      </c>
      <c r="I16" s="216">
        <v>8.29</v>
      </c>
      <c r="J16" s="43">
        <v>8.74</v>
      </c>
      <c r="K16" s="210" t="s">
        <v>52</v>
      </c>
      <c r="L16" s="211" t="s">
        <v>25</v>
      </c>
      <c r="M16" s="37" t="s">
        <v>52</v>
      </c>
      <c r="N16" s="47">
        <f t="shared" si="1"/>
        <v>7.87</v>
      </c>
      <c r="O16" s="212" t="s">
        <v>27</v>
      </c>
      <c r="P16" s="77" t="s">
        <v>28</v>
      </c>
      <c r="Q16" s="213"/>
    </row>
    <row r="17" ht="15.0" customHeight="1">
      <c r="A17" s="75">
        <v>10.0</v>
      </c>
      <c r="B17" s="214" t="s">
        <v>237</v>
      </c>
      <c r="C17" s="215"/>
      <c r="D17" s="159">
        <v>8.24</v>
      </c>
      <c r="E17" s="160">
        <v>7.19</v>
      </c>
      <c r="F17" s="39">
        <v>7.02</v>
      </c>
      <c r="G17" s="54">
        <v>7.23</v>
      </c>
      <c r="H17" s="172">
        <v>7.0</v>
      </c>
      <c r="I17" s="216">
        <v>7.78</v>
      </c>
      <c r="J17" s="43">
        <v>8.24</v>
      </c>
      <c r="K17" s="210" t="s">
        <v>33</v>
      </c>
      <c r="L17" s="211" t="s">
        <v>25</v>
      </c>
      <c r="M17" s="37" t="s">
        <v>52</v>
      </c>
      <c r="N17" s="47">
        <f t="shared" si="1"/>
        <v>7.52</v>
      </c>
      <c r="O17" s="212" t="s">
        <v>27</v>
      </c>
      <c r="P17" s="77" t="s">
        <v>28</v>
      </c>
      <c r="Q17" s="213"/>
    </row>
    <row r="18" ht="15.0" customHeight="1">
      <c r="A18" s="75">
        <v>11.0</v>
      </c>
      <c r="B18" s="214" t="s">
        <v>238</v>
      </c>
      <c r="C18" s="215"/>
      <c r="D18" s="159">
        <v>7.86</v>
      </c>
      <c r="E18" s="160">
        <v>7.01</v>
      </c>
      <c r="F18" s="39">
        <v>7.04</v>
      </c>
      <c r="G18" s="54">
        <v>7.12</v>
      </c>
      <c r="H18" s="172">
        <v>7.06</v>
      </c>
      <c r="I18" s="216">
        <v>7.92</v>
      </c>
      <c r="J18" s="43">
        <v>8.24</v>
      </c>
      <c r="K18" s="210" t="s">
        <v>25</v>
      </c>
      <c r="L18" s="211" t="s">
        <v>25</v>
      </c>
      <c r="M18" s="37" t="s">
        <v>25</v>
      </c>
      <c r="N18" s="47">
        <f t="shared" si="1"/>
        <v>7.46</v>
      </c>
      <c r="O18" s="212" t="s">
        <v>27</v>
      </c>
      <c r="P18" s="77" t="s">
        <v>28</v>
      </c>
      <c r="Q18" s="213"/>
    </row>
    <row r="19" ht="15.0" customHeight="1">
      <c r="A19" s="217">
        <v>12.0</v>
      </c>
      <c r="B19" s="214" t="s">
        <v>239</v>
      </c>
      <c r="C19" s="215"/>
      <c r="D19" s="159">
        <v>7.74</v>
      </c>
      <c r="E19" s="160">
        <v>7.0</v>
      </c>
      <c r="F19" s="39">
        <v>7.12</v>
      </c>
      <c r="G19" s="54">
        <v>7.05</v>
      </c>
      <c r="H19" s="172">
        <v>7.0</v>
      </c>
      <c r="I19" s="216">
        <v>7.42</v>
      </c>
      <c r="J19" s="43">
        <v>8.54</v>
      </c>
      <c r="K19" s="210" t="s">
        <v>33</v>
      </c>
      <c r="L19" s="211" t="s">
        <v>25</v>
      </c>
      <c r="M19" s="37" t="s">
        <v>52</v>
      </c>
      <c r="N19" s="47">
        <f t="shared" si="1"/>
        <v>7.41</v>
      </c>
      <c r="O19" s="212" t="s">
        <v>69</v>
      </c>
      <c r="P19" s="77" t="s">
        <v>28</v>
      </c>
      <c r="Q19" s="213"/>
    </row>
    <row r="20" ht="15.0" customHeight="1">
      <c r="A20" s="75">
        <v>13.0</v>
      </c>
      <c r="B20" s="214" t="s">
        <v>240</v>
      </c>
      <c r="C20" s="215"/>
      <c r="D20" s="159">
        <v>9.23</v>
      </c>
      <c r="E20" s="160">
        <v>8.7</v>
      </c>
      <c r="F20" s="39">
        <v>8.33</v>
      </c>
      <c r="G20" s="54">
        <v>9.0</v>
      </c>
      <c r="H20" s="172">
        <v>8.33</v>
      </c>
      <c r="I20" s="216">
        <v>9.81</v>
      </c>
      <c r="J20" s="43">
        <v>9.49</v>
      </c>
      <c r="K20" s="210" t="s">
        <v>25</v>
      </c>
      <c r="L20" s="211" t="s">
        <v>26</v>
      </c>
      <c r="M20" s="37" t="s">
        <v>26</v>
      </c>
      <c r="N20" s="47">
        <f t="shared" si="1"/>
        <v>8.98</v>
      </c>
      <c r="O20" s="212" t="s">
        <v>27</v>
      </c>
      <c r="P20" s="77" t="s">
        <v>28</v>
      </c>
      <c r="Q20" s="213"/>
    </row>
    <row r="21" ht="15.0" customHeight="1">
      <c r="A21" s="75">
        <v>14.0</v>
      </c>
      <c r="B21" s="214" t="s">
        <v>241</v>
      </c>
      <c r="C21" s="215"/>
      <c r="D21" s="159">
        <v>9.11</v>
      </c>
      <c r="E21" s="160">
        <v>8.34</v>
      </c>
      <c r="F21" s="39">
        <v>8.8</v>
      </c>
      <c r="G21" s="54">
        <v>9.14</v>
      </c>
      <c r="H21" s="172">
        <v>8.41</v>
      </c>
      <c r="I21" s="216">
        <v>9.5</v>
      </c>
      <c r="J21" s="43">
        <v>9.6</v>
      </c>
      <c r="K21" s="210" t="s">
        <v>25</v>
      </c>
      <c r="L21" s="211" t="s">
        <v>26</v>
      </c>
      <c r="M21" s="37" t="s">
        <v>26</v>
      </c>
      <c r="N21" s="47">
        <f t="shared" si="1"/>
        <v>8.98</v>
      </c>
      <c r="O21" s="212" t="s">
        <v>27</v>
      </c>
      <c r="P21" s="77" t="s">
        <v>28</v>
      </c>
      <c r="Q21" s="213"/>
    </row>
    <row r="22" ht="15.0" customHeight="1">
      <c r="A22" s="217">
        <v>15.0</v>
      </c>
      <c r="B22" s="214" t="s">
        <v>242</v>
      </c>
      <c r="C22" s="215"/>
      <c r="D22" s="159">
        <v>9.35</v>
      </c>
      <c r="E22" s="160">
        <v>9.35</v>
      </c>
      <c r="F22" s="39">
        <v>8.72</v>
      </c>
      <c r="G22" s="54">
        <v>9.16</v>
      </c>
      <c r="H22" s="172">
        <v>8.88</v>
      </c>
      <c r="I22" s="216">
        <v>9.88</v>
      </c>
      <c r="J22" s="43">
        <v>9.63</v>
      </c>
      <c r="K22" s="210" t="s">
        <v>25</v>
      </c>
      <c r="L22" s="211" t="s">
        <v>26</v>
      </c>
      <c r="M22" s="37" t="s">
        <v>26</v>
      </c>
      <c r="N22" s="47">
        <f t="shared" si="1"/>
        <v>9.28</v>
      </c>
      <c r="O22" s="212" t="s">
        <v>27</v>
      </c>
      <c r="P22" s="77" t="s">
        <v>28</v>
      </c>
      <c r="Q22" s="213"/>
    </row>
    <row r="23" ht="15.0" customHeight="1">
      <c r="A23" s="75">
        <v>16.0</v>
      </c>
      <c r="B23" s="214" t="s">
        <v>243</v>
      </c>
      <c r="C23" s="215"/>
      <c r="D23" s="159">
        <v>9.3</v>
      </c>
      <c r="E23" s="160">
        <v>9.41</v>
      </c>
      <c r="F23" s="39">
        <v>8.72</v>
      </c>
      <c r="G23" s="54">
        <v>9.1</v>
      </c>
      <c r="H23" s="172">
        <v>9.56</v>
      </c>
      <c r="I23" s="216">
        <v>9.85</v>
      </c>
      <c r="J23" s="43">
        <v>9.63</v>
      </c>
      <c r="K23" s="210" t="s">
        <v>25</v>
      </c>
      <c r="L23" s="211" t="s">
        <v>26</v>
      </c>
      <c r="M23" s="37" t="s">
        <v>26</v>
      </c>
      <c r="N23" s="47">
        <f t="shared" si="1"/>
        <v>9.36</v>
      </c>
      <c r="O23" s="212" t="s">
        <v>27</v>
      </c>
      <c r="P23" s="77" t="s">
        <v>28</v>
      </c>
      <c r="Q23" s="213"/>
    </row>
    <row r="24" ht="15.0" customHeight="1">
      <c r="A24" s="75">
        <v>17.0</v>
      </c>
      <c r="B24" s="214" t="s">
        <v>244</v>
      </c>
      <c r="C24" s="215"/>
      <c r="D24" s="159">
        <v>9.04</v>
      </c>
      <c r="E24" s="160">
        <v>9.42</v>
      </c>
      <c r="F24" s="39">
        <v>7.8</v>
      </c>
      <c r="G24" s="54">
        <v>8.87</v>
      </c>
      <c r="H24" s="172">
        <v>8.48</v>
      </c>
      <c r="I24" s="216">
        <v>9.27</v>
      </c>
      <c r="J24" s="43">
        <v>8.31</v>
      </c>
      <c r="K24" s="210" t="s">
        <v>25</v>
      </c>
      <c r="L24" s="211" t="s">
        <v>26</v>
      </c>
      <c r="M24" s="37" t="s">
        <v>26</v>
      </c>
      <c r="N24" s="47">
        <f t="shared" si="1"/>
        <v>8.74</v>
      </c>
      <c r="O24" s="212" t="s">
        <v>34</v>
      </c>
      <c r="P24" s="77" t="s">
        <v>28</v>
      </c>
      <c r="Q24" s="213"/>
    </row>
    <row r="25" ht="15.0" customHeight="1">
      <c r="A25" s="217">
        <v>18.0</v>
      </c>
      <c r="B25" s="214" t="s">
        <v>245</v>
      </c>
      <c r="C25" s="215"/>
      <c r="D25" s="159">
        <v>7.99</v>
      </c>
      <c r="E25" s="160">
        <v>7.07</v>
      </c>
      <c r="F25" s="39">
        <v>7.03</v>
      </c>
      <c r="G25" s="54">
        <v>7.2</v>
      </c>
      <c r="H25" s="172">
        <v>7.3</v>
      </c>
      <c r="I25" s="216">
        <v>8.05</v>
      </c>
      <c r="J25" s="43">
        <v>8.5</v>
      </c>
      <c r="K25" s="210" t="s">
        <v>52</v>
      </c>
      <c r="L25" s="211" t="s">
        <v>25</v>
      </c>
      <c r="M25" s="37" t="s">
        <v>25</v>
      </c>
      <c r="N25" s="47">
        <f t="shared" si="1"/>
        <v>7.59</v>
      </c>
      <c r="O25" s="212" t="s">
        <v>27</v>
      </c>
      <c r="P25" s="77" t="s">
        <v>28</v>
      </c>
      <c r="Q25" s="213"/>
    </row>
    <row r="26" ht="15.0" customHeight="1">
      <c r="A26" s="75">
        <v>19.0</v>
      </c>
      <c r="B26" s="214" t="s">
        <v>246</v>
      </c>
      <c r="C26" s="215"/>
      <c r="D26" s="159">
        <v>8.72</v>
      </c>
      <c r="E26" s="160">
        <v>8.84</v>
      </c>
      <c r="F26" s="39">
        <v>9.06</v>
      </c>
      <c r="G26" s="54">
        <v>8.4</v>
      </c>
      <c r="H26" s="172">
        <v>8.96</v>
      </c>
      <c r="I26" s="216">
        <v>9.71</v>
      </c>
      <c r="J26" s="43">
        <v>9.64</v>
      </c>
      <c r="K26" s="210" t="s">
        <v>25</v>
      </c>
      <c r="L26" s="211" t="s">
        <v>26</v>
      </c>
      <c r="M26" s="37" t="s">
        <v>26</v>
      </c>
      <c r="N26" s="47">
        <f t="shared" si="1"/>
        <v>9.04</v>
      </c>
      <c r="O26" s="212" t="s">
        <v>27</v>
      </c>
      <c r="P26" s="77" t="s">
        <v>28</v>
      </c>
      <c r="Q26" s="213"/>
    </row>
    <row r="27" ht="18.0" customHeight="1">
      <c r="A27" s="75">
        <v>20.0</v>
      </c>
      <c r="B27" s="214" t="s">
        <v>247</v>
      </c>
      <c r="C27" s="215"/>
      <c r="D27" s="159">
        <v>9.0</v>
      </c>
      <c r="E27" s="160">
        <v>9.06</v>
      </c>
      <c r="F27" s="39">
        <v>8.78</v>
      </c>
      <c r="G27" s="54">
        <v>8.88</v>
      </c>
      <c r="H27" s="172">
        <v>8.31</v>
      </c>
      <c r="I27" s="216">
        <v>9.77</v>
      </c>
      <c r="J27" s="43">
        <v>9.83</v>
      </c>
      <c r="K27" s="218" t="s">
        <v>25</v>
      </c>
      <c r="L27" s="211" t="s">
        <v>26</v>
      </c>
      <c r="M27" s="37" t="s">
        <v>26</v>
      </c>
      <c r="N27" s="47">
        <f t="shared" si="1"/>
        <v>9.09</v>
      </c>
      <c r="O27" s="212" t="s">
        <v>27</v>
      </c>
      <c r="P27" s="77" t="s">
        <v>28</v>
      </c>
      <c r="Q27" s="213"/>
    </row>
    <row r="28" ht="15.0" customHeight="1">
      <c r="A28" s="217">
        <v>21.0</v>
      </c>
      <c r="B28" s="214" t="s">
        <v>248</v>
      </c>
      <c r="C28" s="215"/>
      <c r="D28" s="159">
        <v>9.36</v>
      </c>
      <c r="E28" s="160">
        <v>9.6</v>
      </c>
      <c r="F28" s="39">
        <v>9.23</v>
      </c>
      <c r="G28" s="54">
        <v>9.8</v>
      </c>
      <c r="H28" s="172">
        <v>9.5</v>
      </c>
      <c r="I28" s="216">
        <v>9.66</v>
      </c>
      <c r="J28" s="43">
        <v>9.91</v>
      </c>
      <c r="K28" s="218" t="s">
        <v>26</v>
      </c>
      <c r="L28" s="211" t="s">
        <v>26</v>
      </c>
      <c r="M28" s="37" t="s">
        <v>26</v>
      </c>
      <c r="N28" s="47">
        <f t="shared" si="1"/>
        <v>9.58</v>
      </c>
      <c r="O28" s="212" t="s">
        <v>27</v>
      </c>
      <c r="P28" s="77" t="s">
        <v>28</v>
      </c>
      <c r="Q28" s="213"/>
    </row>
    <row r="29" ht="18.0" customHeight="1">
      <c r="A29" s="75">
        <v>22.0</v>
      </c>
      <c r="B29" s="214" t="s">
        <v>249</v>
      </c>
      <c r="C29" s="215"/>
      <c r="D29" s="159">
        <v>9.12</v>
      </c>
      <c r="E29" s="160">
        <v>9.19</v>
      </c>
      <c r="F29" s="39">
        <v>8.97</v>
      </c>
      <c r="G29" s="54">
        <v>9.46</v>
      </c>
      <c r="H29" s="172">
        <v>9.16</v>
      </c>
      <c r="I29" s="216">
        <v>9.23</v>
      </c>
      <c r="J29" s="43">
        <v>9.69</v>
      </c>
      <c r="K29" s="218" t="s">
        <v>25</v>
      </c>
      <c r="L29" s="211" t="s">
        <v>26</v>
      </c>
      <c r="M29" s="37" t="s">
        <v>26</v>
      </c>
      <c r="N29" s="47">
        <f t="shared" si="1"/>
        <v>9.26</v>
      </c>
      <c r="O29" s="212" t="s">
        <v>27</v>
      </c>
      <c r="P29" s="77" t="s">
        <v>28</v>
      </c>
      <c r="Q29" s="213"/>
    </row>
    <row r="30" ht="15.0" customHeight="1">
      <c r="A30" s="75">
        <v>23.0</v>
      </c>
      <c r="B30" s="214" t="s">
        <v>250</v>
      </c>
      <c r="C30" s="215"/>
      <c r="D30" s="159">
        <v>8.23</v>
      </c>
      <c r="E30" s="160">
        <v>7.5</v>
      </c>
      <c r="F30" s="39">
        <v>7.78</v>
      </c>
      <c r="G30" s="54">
        <v>8.2</v>
      </c>
      <c r="H30" s="172">
        <v>7.54</v>
      </c>
      <c r="I30" s="216">
        <v>9.19</v>
      </c>
      <c r="J30" s="43">
        <v>8.18</v>
      </c>
      <c r="K30" s="218" t="s">
        <v>52</v>
      </c>
      <c r="L30" s="211" t="s">
        <v>25</v>
      </c>
      <c r="M30" s="37" t="s">
        <v>26</v>
      </c>
      <c r="N30" s="47">
        <f t="shared" si="1"/>
        <v>8.08</v>
      </c>
      <c r="O30" s="212" t="s">
        <v>27</v>
      </c>
      <c r="P30" s="77" t="s">
        <v>28</v>
      </c>
      <c r="Q30" s="213"/>
    </row>
    <row r="31" ht="15.0" customHeight="1">
      <c r="A31" s="217">
        <v>24.0</v>
      </c>
      <c r="B31" s="214" t="s">
        <v>251</v>
      </c>
      <c r="C31" s="215"/>
      <c r="D31" s="159">
        <v>8.69</v>
      </c>
      <c r="E31" s="160">
        <v>7.68</v>
      </c>
      <c r="F31" s="39">
        <v>7.78</v>
      </c>
      <c r="G31" s="54">
        <v>7.78</v>
      </c>
      <c r="H31" s="175">
        <v>8.12</v>
      </c>
      <c r="I31" s="216">
        <v>9.33</v>
      </c>
      <c r="J31" s="43">
        <v>9.24</v>
      </c>
      <c r="K31" s="218" t="s">
        <v>52</v>
      </c>
      <c r="L31" s="211" t="s">
        <v>25</v>
      </c>
      <c r="M31" s="37" t="s">
        <v>26</v>
      </c>
      <c r="N31" s="47">
        <f t="shared" si="1"/>
        <v>8.37</v>
      </c>
      <c r="O31" s="212" t="s">
        <v>27</v>
      </c>
      <c r="P31" s="77" t="s">
        <v>28</v>
      </c>
      <c r="Q31" s="213"/>
    </row>
    <row r="32" ht="15.0" customHeight="1">
      <c r="A32" s="75">
        <v>25.0</v>
      </c>
      <c r="B32" s="214" t="s">
        <v>252</v>
      </c>
      <c r="C32" s="215"/>
      <c r="D32" s="159">
        <v>9.14</v>
      </c>
      <c r="E32" s="160">
        <v>9.48</v>
      </c>
      <c r="F32" s="39">
        <v>9.09</v>
      </c>
      <c r="G32" s="54">
        <v>9.29</v>
      </c>
      <c r="H32" s="172">
        <v>8.86</v>
      </c>
      <c r="I32" s="216">
        <v>9.85</v>
      </c>
      <c r="J32" s="43">
        <v>9.94</v>
      </c>
      <c r="K32" s="218" t="s">
        <v>25</v>
      </c>
      <c r="L32" s="211" t="s">
        <v>26</v>
      </c>
      <c r="M32" s="37" t="s">
        <v>26</v>
      </c>
      <c r="N32" s="47">
        <f t="shared" si="1"/>
        <v>9.37</v>
      </c>
      <c r="O32" s="212" t="s">
        <v>27</v>
      </c>
      <c r="P32" s="77" t="s">
        <v>28</v>
      </c>
      <c r="Q32" s="213"/>
    </row>
    <row r="33" ht="15.0" customHeight="1">
      <c r="A33" s="75">
        <v>26.0</v>
      </c>
      <c r="B33" s="214" t="s">
        <v>253</v>
      </c>
      <c r="C33" s="215"/>
      <c r="D33" s="159">
        <v>9.59</v>
      </c>
      <c r="E33" s="160">
        <v>9.58</v>
      </c>
      <c r="F33" s="39">
        <v>9.49</v>
      </c>
      <c r="G33" s="54">
        <v>9.4</v>
      </c>
      <c r="H33" s="175">
        <v>9.9</v>
      </c>
      <c r="I33" s="216">
        <v>9.72</v>
      </c>
      <c r="J33" s="43">
        <v>9.74</v>
      </c>
      <c r="K33" s="218" t="s">
        <v>26</v>
      </c>
      <c r="L33" s="211" t="s">
        <v>26</v>
      </c>
      <c r="M33" s="37" t="s">
        <v>26</v>
      </c>
      <c r="N33" s="47">
        <f t="shared" si="1"/>
        <v>9.63</v>
      </c>
      <c r="O33" s="212" t="s">
        <v>27</v>
      </c>
      <c r="P33" s="77" t="s">
        <v>28</v>
      </c>
      <c r="Q33" s="213"/>
    </row>
    <row r="34" ht="15.0" customHeight="1">
      <c r="A34" s="217">
        <v>27.0</v>
      </c>
      <c r="B34" s="214" t="s">
        <v>254</v>
      </c>
      <c r="C34" s="215"/>
      <c r="D34" s="159">
        <v>8.79</v>
      </c>
      <c r="E34" s="160">
        <v>8.93</v>
      </c>
      <c r="F34" s="39">
        <v>8.42</v>
      </c>
      <c r="G34" s="54">
        <v>8.52</v>
      </c>
      <c r="H34" s="175">
        <v>8.9</v>
      </c>
      <c r="I34" s="216">
        <v>9.4</v>
      </c>
      <c r="J34" s="43">
        <v>9.8</v>
      </c>
      <c r="K34" s="218" t="s">
        <v>25</v>
      </c>
      <c r="L34" s="211" t="s">
        <v>26</v>
      </c>
      <c r="M34" s="37" t="s">
        <v>26</v>
      </c>
      <c r="N34" s="47">
        <f t="shared" si="1"/>
        <v>8.96</v>
      </c>
      <c r="O34" s="212" t="s">
        <v>27</v>
      </c>
      <c r="P34" s="77" t="s">
        <v>28</v>
      </c>
      <c r="Q34" s="213"/>
    </row>
    <row r="35" ht="15.0" customHeight="1">
      <c r="A35" s="75">
        <v>28.0</v>
      </c>
      <c r="B35" s="214" t="s">
        <v>255</v>
      </c>
      <c r="C35" s="215"/>
      <c r="D35" s="159">
        <v>9.77</v>
      </c>
      <c r="E35" s="160">
        <v>9.37</v>
      </c>
      <c r="F35" s="39">
        <v>9.07</v>
      </c>
      <c r="G35" s="54">
        <v>9.18</v>
      </c>
      <c r="H35" s="172">
        <v>9.54</v>
      </c>
      <c r="I35" s="216">
        <v>9.84</v>
      </c>
      <c r="J35" s="43">
        <v>9.93</v>
      </c>
      <c r="K35" s="218" t="s">
        <v>25</v>
      </c>
      <c r="L35" s="211" t="s">
        <v>26</v>
      </c>
      <c r="M35" s="37" t="s">
        <v>26</v>
      </c>
      <c r="N35" s="47">
        <f t="shared" si="1"/>
        <v>9.52</v>
      </c>
      <c r="O35" s="212" t="s">
        <v>27</v>
      </c>
      <c r="P35" s="77" t="s">
        <v>28</v>
      </c>
      <c r="Q35" s="213"/>
    </row>
    <row r="36" ht="15.0" customHeight="1">
      <c r="A36" s="75">
        <v>29.0</v>
      </c>
      <c r="B36" s="214" t="s">
        <v>256</v>
      </c>
      <c r="C36" s="215"/>
      <c r="D36" s="159">
        <v>8.23</v>
      </c>
      <c r="E36" s="160">
        <v>7.53</v>
      </c>
      <c r="F36" s="39">
        <v>7.38</v>
      </c>
      <c r="G36" s="54">
        <v>7.69</v>
      </c>
      <c r="H36" s="172">
        <v>7.43</v>
      </c>
      <c r="I36" s="216">
        <v>8.95</v>
      </c>
      <c r="J36" s="43">
        <v>8.44</v>
      </c>
      <c r="K36" s="218" t="s">
        <v>25</v>
      </c>
      <c r="L36" s="211" t="s">
        <v>25</v>
      </c>
      <c r="M36" s="37" t="s">
        <v>25</v>
      </c>
      <c r="N36" s="47">
        <f t="shared" si="1"/>
        <v>7.95</v>
      </c>
      <c r="O36" s="212" t="s">
        <v>34</v>
      </c>
      <c r="P36" s="77" t="s">
        <v>28</v>
      </c>
      <c r="Q36" s="213"/>
    </row>
    <row r="37" ht="15.0" customHeight="1">
      <c r="A37" s="217">
        <v>30.0</v>
      </c>
      <c r="B37" s="214" t="s">
        <v>257</v>
      </c>
      <c r="C37" s="215"/>
      <c r="D37" s="159">
        <v>7.56</v>
      </c>
      <c r="E37" s="160">
        <v>7.0</v>
      </c>
      <c r="F37" s="39">
        <v>7.0</v>
      </c>
      <c r="G37" s="54">
        <v>7.0</v>
      </c>
      <c r="H37" s="172">
        <v>7.0</v>
      </c>
      <c r="I37" s="216">
        <v>8.17</v>
      </c>
      <c r="J37" s="43">
        <v>8.66</v>
      </c>
      <c r="K37" s="218" t="s">
        <v>52</v>
      </c>
      <c r="L37" s="211" t="s">
        <v>25</v>
      </c>
      <c r="M37" s="37" t="s">
        <v>52</v>
      </c>
      <c r="N37" s="47">
        <f t="shared" si="1"/>
        <v>7.48</v>
      </c>
      <c r="O37" s="212" t="s">
        <v>27</v>
      </c>
      <c r="P37" s="77" t="s">
        <v>28</v>
      </c>
      <c r="Q37" s="213"/>
    </row>
    <row r="38" ht="15.0" customHeight="1">
      <c r="A38" s="75">
        <v>31.0</v>
      </c>
      <c r="B38" s="214" t="s">
        <v>258</v>
      </c>
      <c r="C38" s="215"/>
      <c r="D38" s="159">
        <v>8.94</v>
      </c>
      <c r="E38" s="160">
        <v>7.98</v>
      </c>
      <c r="F38" s="39">
        <v>8.18</v>
      </c>
      <c r="G38" s="54">
        <v>8.43</v>
      </c>
      <c r="H38" s="172">
        <v>8.63</v>
      </c>
      <c r="I38" s="216">
        <v>9.22</v>
      </c>
      <c r="J38" s="43">
        <v>9.03</v>
      </c>
      <c r="K38" s="218" t="s">
        <v>52</v>
      </c>
      <c r="L38" s="211" t="s">
        <v>26</v>
      </c>
      <c r="M38" s="37" t="s">
        <v>25</v>
      </c>
      <c r="N38" s="47">
        <f t="shared" si="1"/>
        <v>8.63</v>
      </c>
      <c r="O38" s="212" t="s">
        <v>27</v>
      </c>
      <c r="P38" s="77" t="s">
        <v>28</v>
      </c>
      <c r="Q38" s="213"/>
    </row>
    <row r="39" ht="16.5" customHeight="1">
      <c r="A39" s="75">
        <v>32.0</v>
      </c>
      <c r="B39" s="214" t="s">
        <v>259</v>
      </c>
      <c r="C39" s="215"/>
      <c r="D39" s="159">
        <v>9.16</v>
      </c>
      <c r="E39" s="160">
        <v>8.73</v>
      </c>
      <c r="F39" s="39">
        <v>8.9</v>
      </c>
      <c r="G39" s="54">
        <v>9.56</v>
      </c>
      <c r="H39" s="172">
        <v>9.21</v>
      </c>
      <c r="I39" s="216">
        <v>9.88</v>
      </c>
      <c r="J39" s="43">
        <v>9.56</v>
      </c>
      <c r="K39" s="218" t="s">
        <v>25</v>
      </c>
      <c r="L39" s="211" t="s">
        <v>26</v>
      </c>
      <c r="M39" s="37" t="s">
        <v>26</v>
      </c>
      <c r="N39" s="47">
        <f t="shared" si="1"/>
        <v>9.28</v>
      </c>
      <c r="O39" s="212" t="s">
        <v>27</v>
      </c>
      <c r="P39" s="77" t="s">
        <v>28</v>
      </c>
      <c r="Q39" s="213"/>
    </row>
    <row r="40" ht="15.0" customHeight="1">
      <c r="A40" s="217">
        <v>33.0</v>
      </c>
      <c r="B40" s="214" t="s">
        <v>260</v>
      </c>
      <c r="C40" s="215"/>
      <c r="D40" s="159">
        <v>8.21</v>
      </c>
      <c r="E40" s="160">
        <v>8.1</v>
      </c>
      <c r="F40" s="39">
        <v>7.31</v>
      </c>
      <c r="G40" s="54">
        <v>7.92</v>
      </c>
      <c r="H40" s="172">
        <v>7.32</v>
      </c>
      <c r="I40" s="216">
        <v>8.3</v>
      </c>
      <c r="J40" s="43">
        <v>7.92</v>
      </c>
      <c r="K40" s="218" t="s">
        <v>52</v>
      </c>
      <c r="L40" s="211" t="s">
        <v>25</v>
      </c>
      <c r="M40" s="37" t="s">
        <v>25</v>
      </c>
      <c r="N40" s="47">
        <f t="shared" si="1"/>
        <v>7.86</v>
      </c>
      <c r="O40" s="212" t="s">
        <v>69</v>
      </c>
      <c r="P40" s="77" t="s">
        <v>28</v>
      </c>
      <c r="Q40" s="213"/>
    </row>
    <row r="41" ht="14.25" customHeight="1">
      <c r="A41" s="75">
        <v>34.0</v>
      </c>
      <c r="B41" s="214" t="s">
        <v>261</v>
      </c>
      <c r="C41" s="215"/>
      <c r="D41" s="159">
        <v>8.54</v>
      </c>
      <c r="E41" s="160">
        <v>7.89</v>
      </c>
      <c r="F41" s="39">
        <v>7.77</v>
      </c>
      <c r="G41" s="54">
        <v>8.17</v>
      </c>
      <c r="H41" s="172">
        <v>7.57</v>
      </c>
      <c r="I41" s="216">
        <v>8.97</v>
      </c>
      <c r="J41" s="43">
        <v>8.4</v>
      </c>
      <c r="K41" s="218" t="s">
        <v>25</v>
      </c>
      <c r="L41" s="211" t="s">
        <v>25</v>
      </c>
      <c r="M41" s="37" t="s">
        <v>25</v>
      </c>
      <c r="N41" s="47">
        <f t="shared" si="1"/>
        <v>8.18</v>
      </c>
      <c r="O41" s="212" t="s">
        <v>27</v>
      </c>
      <c r="P41" s="77" t="s">
        <v>28</v>
      </c>
      <c r="Q41" s="213"/>
    </row>
    <row r="42" ht="15.0" customHeight="1">
      <c r="A42" s="75">
        <v>35.0</v>
      </c>
      <c r="B42" s="214" t="s">
        <v>262</v>
      </c>
      <c r="C42" s="215"/>
      <c r="D42" s="159">
        <v>8.33</v>
      </c>
      <c r="E42" s="160">
        <v>7.54</v>
      </c>
      <c r="F42" s="39">
        <v>7.05</v>
      </c>
      <c r="G42" s="54">
        <v>7.2</v>
      </c>
      <c r="H42" s="172">
        <v>7.21</v>
      </c>
      <c r="I42" s="216">
        <v>8.9</v>
      </c>
      <c r="J42" s="43">
        <v>8.63</v>
      </c>
      <c r="K42" s="218" t="s">
        <v>25</v>
      </c>
      <c r="L42" s="211" t="s">
        <v>25</v>
      </c>
      <c r="M42" s="37" t="s">
        <v>25</v>
      </c>
      <c r="N42" s="47">
        <f t="shared" si="1"/>
        <v>7.83</v>
      </c>
      <c r="O42" s="212" t="s">
        <v>27</v>
      </c>
      <c r="P42" s="77" t="s">
        <v>28</v>
      </c>
      <c r="Q42" s="213"/>
    </row>
    <row r="43" ht="15.0" customHeight="1">
      <c r="A43" s="217">
        <v>36.0</v>
      </c>
      <c r="B43" s="214" t="s">
        <v>263</v>
      </c>
      <c r="C43" s="215"/>
      <c r="D43" s="159">
        <v>8.59</v>
      </c>
      <c r="E43" s="160">
        <v>8.16</v>
      </c>
      <c r="F43" s="39">
        <v>7.6</v>
      </c>
      <c r="G43" s="54">
        <v>8.37</v>
      </c>
      <c r="H43" s="172">
        <v>8.0</v>
      </c>
      <c r="I43" s="216">
        <v>9.09</v>
      </c>
      <c r="J43" s="43">
        <v>8.87</v>
      </c>
      <c r="K43" s="218" t="s">
        <v>52</v>
      </c>
      <c r="L43" s="211" t="s">
        <v>25</v>
      </c>
      <c r="M43" s="37" t="s">
        <v>25</v>
      </c>
      <c r="N43" s="47">
        <f t="shared" si="1"/>
        <v>8.38</v>
      </c>
      <c r="O43" s="212" t="s">
        <v>27</v>
      </c>
      <c r="P43" s="77" t="s">
        <v>28</v>
      </c>
      <c r="Q43" s="213"/>
    </row>
    <row r="44" ht="15.0" customHeight="1">
      <c r="A44" s="75">
        <v>37.0</v>
      </c>
      <c r="B44" s="214" t="s">
        <v>264</v>
      </c>
      <c r="C44" s="215"/>
      <c r="D44" s="159">
        <v>8.11</v>
      </c>
      <c r="E44" s="160">
        <v>7.31</v>
      </c>
      <c r="F44" s="39">
        <v>7.79</v>
      </c>
      <c r="G44" s="54">
        <v>8.36</v>
      </c>
      <c r="H44" s="172">
        <v>7.41</v>
      </c>
      <c r="I44" s="216">
        <v>8.93</v>
      </c>
      <c r="J44" s="43">
        <v>8.86</v>
      </c>
      <c r="K44" s="218" t="s">
        <v>52</v>
      </c>
      <c r="L44" s="211" t="s">
        <v>26</v>
      </c>
      <c r="M44" s="37" t="s">
        <v>25</v>
      </c>
      <c r="N44" s="47">
        <f t="shared" si="1"/>
        <v>8.11</v>
      </c>
      <c r="O44" s="212" t="s">
        <v>27</v>
      </c>
      <c r="P44" s="77" t="s">
        <v>28</v>
      </c>
      <c r="Q44" s="213"/>
    </row>
    <row r="45" ht="15.0" customHeight="1">
      <c r="A45" s="75">
        <v>38.0</v>
      </c>
      <c r="B45" s="214" t="s">
        <v>265</v>
      </c>
      <c r="C45" s="215"/>
      <c r="D45" s="159">
        <v>8.46</v>
      </c>
      <c r="E45" s="160">
        <v>7.85</v>
      </c>
      <c r="F45" s="39">
        <v>7.44</v>
      </c>
      <c r="G45" s="54">
        <v>8.28</v>
      </c>
      <c r="H45" s="172">
        <v>7.36</v>
      </c>
      <c r="I45" s="216">
        <v>9.03</v>
      </c>
      <c r="J45" s="43">
        <v>8.93</v>
      </c>
      <c r="K45" s="218" t="s">
        <v>33</v>
      </c>
      <c r="L45" s="211" t="s">
        <v>25</v>
      </c>
      <c r="M45" s="37" t="s">
        <v>25</v>
      </c>
      <c r="N45" s="47">
        <f t="shared" si="1"/>
        <v>8.19</v>
      </c>
      <c r="O45" s="212" t="s">
        <v>34</v>
      </c>
      <c r="P45" s="77" t="s">
        <v>28</v>
      </c>
      <c r="Q45" s="12"/>
    </row>
    <row r="46" ht="15.0" customHeight="1">
      <c r="A46" s="217">
        <v>39.0</v>
      </c>
      <c r="B46" s="214" t="s">
        <v>266</v>
      </c>
      <c r="C46" s="215"/>
      <c r="D46" s="135">
        <v>8.46</v>
      </c>
      <c r="E46" s="160">
        <v>7.44</v>
      </c>
      <c r="F46" s="39">
        <v>7.43</v>
      </c>
      <c r="G46" s="54">
        <v>7.77</v>
      </c>
      <c r="H46" s="172">
        <v>8.07</v>
      </c>
      <c r="I46" s="216">
        <v>8.59</v>
      </c>
      <c r="J46" s="43">
        <v>8.51</v>
      </c>
      <c r="K46" s="218" t="s">
        <v>25</v>
      </c>
      <c r="L46" s="211" t="s">
        <v>26</v>
      </c>
      <c r="M46" s="37" t="s">
        <v>25</v>
      </c>
      <c r="N46" s="47">
        <f t="shared" si="1"/>
        <v>8.03</v>
      </c>
      <c r="O46" s="212" t="s">
        <v>27</v>
      </c>
      <c r="P46" s="219" t="s">
        <v>28</v>
      </c>
      <c r="Q46" s="12"/>
    </row>
    <row r="47" ht="14.25" customHeight="1">
      <c r="A47" s="75">
        <v>40.0</v>
      </c>
      <c r="B47" s="214" t="s">
        <v>267</v>
      </c>
      <c r="C47" s="215"/>
      <c r="D47" s="135">
        <v>8.73</v>
      </c>
      <c r="E47" s="160">
        <v>8.51</v>
      </c>
      <c r="F47" s="39">
        <v>8.78</v>
      </c>
      <c r="G47" s="54">
        <v>9.04</v>
      </c>
      <c r="H47" s="172">
        <v>8.36</v>
      </c>
      <c r="I47" s="216">
        <v>9.44</v>
      </c>
      <c r="J47" s="43">
        <v>9.34</v>
      </c>
      <c r="K47" s="218" t="s">
        <v>25</v>
      </c>
      <c r="L47" s="211" t="s">
        <v>26</v>
      </c>
      <c r="M47" s="37" t="s">
        <v>26</v>
      </c>
      <c r="N47" s="47">
        <f t="shared" si="1"/>
        <v>8.88</v>
      </c>
      <c r="O47" s="212" t="s">
        <v>27</v>
      </c>
      <c r="P47" s="219" t="s">
        <v>28</v>
      </c>
      <c r="Q47" s="12"/>
    </row>
    <row r="48" ht="14.25" customHeight="1">
      <c r="B48" s="99" t="s">
        <v>78</v>
      </c>
      <c r="C48" s="17"/>
      <c r="D48" s="79">
        <f t="shared" ref="D48:J48" si="2">AVERAGE(D10:D47)</f>
        <v>8.62</v>
      </c>
      <c r="E48" s="80">
        <f t="shared" si="2"/>
        <v>8.220526316</v>
      </c>
      <c r="F48" s="81">
        <f t="shared" si="2"/>
        <v>8.04</v>
      </c>
      <c r="G48" s="82">
        <f t="shared" si="2"/>
        <v>8.340263158</v>
      </c>
      <c r="H48" s="83">
        <f t="shared" si="2"/>
        <v>8.145</v>
      </c>
      <c r="I48" s="180">
        <f t="shared" si="2"/>
        <v>9.02</v>
      </c>
      <c r="J48" s="85">
        <f t="shared" si="2"/>
        <v>9.023421053</v>
      </c>
      <c r="K48" s="181"/>
      <c r="L48" s="220"/>
      <c r="M48" s="220"/>
      <c r="N48" s="47">
        <f>AVERAGE(N10:N47)</f>
        <v>8.482368421</v>
      </c>
      <c r="O48" s="221"/>
      <c r="P48" s="153"/>
    </row>
    <row r="49" ht="14.25" customHeight="1"/>
    <row r="50" ht="14.25" customHeight="1">
      <c r="B50" s="100" t="s">
        <v>79</v>
      </c>
      <c r="C50" s="17"/>
      <c r="D50" s="222" t="s">
        <v>80</v>
      </c>
      <c r="E50" s="102"/>
      <c r="F50" s="102"/>
      <c r="G50" s="103"/>
      <c r="H50" s="223"/>
      <c r="I50" s="222" t="s">
        <v>222</v>
      </c>
      <c r="J50" s="102"/>
      <c r="K50" s="102"/>
      <c r="L50" s="103"/>
    </row>
    <row r="51" ht="14.25" customHeight="1">
      <c r="B51" s="100" t="s">
        <v>82</v>
      </c>
      <c r="C51" s="17"/>
      <c r="D51" s="222" t="s">
        <v>83</v>
      </c>
      <c r="E51" s="102"/>
      <c r="F51" s="102"/>
      <c r="G51" s="103"/>
      <c r="H51" s="223"/>
      <c r="I51" s="222" t="s">
        <v>219</v>
      </c>
      <c r="J51" s="102"/>
      <c r="K51" s="102"/>
      <c r="L51" s="103"/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6">
    <mergeCell ref="A1:P1"/>
    <mergeCell ref="B2:P2"/>
    <mergeCell ref="C3:E3"/>
    <mergeCell ref="I3:J3"/>
    <mergeCell ref="K3:N3"/>
    <mergeCell ref="I4:J4"/>
    <mergeCell ref="B6:P6"/>
    <mergeCell ref="I50:L50"/>
    <mergeCell ref="I51:L51"/>
    <mergeCell ref="B7:C7"/>
    <mergeCell ref="B8:C8"/>
    <mergeCell ref="B48:C48"/>
    <mergeCell ref="B50:C50"/>
    <mergeCell ref="D50:G50"/>
    <mergeCell ref="B51:C51"/>
    <mergeCell ref="D51:G51"/>
  </mergeCells>
  <conditionalFormatting sqref="D8:J48 K48 N48">
    <cfRule type="cellIs" dxfId="0" priority="1" operator="lessThan">
      <formula>7</formula>
    </cfRule>
  </conditionalFormatting>
  <conditionalFormatting sqref="D8:J48 K48 N48">
    <cfRule type="cellIs" dxfId="0" priority="2" operator="lessThan">
      <formula>6.29</formula>
    </cfRule>
  </conditionalFormatting>
  <conditionalFormatting sqref="N8:N47">
    <cfRule type="cellIs" dxfId="1" priority="3" operator="lessThan">
      <formula>7</formula>
    </cfRule>
  </conditionalFormatting>
  <dataValidations>
    <dataValidation type="list" allowBlank="1" showErrorMessage="1" sqref="K3">
      <formula1>"MATUTINA,VESPERTINA"</formula1>
    </dataValidation>
    <dataValidation type="list" allowBlank="1" showErrorMessage="1" sqref="C4">
      <formula1>"QUINTO A,QUINTO B,SEXTO A,SEXTO B,SÉPTIMO A,SÉPTIMO B,OCTAVO A,OCTAVO B,NOVENO A,NOVENO B,DÉCIMO A,DÉCIMO B"</formula1>
    </dataValidation>
  </dataValidations>
  <printOptions/>
  <pageMargins bottom="0.75" footer="0.0" header="0.0" left="0.7" right="0.7" top="0.75"/>
  <pageSetup fitToWidth="0"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43"/>
    <col customWidth="1" min="3" max="3" width="13.71"/>
    <col customWidth="1" min="4" max="13" width="6.29"/>
    <col customWidth="1" min="14" max="14" width="8.14"/>
    <col customWidth="1" min="15" max="15" width="7.57"/>
    <col customWidth="1" min="16" max="16" width="13.86"/>
    <col customWidth="1" min="17" max="17" width="20.57"/>
    <col customWidth="1" min="18" max="18" width="8.0"/>
  </cols>
  <sheetData>
    <row r="1" ht="72.75" customHeight="1">
      <c r="A1" s="1" t="s">
        <v>268</v>
      </c>
    </row>
    <row r="2" ht="15.75" customHeight="1">
      <c r="A2" s="224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7"/>
    </row>
    <row r="3" ht="14.25" customHeight="1">
      <c r="B3" s="4" t="s">
        <v>269</v>
      </c>
      <c r="C3" s="5"/>
      <c r="F3" s="6"/>
      <c r="G3" s="6"/>
      <c r="H3" s="6"/>
      <c r="I3" s="7" t="s">
        <v>3</v>
      </c>
      <c r="K3" s="8" t="s">
        <v>4</v>
      </c>
    </row>
    <row r="4" ht="14.25" customHeight="1">
      <c r="B4" s="9" t="s">
        <v>5</v>
      </c>
      <c r="C4" s="10" t="s">
        <v>270</v>
      </c>
      <c r="E4" s="6"/>
      <c r="F4" s="6"/>
      <c r="G4" s="6"/>
      <c r="H4" s="6"/>
      <c r="I4" s="7"/>
      <c r="K4" s="12"/>
      <c r="M4" s="6"/>
    </row>
    <row r="5" ht="15.75" customHeight="1">
      <c r="B5" s="15" t="s">
        <v>7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7"/>
    </row>
    <row r="6" ht="157.5" customHeight="1">
      <c r="A6" s="193" t="s">
        <v>8</v>
      </c>
      <c r="B6" s="194" t="s">
        <v>9</v>
      </c>
      <c r="C6" s="36"/>
      <c r="D6" s="21" t="s">
        <v>10</v>
      </c>
      <c r="E6" s="22" t="s">
        <v>11</v>
      </c>
      <c r="F6" s="23" t="s">
        <v>12</v>
      </c>
      <c r="G6" s="24" t="s">
        <v>13</v>
      </c>
      <c r="H6" s="25" t="s">
        <v>14</v>
      </c>
      <c r="I6" s="26" t="s">
        <v>15</v>
      </c>
      <c r="J6" s="27" t="s">
        <v>16</v>
      </c>
      <c r="K6" s="28" t="s">
        <v>17</v>
      </c>
      <c r="L6" s="29" t="s">
        <v>18</v>
      </c>
      <c r="M6" s="30" t="s">
        <v>19</v>
      </c>
      <c r="N6" s="31" t="s">
        <v>20</v>
      </c>
      <c r="O6" s="32" t="s">
        <v>21</v>
      </c>
      <c r="P6" s="33" t="s">
        <v>22</v>
      </c>
    </row>
    <row r="7" ht="14.25" customHeight="1">
      <c r="A7" s="75">
        <v>1.0</v>
      </c>
      <c r="B7" s="225" t="s">
        <v>271</v>
      </c>
      <c r="C7" s="225"/>
      <c r="D7" s="135">
        <v>9.04</v>
      </c>
      <c r="E7" s="160">
        <v>8.4</v>
      </c>
      <c r="F7" s="126">
        <v>7.97</v>
      </c>
      <c r="G7" s="40">
        <v>9.24</v>
      </c>
      <c r="H7" s="41">
        <v>7.98</v>
      </c>
      <c r="I7" s="209">
        <v>9.27</v>
      </c>
      <c r="J7" s="43">
        <v>8.69</v>
      </c>
      <c r="K7" s="163" t="s">
        <v>26</v>
      </c>
      <c r="L7" s="45" t="s">
        <v>26</v>
      </c>
      <c r="M7" s="226" t="s">
        <v>25</v>
      </c>
      <c r="N7" s="47">
        <f t="shared" ref="N7:N44" si="1">TRUNC(AVERAGE(D7:J7),2)</f>
        <v>8.65</v>
      </c>
      <c r="O7" s="165" t="s">
        <v>27</v>
      </c>
      <c r="P7" s="227" t="s">
        <v>28</v>
      </c>
      <c r="Q7" s="213"/>
    </row>
    <row r="8" ht="15.0" customHeight="1">
      <c r="A8" s="75">
        <v>2.0</v>
      </c>
      <c r="B8" s="225" t="s">
        <v>272</v>
      </c>
      <c r="C8" s="225"/>
      <c r="D8" s="135">
        <v>9.62</v>
      </c>
      <c r="E8" s="160">
        <v>9.45</v>
      </c>
      <c r="F8" s="39">
        <v>9.16</v>
      </c>
      <c r="G8" s="54">
        <v>9.85</v>
      </c>
      <c r="H8" s="172">
        <v>9.77</v>
      </c>
      <c r="I8" s="216">
        <v>9.84</v>
      </c>
      <c r="J8" s="43">
        <v>9.85</v>
      </c>
      <c r="K8" s="163" t="s">
        <v>25</v>
      </c>
      <c r="L8" s="45" t="s">
        <v>26</v>
      </c>
      <c r="M8" s="228" t="s">
        <v>26</v>
      </c>
      <c r="N8" s="47">
        <f t="shared" si="1"/>
        <v>9.64</v>
      </c>
      <c r="O8" s="165" t="s">
        <v>27</v>
      </c>
      <c r="P8" s="227" t="s">
        <v>28</v>
      </c>
      <c r="Q8" s="56"/>
      <c r="R8" s="57"/>
    </row>
    <row r="9" ht="15.0" customHeight="1">
      <c r="A9" s="75">
        <v>3.0</v>
      </c>
      <c r="B9" s="225" t="s">
        <v>273</v>
      </c>
      <c r="C9" s="225"/>
      <c r="D9" s="135">
        <v>8.83</v>
      </c>
      <c r="E9" s="160">
        <v>8.11</v>
      </c>
      <c r="F9" s="39">
        <v>8.4</v>
      </c>
      <c r="G9" s="54">
        <v>8.76</v>
      </c>
      <c r="H9" s="172">
        <v>8.26</v>
      </c>
      <c r="I9" s="216">
        <v>9.22</v>
      </c>
      <c r="J9" s="43">
        <v>9.17</v>
      </c>
      <c r="K9" s="163" t="s">
        <v>25</v>
      </c>
      <c r="L9" s="45" t="s">
        <v>26</v>
      </c>
      <c r="M9" s="228" t="s">
        <v>25</v>
      </c>
      <c r="N9" s="47">
        <f t="shared" si="1"/>
        <v>8.67</v>
      </c>
      <c r="O9" s="165" t="s">
        <v>27</v>
      </c>
      <c r="P9" s="227" t="s">
        <v>28</v>
      </c>
      <c r="Q9" s="56"/>
      <c r="R9" s="59"/>
    </row>
    <row r="10" ht="15.0" customHeight="1">
      <c r="A10" s="75">
        <v>4.0</v>
      </c>
      <c r="B10" s="78" t="s">
        <v>274</v>
      </c>
      <c r="C10" s="36"/>
      <c r="D10" s="135">
        <v>7.27</v>
      </c>
      <c r="E10" s="160">
        <v>7.0</v>
      </c>
      <c r="F10" s="39">
        <v>7.0</v>
      </c>
      <c r="G10" s="54">
        <v>7.02</v>
      </c>
      <c r="H10" s="175">
        <v>7.0</v>
      </c>
      <c r="I10" s="216">
        <v>7.68</v>
      </c>
      <c r="J10" s="43">
        <v>7.18</v>
      </c>
      <c r="K10" s="163" t="s">
        <v>33</v>
      </c>
      <c r="L10" s="45" t="s">
        <v>33</v>
      </c>
      <c r="M10" s="228" t="s">
        <v>52</v>
      </c>
      <c r="N10" s="47">
        <f t="shared" si="1"/>
        <v>7.16</v>
      </c>
      <c r="O10" s="165" t="s">
        <v>34</v>
      </c>
      <c r="P10" s="227" t="s">
        <v>70</v>
      </c>
      <c r="Q10" s="229">
        <v>6.25</v>
      </c>
      <c r="R10" s="57" t="s">
        <v>275</v>
      </c>
    </row>
    <row r="11" ht="15.0" customHeight="1">
      <c r="A11" s="75">
        <v>5.0</v>
      </c>
      <c r="B11" s="225" t="s">
        <v>276</v>
      </c>
      <c r="C11" s="225"/>
      <c r="D11" s="135">
        <v>7.82</v>
      </c>
      <c r="E11" s="160">
        <v>7.0</v>
      </c>
      <c r="F11" s="39">
        <v>7.0</v>
      </c>
      <c r="G11" s="54">
        <v>7.43</v>
      </c>
      <c r="H11" s="172">
        <v>7.0</v>
      </c>
      <c r="I11" s="216">
        <v>8.21</v>
      </c>
      <c r="J11" s="43">
        <v>7.0</v>
      </c>
      <c r="K11" s="163" t="s">
        <v>52</v>
      </c>
      <c r="L11" s="45" t="s">
        <v>136</v>
      </c>
      <c r="M11" s="228" t="s">
        <v>52</v>
      </c>
      <c r="N11" s="47">
        <f t="shared" si="1"/>
        <v>7.35</v>
      </c>
      <c r="O11" s="165" t="s">
        <v>69</v>
      </c>
      <c r="P11" s="227" t="s">
        <v>28</v>
      </c>
      <c r="Q11" s="213"/>
    </row>
    <row r="12" ht="15.0" customHeight="1">
      <c r="A12" s="75">
        <v>6.0</v>
      </c>
      <c r="B12" s="225" t="s">
        <v>277</v>
      </c>
      <c r="C12" s="225"/>
      <c r="D12" s="135">
        <v>8.11</v>
      </c>
      <c r="E12" s="160">
        <v>7.93</v>
      </c>
      <c r="F12" s="39">
        <v>7.65</v>
      </c>
      <c r="G12" s="54">
        <v>8.31</v>
      </c>
      <c r="H12" s="172">
        <v>7.39</v>
      </c>
      <c r="I12" s="216">
        <v>9.5</v>
      </c>
      <c r="J12" s="43">
        <v>7.63</v>
      </c>
      <c r="K12" s="163" t="s">
        <v>192</v>
      </c>
      <c r="L12" s="45" t="s">
        <v>26</v>
      </c>
      <c r="M12" s="228" t="s">
        <v>25</v>
      </c>
      <c r="N12" s="47">
        <f t="shared" si="1"/>
        <v>8.07</v>
      </c>
      <c r="O12" s="165" t="s">
        <v>27</v>
      </c>
      <c r="P12" s="227" t="s">
        <v>28</v>
      </c>
      <c r="Q12" s="213"/>
    </row>
    <row r="13" ht="15.0" customHeight="1">
      <c r="A13" s="75">
        <v>7.0</v>
      </c>
      <c r="B13" s="225" t="s">
        <v>278</v>
      </c>
      <c r="C13" s="225"/>
      <c r="D13" s="135">
        <v>8.57</v>
      </c>
      <c r="E13" s="160">
        <v>7.24</v>
      </c>
      <c r="F13" s="39">
        <v>7.51</v>
      </c>
      <c r="G13" s="54">
        <v>7.59</v>
      </c>
      <c r="H13" s="175">
        <v>7.38</v>
      </c>
      <c r="I13" s="216">
        <v>8.39</v>
      </c>
      <c r="J13" s="43">
        <v>9.17</v>
      </c>
      <c r="K13" s="163" t="s">
        <v>33</v>
      </c>
      <c r="L13" s="45" t="s">
        <v>26</v>
      </c>
      <c r="M13" s="228" t="s">
        <v>25</v>
      </c>
      <c r="N13" s="47">
        <f t="shared" si="1"/>
        <v>7.97</v>
      </c>
      <c r="O13" s="165" t="s">
        <v>27</v>
      </c>
      <c r="P13" s="227" t="s">
        <v>28</v>
      </c>
      <c r="Q13" s="213"/>
    </row>
    <row r="14" ht="15.0" customHeight="1">
      <c r="A14" s="75">
        <v>8.0</v>
      </c>
      <c r="B14" s="225" t="s">
        <v>279</v>
      </c>
      <c r="C14" s="225"/>
      <c r="D14" s="135">
        <v>8.63</v>
      </c>
      <c r="E14" s="160">
        <v>8.57</v>
      </c>
      <c r="F14" s="39">
        <v>8.15</v>
      </c>
      <c r="G14" s="54">
        <v>8.46</v>
      </c>
      <c r="H14" s="175">
        <v>7.72</v>
      </c>
      <c r="I14" s="216">
        <v>9.22</v>
      </c>
      <c r="J14" s="43">
        <v>8.6</v>
      </c>
      <c r="K14" s="163" t="s">
        <v>52</v>
      </c>
      <c r="L14" s="45" t="s">
        <v>33</v>
      </c>
      <c r="M14" s="228" t="s">
        <v>25</v>
      </c>
      <c r="N14" s="47">
        <f t="shared" si="1"/>
        <v>8.47</v>
      </c>
      <c r="O14" s="165" t="s">
        <v>34</v>
      </c>
      <c r="P14" s="227" t="s">
        <v>28</v>
      </c>
      <c r="Q14" s="213"/>
    </row>
    <row r="15" ht="15.0" customHeight="1">
      <c r="A15" s="75">
        <v>9.0</v>
      </c>
      <c r="B15" s="225" t="s">
        <v>280</v>
      </c>
      <c r="C15" s="225"/>
      <c r="D15" s="135">
        <v>8.64</v>
      </c>
      <c r="E15" s="160">
        <v>8.53</v>
      </c>
      <c r="F15" s="39">
        <v>7.72</v>
      </c>
      <c r="G15" s="54">
        <v>8.86</v>
      </c>
      <c r="H15" s="175">
        <v>8.07</v>
      </c>
      <c r="I15" s="216">
        <v>9.29</v>
      </c>
      <c r="J15" s="43">
        <v>8.82</v>
      </c>
      <c r="K15" s="163" t="s">
        <v>52</v>
      </c>
      <c r="L15" s="45" t="s">
        <v>33</v>
      </c>
      <c r="M15" s="228" t="s">
        <v>25</v>
      </c>
      <c r="N15" s="47">
        <f t="shared" si="1"/>
        <v>8.56</v>
      </c>
      <c r="O15" s="165" t="s">
        <v>34</v>
      </c>
      <c r="P15" s="227" t="s">
        <v>28</v>
      </c>
      <c r="Q15" s="213"/>
    </row>
    <row r="16" ht="15.0" customHeight="1">
      <c r="A16" s="75">
        <v>10.0</v>
      </c>
      <c r="B16" s="225" t="s">
        <v>281</v>
      </c>
      <c r="C16" s="225"/>
      <c r="D16" s="135">
        <v>9.41</v>
      </c>
      <c r="E16" s="160">
        <v>9.27</v>
      </c>
      <c r="F16" s="39">
        <v>9.1</v>
      </c>
      <c r="G16" s="54">
        <v>9.92</v>
      </c>
      <c r="H16" s="172">
        <v>9.09</v>
      </c>
      <c r="I16" s="216">
        <v>9.87</v>
      </c>
      <c r="J16" s="43">
        <v>9.95</v>
      </c>
      <c r="K16" s="163" t="s">
        <v>25</v>
      </c>
      <c r="L16" s="45" t="s">
        <v>26</v>
      </c>
      <c r="M16" s="228" t="s">
        <v>26</v>
      </c>
      <c r="N16" s="47">
        <f t="shared" si="1"/>
        <v>9.51</v>
      </c>
      <c r="O16" s="165" t="s">
        <v>27</v>
      </c>
      <c r="P16" s="227" t="s">
        <v>28</v>
      </c>
      <c r="Q16" s="213"/>
    </row>
    <row r="17" ht="15.0" customHeight="1">
      <c r="A17" s="75">
        <v>11.0</v>
      </c>
      <c r="B17" s="225" t="s">
        <v>282</v>
      </c>
      <c r="C17" s="225"/>
      <c r="D17" s="135">
        <v>9.5</v>
      </c>
      <c r="E17" s="160">
        <v>9.44</v>
      </c>
      <c r="F17" s="39">
        <v>9.37</v>
      </c>
      <c r="G17" s="54">
        <v>9.67</v>
      </c>
      <c r="H17" s="172">
        <v>9.49</v>
      </c>
      <c r="I17" s="216">
        <v>9.86</v>
      </c>
      <c r="J17" s="43">
        <v>9.95</v>
      </c>
      <c r="K17" s="163" t="s">
        <v>25</v>
      </c>
      <c r="L17" s="45" t="s">
        <v>33</v>
      </c>
      <c r="M17" s="228" t="s">
        <v>26</v>
      </c>
      <c r="N17" s="47">
        <f t="shared" si="1"/>
        <v>9.61</v>
      </c>
      <c r="O17" s="165" t="s">
        <v>34</v>
      </c>
      <c r="P17" s="227" t="s">
        <v>28</v>
      </c>
      <c r="Q17" s="213"/>
    </row>
    <row r="18" ht="15.0" customHeight="1">
      <c r="A18" s="75">
        <v>12.0</v>
      </c>
      <c r="B18" s="78" t="s">
        <v>283</v>
      </c>
      <c r="C18" s="36"/>
      <c r="D18" s="135">
        <v>9.2</v>
      </c>
      <c r="E18" s="160">
        <v>8.02</v>
      </c>
      <c r="F18" s="39">
        <v>7.19</v>
      </c>
      <c r="G18" s="54">
        <v>8.29</v>
      </c>
      <c r="H18" s="172">
        <v>7.79</v>
      </c>
      <c r="I18" s="216">
        <v>9.56</v>
      </c>
      <c r="J18" s="43">
        <v>7.83</v>
      </c>
      <c r="K18" s="163" t="s">
        <v>52</v>
      </c>
      <c r="L18" s="45" t="s">
        <v>33</v>
      </c>
      <c r="M18" s="228" t="s">
        <v>25</v>
      </c>
      <c r="N18" s="47">
        <f t="shared" si="1"/>
        <v>8.26</v>
      </c>
      <c r="O18" s="165" t="s">
        <v>34</v>
      </c>
      <c r="P18" s="227" t="s">
        <v>28</v>
      </c>
      <c r="Q18" s="213"/>
    </row>
    <row r="19" ht="15.0" customHeight="1">
      <c r="A19" s="75">
        <v>13.0</v>
      </c>
      <c r="B19" s="225" t="s">
        <v>284</v>
      </c>
      <c r="C19" s="225"/>
      <c r="D19" s="135">
        <v>8.5</v>
      </c>
      <c r="E19" s="160">
        <v>8.13</v>
      </c>
      <c r="F19" s="39">
        <v>7.58</v>
      </c>
      <c r="G19" s="54">
        <v>8.06</v>
      </c>
      <c r="H19" s="172">
        <v>7.65</v>
      </c>
      <c r="I19" s="216">
        <v>9.15</v>
      </c>
      <c r="J19" s="43">
        <v>8.28</v>
      </c>
      <c r="K19" s="163" t="s">
        <v>52</v>
      </c>
      <c r="L19" s="45" t="s">
        <v>26</v>
      </c>
      <c r="M19" s="228" t="s">
        <v>25</v>
      </c>
      <c r="N19" s="47">
        <f t="shared" si="1"/>
        <v>8.19</v>
      </c>
      <c r="O19" s="165" t="s">
        <v>27</v>
      </c>
      <c r="P19" s="227" t="s">
        <v>28</v>
      </c>
      <c r="Q19" s="213"/>
    </row>
    <row r="20" ht="15.0" customHeight="1">
      <c r="A20" s="75">
        <v>14.0</v>
      </c>
      <c r="B20" s="78" t="s">
        <v>285</v>
      </c>
      <c r="C20" s="36"/>
      <c r="D20" s="135">
        <v>8.53</v>
      </c>
      <c r="E20" s="160">
        <v>8.23</v>
      </c>
      <c r="F20" s="39">
        <v>8.18</v>
      </c>
      <c r="G20" s="54">
        <v>9.6</v>
      </c>
      <c r="H20" s="172">
        <v>7.61</v>
      </c>
      <c r="I20" s="216">
        <v>9.69</v>
      </c>
      <c r="J20" s="43">
        <v>9.68</v>
      </c>
      <c r="K20" s="163" t="s">
        <v>25</v>
      </c>
      <c r="L20" s="45" t="s">
        <v>26</v>
      </c>
      <c r="M20" s="228" t="s">
        <v>25</v>
      </c>
      <c r="N20" s="47">
        <f t="shared" si="1"/>
        <v>8.78</v>
      </c>
      <c r="O20" s="165" t="s">
        <v>27</v>
      </c>
      <c r="P20" s="227" t="s">
        <v>28</v>
      </c>
      <c r="Q20" s="213"/>
    </row>
    <row r="21" ht="15.0" customHeight="1">
      <c r="A21" s="75">
        <v>15.0</v>
      </c>
      <c r="B21" s="225" t="s">
        <v>286</v>
      </c>
      <c r="C21" s="225"/>
      <c r="D21" s="135">
        <v>8.07</v>
      </c>
      <c r="E21" s="160">
        <v>7.59</v>
      </c>
      <c r="F21" s="39">
        <v>7.2</v>
      </c>
      <c r="G21" s="54">
        <v>8.62</v>
      </c>
      <c r="H21" s="172">
        <v>7.31</v>
      </c>
      <c r="I21" s="216">
        <v>8.68</v>
      </c>
      <c r="J21" s="43">
        <v>7.78</v>
      </c>
      <c r="K21" s="163" t="s">
        <v>33</v>
      </c>
      <c r="L21" s="45" t="s">
        <v>33</v>
      </c>
      <c r="M21" s="228" t="s">
        <v>25</v>
      </c>
      <c r="N21" s="47">
        <f t="shared" si="1"/>
        <v>7.89</v>
      </c>
      <c r="O21" s="165" t="s">
        <v>34</v>
      </c>
      <c r="P21" s="227" t="s">
        <v>28</v>
      </c>
      <c r="Q21" s="213"/>
    </row>
    <row r="22" ht="15.0" customHeight="1">
      <c r="A22" s="230">
        <v>16.0</v>
      </c>
      <c r="B22" s="225" t="s">
        <v>287</v>
      </c>
      <c r="C22" s="225"/>
      <c r="D22" s="135">
        <v>9.23</v>
      </c>
      <c r="E22" s="160">
        <v>8.79</v>
      </c>
      <c r="F22" s="39">
        <v>7.74</v>
      </c>
      <c r="G22" s="54">
        <v>8.95</v>
      </c>
      <c r="H22" s="172">
        <v>7.76</v>
      </c>
      <c r="I22" s="216">
        <v>9.44</v>
      </c>
      <c r="J22" s="43">
        <v>8.82</v>
      </c>
      <c r="K22" s="163" t="s">
        <v>52</v>
      </c>
      <c r="L22" s="45" t="s">
        <v>33</v>
      </c>
      <c r="M22" s="228" t="s">
        <v>25</v>
      </c>
      <c r="N22" s="47">
        <f t="shared" si="1"/>
        <v>8.67</v>
      </c>
      <c r="O22" s="165" t="s">
        <v>69</v>
      </c>
      <c r="P22" s="227" t="s">
        <v>28</v>
      </c>
      <c r="Q22" s="213"/>
    </row>
    <row r="23" ht="15.0" customHeight="1">
      <c r="A23" s="75">
        <v>17.0</v>
      </c>
      <c r="B23" s="78" t="s">
        <v>288</v>
      </c>
      <c r="C23" s="36"/>
      <c r="D23" s="135">
        <v>8.35</v>
      </c>
      <c r="E23" s="160">
        <v>7.05</v>
      </c>
      <c r="F23" s="39">
        <v>7.21</v>
      </c>
      <c r="G23" s="54">
        <v>8.41</v>
      </c>
      <c r="H23" s="172">
        <v>7.91</v>
      </c>
      <c r="I23" s="216">
        <v>8.53</v>
      </c>
      <c r="J23" s="43">
        <v>8.25</v>
      </c>
      <c r="K23" s="163" t="s">
        <v>52</v>
      </c>
      <c r="L23" s="45" t="s">
        <v>33</v>
      </c>
      <c r="M23" s="228" t="s">
        <v>25</v>
      </c>
      <c r="N23" s="47">
        <f t="shared" si="1"/>
        <v>7.95</v>
      </c>
      <c r="O23" s="165" t="s">
        <v>34</v>
      </c>
      <c r="P23" s="227" t="s">
        <v>28</v>
      </c>
      <c r="Q23" s="213"/>
    </row>
    <row r="24" ht="15.0" customHeight="1">
      <c r="A24" s="75">
        <v>18.0</v>
      </c>
      <c r="B24" s="225" t="s">
        <v>289</v>
      </c>
      <c r="C24" s="225"/>
      <c r="D24" s="135">
        <v>9.34</v>
      </c>
      <c r="E24" s="160">
        <v>8.66</v>
      </c>
      <c r="F24" s="39">
        <v>8.31</v>
      </c>
      <c r="G24" s="54">
        <v>9.54</v>
      </c>
      <c r="H24" s="172">
        <v>7.56</v>
      </c>
      <c r="I24" s="216">
        <v>9.94</v>
      </c>
      <c r="J24" s="43">
        <v>9.51</v>
      </c>
      <c r="K24" s="163" t="s">
        <v>25</v>
      </c>
      <c r="L24" s="45" t="s">
        <v>26</v>
      </c>
      <c r="M24" s="228" t="s">
        <v>26</v>
      </c>
      <c r="N24" s="47">
        <f t="shared" si="1"/>
        <v>8.98</v>
      </c>
      <c r="O24" s="165" t="s">
        <v>27</v>
      </c>
      <c r="P24" s="227" t="s">
        <v>28</v>
      </c>
      <c r="Q24" s="213"/>
    </row>
    <row r="25" ht="15.0" customHeight="1">
      <c r="A25" s="75">
        <v>19.0</v>
      </c>
      <c r="B25" s="225" t="s">
        <v>290</v>
      </c>
      <c r="C25" s="225"/>
      <c r="D25" s="135">
        <v>8.17</v>
      </c>
      <c r="E25" s="160">
        <v>7.6</v>
      </c>
      <c r="F25" s="39">
        <v>7.0</v>
      </c>
      <c r="G25" s="54">
        <v>8.19</v>
      </c>
      <c r="H25" s="175">
        <v>7.03</v>
      </c>
      <c r="I25" s="216">
        <v>8.85</v>
      </c>
      <c r="J25" s="43">
        <v>7.65</v>
      </c>
      <c r="K25" s="163" t="s">
        <v>192</v>
      </c>
      <c r="L25" s="45" t="s">
        <v>136</v>
      </c>
      <c r="M25" s="228" t="s">
        <v>52</v>
      </c>
      <c r="N25" s="47">
        <f t="shared" si="1"/>
        <v>7.78</v>
      </c>
      <c r="O25" s="165" t="s">
        <v>69</v>
      </c>
      <c r="P25" s="227" t="s">
        <v>28</v>
      </c>
      <c r="Q25" s="213"/>
    </row>
    <row r="26" ht="15.0" customHeight="1">
      <c r="A26" s="75">
        <v>20.0</v>
      </c>
      <c r="B26" s="225" t="s">
        <v>291</v>
      </c>
      <c r="C26" s="225"/>
      <c r="D26" s="135">
        <v>7.54</v>
      </c>
      <c r="E26" s="160">
        <v>7.16</v>
      </c>
      <c r="F26" s="39">
        <v>7.28</v>
      </c>
      <c r="G26" s="54">
        <v>7.79</v>
      </c>
      <c r="H26" s="172">
        <v>7.24</v>
      </c>
      <c r="I26" s="216">
        <v>8.68</v>
      </c>
      <c r="J26" s="43">
        <v>8.46</v>
      </c>
      <c r="K26" s="163" t="s">
        <v>136</v>
      </c>
      <c r="L26" s="45" t="s">
        <v>136</v>
      </c>
      <c r="M26" s="228" t="s">
        <v>52</v>
      </c>
      <c r="N26" s="47">
        <f t="shared" si="1"/>
        <v>7.73</v>
      </c>
      <c r="O26" s="165" t="s">
        <v>69</v>
      </c>
      <c r="P26" s="227" t="s">
        <v>28</v>
      </c>
      <c r="Q26" s="213"/>
    </row>
    <row r="27" ht="15.0" customHeight="1">
      <c r="A27" s="75">
        <v>21.0</v>
      </c>
      <c r="B27" s="225" t="s">
        <v>292</v>
      </c>
      <c r="C27" s="225"/>
      <c r="D27" s="135">
        <v>9.06</v>
      </c>
      <c r="E27" s="160">
        <v>8.71</v>
      </c>
      <c r="F27" s="39">
        <v>7.44</v>
      </c>
      <c r="G27" s="54">
        <v>8.53</v>
      </c>
      <c r="H27" s="172">
        <v>7.63</v>
      </c>
      <c r="I27" s="216">
        <v>8.95</v>
      </c>
      <c r="J27" s="43">
        <v>8.49</v>
      </c>
      <c r="K27" s="163" t="s">
        <v>52</v>
      </c>
      <c r="L27" s="45" t="s">
        <v>26</v>
      </c>
      <c r="M27" s="228" t="s">
        <v>26</v>
      </c>
      <c r="N27" s="47">
        <f t="shared" si="1"/>
        <v>8.4</v>
      </c>
      <c r="O27" s="165" t="s">
        <v>27</v>
      </c>
      <c r="P27" s="227" t="s">
        <v>28</v>
      </c>
      <c r="Q27" s="213"/>
    </row>
    <row r="28" ht="18.0" customHeight="1">
      <c r="A28" s="75">
        <v>22.0</v>
      </c>
      <c r="B28" s="225" t="s">
        <v>293</v>
      </c>
      <c r="C28" s="225"/>
      <c r="D28" s="135">
        <v>9.48</v>
      </c>
      <c r="E28" s="160">
        <v>9.57</v>
      </c>
      <c r="F28" s="39">
        <v>9.24</v>
      </c>
      <c r="G28" s="54">
        <v>9.66</v>
      </c>
      <c r="H28" s="172">
        <v>9.19</v>
      </c>
      <c r="I28" s="216">
        <v>9.98</v>
      </c>
      <c r="J28" s="43">
        <v>9.87</v>
      </c>
      <c r="K28" s="163" t="s">
        <v>26</v>
      </c>
      <c r="L28" s="45" t="s">
        <v>26</v>
      </c>
      <c r="M28" s="228" t="s">
        <v>26</v>
      </c>
      <c r="N28" s="47">
        <f t="shared" si="1"/>
        <v>9.57</v>
      </c>
      <c r="O28" s="165" t="s">
        <v>27</v>
      </c>
      <c r="P28" s="227" t="s">
        <v>28</v>
      </c>
      <c r="Q28" s="213"/>
    </row>
    <row r="29" ht="15.0" customHeight="1">
      <c r="A29" s="75">
        <v>23.0</v>
      </c>
      <c r="B29" s="225" t="s">
        <v>294</v>
      </c>
      <c r="C29" s="225"/>
      <c r="D29" s="135">
        <v>9.15</v>
      </c>
      <c r="E29" s="160">
        <v>8.39</v>
      </c>
      <c r="F29" s="39">
        <v>8.33</v>
      </c>
      <c r="G29" s="54">
        <v>9.59</v>
      </c>
      <c r="H29" s="175">
        <v>8.02</v>
      </c>
      <c r="I29" s="216">
        <v>9.72</v>
      </c>
      <c r="J29" s="43">
        <v>9.12</v>
      </c>
      <c r="K29" s="163" t="s">
        <v>25</v>
      </c>
      <c r="L29" s="45" t="s">
        <v>26</v>
      </c>
      <c r="M29" s="228" t="s">
        <v>25</v>
      </c>
      <c r="N29" s="47">
        <f t="shared" si="1"/>
        <v>8.9</v>
      </c>
      <c r="O29" s="165" t="s">
        <v>34</v>
      </c>
      <c r="P29" s="227" t="s">
        <v>28</v>
      </c>
      <c r="Q29" s="213"/>
    </row>
    <row r="30" ht="18.0" customHeight="1">
      <c r="A30" s="75">
        <v>24.0</v>
      </c>
      <c r="B30" s="225" t="s">
        <v>295</v>
      </c>
      <c r="C30" s="225"/>
      <c r="D30" s="135">
        <v>9.05</v>
      </c>
      <c r="E30" s="160">
        <v>9.18</v>
      </c>
      <c r="F30" s="39">
        <v>8.51</v>
      </c>
      <c r="G30" s="54">
        <v>9.67</v>
      </c>
      <c r="H30" s="172">
        <v>8.09</v>
      </c>
      <c r="I30" s="216">
        <v>9.98</v>
      </c>
      <c r="J30" s="43">
        <v>9.57</v>
      </c>
      <c r="K30" s="163" t="s">
        <v>25</v>
      </c>
      <c r="L30" s="45" t="s">
        <v>26</v>
      </c>
      <c r="M30" s="228" t="s">
        <v>26</v>
      </c>
      <c r="N30" s="47">
        <f t="shared" si="1"/>
        <v>9.15</v>
      </c>
      <c r="O30" s="165" t="s">
        <v>27</v>
      </c>
      <c r="P30" s="227" t="s">
        <v>28</v>
      </c>
      <c r="Q30" s="213"/>
    </row>
    <row r="31" ht="15.0" customHeight="1">
      <c r="A31" s="75">
        <v>25.0</v>
      </c>
      <c r="B31" s="225" t="s">
        <v>296</v>
      </c>
      <c r="C31" s="225"/>
      <c r="D31" s="135">
        <v>8.33</v>
      </c>
      <c r="E31" s="160">
        <v>8.37</v>
      </c>
      <c r="F31" s="39">
        <v>7.54</v>
      </c>
      <c r="G31" s="54">
        <v>7.96</v>
      </c>
      <c r="H31" s="172">
        <v>7.42</v>
      </c>
      <c r="I31" s="216">
        <v>9.16</v>
      </c>
      <c r="J31" s="43">
        <v>8.38</v>
      </c>
      <c r="K31" s="163" t="s">
        <v>33</v>
      </c>
      <c r="L31" s="45" t="s">
        <v>33</v>
      </c>
      <c r="M31" s="228" t="s">
        <v>25</v>
      </c>
      <c r="N31" s="47">
        <f t="shared" si="1"/>
        <v>8.16</v>
      </c>
      <c r="O31" s="165" t="s">
        <v>69</v>
      </c>
      <c r="P31" s="227" t="s">
        <v>28</v>
      </c>
      <c r="Q31" s="213"/>
    </row>
    <row r="32" ht="15.0" customHeight="1">
      <c r="A32" s="75">
        <v>26.0</v>
      </c>
      <c r="B32" s="225" t="s">
        <v>297</v>
      </c>
      <c r="C32" s="225"/>
      <c r="D32" s="135">
        <v>9.0</v>
      </c>
      <c r="E32" s="160">
        <v>7.94</v>
      </c>
      <c r="F32" s="39">
        <v>7.56</v>
      </c>
      <c r="G32" s="54">
        <v>8.68</v>
      </c>
      <c r="H32" s="172">
        <v>7.3</v>
      </c>
      <c r="I32" s="216">
        <v>8.92</v>
      </c>
      <c r="J32" s="43">
        <v>7.54</v>
      </c>
      <c r="K32" s="163" t="s">
        <v>52</v>
      </c>
      <c r="L32" s="45" t="s">
        <v>33</v>
      </c>
      <c r="M32" s="228" t="s">
        <v>26</v>
      </c>
      <c r="N32" s="47">
        <f t="shared" si="1"/>
        <v>8.13</v>
      </c>
      <c r="O32" s="165" t="s">
        <v>34</v>
      </c>
      <c r="P32" s="227" t="s">
        <v>28</v>
      </c>
      <c r="Q32" s="213"/>
    </row>
    <row r="33" ht="15.0" customHeight="1">
      <c r="A33" s="75">
        <v>27.0</v>
      </c>
      <c r="B33" s="225" t="s">
        <v>298</v>
      </c>
      <c r="C33" s="225"/>
      <c r="D33" s="135">
        <v>8.67</v>
      </c>
      <c r="E33" s="160">
        <v>8.17</v>
      </c>
      <c r="F33" s="39">
        <v>7.47</v>
      </c>
      <c r="G33" s="54">
        <v>8.54</v>
      </c>
      <c r="H33" s="172">
        <v>8.14</v>
      </c>
      <c r="I33" s="216">
        <v>8.99</v>
      </c>
      <c r="J33" s="43">
        <v>8.53</v>
      </c>
      <c r="K33" s="163" t="s">
        <v>33</v>
      </c>
      <c r="L33" s="45" t="s">
        <v>33</v>
      </c>
      <c r="M33" s="228" t="s">
        <v>25</v>
      </c>
      <c r="N33" s="47">
        <f t="shared" si="1"/>
        <v>8.35</v>
      </c>
      <c r="O33" s="165" t="s">
        <v>27</v>
      </c>
      <c r="P33" s="227" t="s">
        <v>28</v>
      </c>
      <c r="Q33" s="213"/>
    </row>
    <row r="34" ht="15.0" customHeight="1">
      <c r="A34" s="230">
        <v>28.0</v>
      </c>
      <c r="B34" s="78" t="s">
        <v>299</v>
      </c>
      <c r="C34" s="36"/>
      <c r="D34" s="135">
        <v>8.01</v>
      </c>
      <c r="E34" s="160">
        <v>7.02</v>
      </c>
      <c r="F34" s="39">
        <v>7.01</v>
      </c>
      <c r="G34" s="54">
        <v>7.19</v>
      </c>
      <c r="H34" s="175">
        <v>7.0</v>
      </c>
      <c r="I34" s="216">
        <v>8.44</v>
      </c>
      <c r="J34" s="43">
        <v>8.31</v>
      </c>
      <c r="K34" s="163" t="s">
        <v>136</v>
      </c>
      <c r="L34" s="45" t="s">
        <v>52</v>
      </c>
      <c r="M34" s="228" t="s">
        <v>25</v>
      </c>
      <c r="N34" s="47">
        <f t="shared" si="1"/>
        <v>7.56</v>
      </c>
      <c r="O34" s="165" t="s">
        <v>34</v>
      </c>
      <c r="P34" s="227" t="s">
        <v>28</v>
      </c>
      <c r="Q34" s="213"/>
    </row>
    <row r="35" ht="15.0" customHeight="1">
      <c r="A35" s="75">
        <v>29.0</v>
      </c>
      <c r="B35" s="225" t="s">
        <v>300</v>
      </c>
      <c r="C35" s="225"/>
      <c r="D35" s="135">
        <v>8.62</v>
      </c>
      <c r="E35" s="160">
        <v>8.24</v>
      </c>
      <c r="F35" s="39">
        <v>8.12</v>
      </c>
      <c r="G35" s="54">
        <v>9.09</v>
      </c>
      <c r="H35" s="172">
        <v>8.21</v>
      </c>
      <c r="I35" s="216">
        <v>9.19</v>
      </c>
      <c r="J35" s="43">
        <v>9.59</v>
      </c>
      <c r="K35" s="163" t="s">
        <v>25</v>
      </c>
      <c r="L35" s="45" t="s">
        <v>26</v>
      </c>
      <c r="M35" s="228" t="s">
        <v>25</v>
      </c>
      <c r="N35" s="47">
        <f t="shared" si="1"/>
        <v>8.72</v>
      </c>
      <c r="O35" s="165" t="s">
        <v>27</v>
      </c>
      <c r="P35" s="227" t="s">
        <v>28</v>
      </c>
      <c r="Q35" s="213"/>
    </row>
    <row r="36" ht="15.0" customHeight="1">
      <c r="A36" s="75">
        <v>30.0</v>
      </c>
      <c r="B36" s="78" t="s">
        <v>301</v>
      </c>
      <c r="C36" s="36"/>
      <c r="D36" s="135">
        <v>7.2</v>
      </c>
      <c r="E36" s="160">
        <v>7.09</v>
      </c>
      <c r="F36" s="39">
        <v>7.27</v>
      </c>
      <c r="G36" s="54">
        <v>7.02</v>
      </c>
      <c r="H36" s="172">
        <v>7.0</v>
      </c>
      <c r="I36" s="216">
        <v>8.43</v>
      </c>
      <c r="J36" s="43">
        <v>8.14</v>
      </c>
      <c r="K36" s="163" t="s">
        <v>33</v>
      </c>
      <c r="L36" s="45" t="s">
        <v>136</v>
      </c>
      <c r="M36" s="228" t="s">
        <v>52</v>
      </c>
      <c r="N36" s="47">
        <f t="shared" si="1"/>
        <v>7.45</v>
      </c>
      <c r="O36" s="165" t="s">
        <v>69</v>
      </c>
      <c r="P36" s="227" t="s">
        <v>28</v>
      </c>
      <c r="Q36" s="213"/>
    </row>
    <row r="37" ht="15.0" customHeight="1">
      <c r="A37" s="75">
        <v>31.0</v>
      </c>
      <c r="B37" s="225" t="s">
        <v>302</v>
      </c>
      <c r="C37" s="225"/>
      <c r="D37" s="135">
        <v>8.11</v>
      </c>
      <c r="E37" s="160">
        <v>7.4</v>
      </c>
      <c r="F37" s="39">
        <v>7.08</v>
      </c>
      <c r="G37" s="54">
        <v>7.91</v>
      </c>
      <c r="H37" s="175">
        <v>7.05</v>
      </c>
      <c r="I37" s="216">
        <v>8.72</v>
      </c>
      <c r="J37" s="43">
        <v>7.93</v>
      </c>
      <c r="K37" s="163" t="s">
        <v>33</v>
      </c>
      <c r="L37" s="45" t="s">
        <v>26</v>
      </c>
      <c r="M37" s="228" t="s">
        <v>25</v>
      </c>
      <c r="N37" s="47">
        <f t="shared" si="1"/>
        <v>7.74</v>
      </c>
      <c r="O37" s="165" t="s">
        <v>27</v>
      </c>
      <c r="P37" s="227" t="s">
        <v>28</v>
      </c>
      <c r="Q37" s="213"/>
    </row>
    <row r="38" ht="15.0" customHeight="1">
      <c r="A38" s="75">
        <v>32.0</v>
      </c>
      <c r="B38" s="225" t="s">
        <v>303</v>
      </c>
      <c r="C38" s="225"/>
      <c r="D38" s="135">
        <v>8.78</v>
      </c>
      <c r="E38" s="160">
        <v>7.65</v>
      </c>
      <c r="F38" s="39">
        <v>7.73</v>
      </c>
      <c r="G38" s="54">
        <v>8.39</v>
      </c>
      <c r="H38" s="172">
        <v>7.67</v>
      </c>
      <c r="I38" s="216">
        <v>8.91</v>
      </c>
      <c r="J38" s="43">
        <v>8.7</v>
      </c>
      <c r="K38" s="163" t="s">
        <v>33</v>
      </c>
      <c r="L38" s="45" t="s">
        <v>33</v>
      </c>
      <c r="M38" s="228" t="s">
        <v>25</v>
      </c>
      <c r="N38" s="47">
        <f t="shared" si="1"/>
        <v>8.26</v>
      </c>
      <c r="O38" s="165" t="s">
        <v>34</v>
      </c>
      <c r="P38" s="227" t="s">
        <v>28</v>
      </c>
      <c r="Q38" s="213"/>
    </row>
    <row r="39" ht="18.0" customHeight="1">
      <c r="A39" s="169">
        <v>33.0</v>
      </c>
      <c r="B39" s="225" t="s">
        <v>304</v>
      </c>
      <c r="C39" s="225"/>
      <c r="D39" s="135">
        <v>9.23</v>
      </c>
      <c r="E39" s="160">
        <v>7.98</v>
      </c>
      <c r="F39" s="39">
        <v>9.12</v>
      </c>
      <c r="G39" s="54">
        <v>9.43</v>
      </c>
      <c r="H39" s="175">
        <v>8.29</v>
      </c>
      <c r="I39" s="216">
        <v>9.87</v>
      </c>
      <c r="J39" s="43">
        <v>8.97</v>
      </c>
      <c r="K39" s="163" t="s">
        <v>25</v>
      </c>
      <c r="L39" s="45" t="s">
        <v>26</v>
      </c>
      <c r="M39" s="228" t="s">
        <v>26</v>
      </c>
      <c r="N39" s="47">
        <f t="shared" si="1"/>
        <v>8.98</v>
      </c>
      <c r="O39" s="165" t="s">
        <v>27</v>
      </c>
      <c r="P39" s="227" t="s">
        <v>28</v>
      </c>
      <c r="Q39" s="213"/>
    </row>
    <row r="40" ht="15.0" customHeight="1">
      <c r="A40" s="169">
        <v>34.0</v>
      </c>
      <c r="B40" s="225" t="s">
        <v>305</v>
      </c>
      <c r="C40" s="225"/>
      <c r="D40" s="135">
        <v>8.88</v>
      </c>
      <c r="E40" s="160">
        <v>9.27</v>
      </c>
      <c r="F40" s="39">
        <v>8.57</v>
      </c>
      <c r="G40" s="54">
        <v>8.78</v>
      </c>
      <c r="H40" s="172">
        <v>8.45</v>
      </c>
      <c r="I40" s="216">
        <v>9.73</v>
      </c>
      <c r="J40" s="43">
        <v>7.98</v>
      </c>
      <c r="K40" s="163" t="s">
        <v>25</v>
      </c>
      <c r="L40" s="45" t="s">
        <v>26</v>
      </c>
      <c r="M40" s="228" t="s">
        <v>26</v>
      </c>
      <c r="N40" s="47">
        <f t="shared" si="1"/>
        <v>8.8</v>
      </c>
      <c r="O40" s="165" t="s">
        <v>27</v>
      </c>
      <c r="P40" s="227" t="s">
        <v>28</v>
      </c>
      <c r="Q40" s="213"/>
    </row>
    <row r="41" ht="14.25" customHeight="1">
      <c r="A41" s="169">
        <v>35.0</v>
      </c>
      <c r="B41" s="225" t="s">
        <v>306</v>
      </c>
      <c r="C41" s="225"/>
      <c r="D41" s="135">
        <v>9.44</v>
      </c>
      <c r="E41" s="160">
        <v>9.35</v>
      </c>
      <c r="F41" s="39">
        <v>8.2</v>
      </c>
      <c r="G41" s="54">
        <v>9.34</v>
      </c>
      <c r="H41" s="172">
        <v>8.44</v>
      </c>
      <c r="I41" s="216">
        <v>9.94</v>
      </c>
      <c r="J41" s="43">
        <v>9.61</v>
      </c>
      <c r="K41" s="163" t="s">
        <v>25</v>
      </c>
      <c r="L41" s="45" t="s">
        <v>26</v>
      </c>
      <c r="M41" s="228" t="s">
        <v>26</v>
      </c>
      <c r="N41" s="47">
        <f t="shared" si="1"/>
        <v>9.18</v>
      </c>
      <c r="O41" s="165" t="s">
        <v>27</v>
      </c>
      <c r="P41" s="227" t="s">
        <v>28</v>
      </c>
      <c r="Q41" s="213"/>
    </row>
    <row r="42" ht="15.0" customHeight="1">
      <c r="A42" s="169">
        <v>36.0</v>
      </c>
      <c r="B42" s="225" t="s">
        <v>307</v>
      </c>
      <c r="C42" s="225"/>
      <c r="D42" s="135">
        <v>9.18</v>
      </c>
      <c r="E42" s="160">
        <v>8.92</v>
      </c>
      <c r="F42" s="39">
        <v>8.2</v>
      </c>
      <c r="G42" s="54">
        <v>8.95</v>
      </c>
      <c r="H42" s="172">
        <v>8.34</v>
      </c>
      <c r="I42" s="216">
        <v>9.79</v>
      </c>
      <c r="J42" s="43">
        <v>9.28</v>
      </c>
      <c r="K42" s="163" t="s">
        <v>52</v>
      </c>
      <c r="L42" s="45" t="s">
        <v>26</v>
      </c>
      <c r="M42" s="228" t="s">
        <v>25</v>
      </c>
      <c r="N42" s="47">
        <f t="shared" si="1"/>
        <v>8.95</v>
      </c>
      <c r="O42" s="165" t="s">
        <v>27</v>
      </c>
      <c r="P42" s="227" t="s">
        <v>28</v>
      </c>
      <c r="Q42" s="213"/>
    </row>
    <row r="43" ht="15.0" customHeight="1">
      <c r="A43" s="169">
        <v>37.0</v>
      </c>
      <c r="B43" s="225" t="s">
        <v>308</v>
      </c>
      <c r="C43" s="225"/>
      <c r="D43" s="135">
        <v>9.13</v>
      </c>
      <c r="E43" s="160">
        <v>9.51</v>
      </c>
      <c r="F43" s="39">
        <v>9.46</v>
      </c>
      <c r="G43" s="54">
        <v>9.94</v>
      </c>
      <c r="H43" s="172">
        <v>9.12</v>
      </c>
      <c r="I43" s="216">
        <v>10.0</v>
      </c>
      <c r="J43" s="43">
        <v>9.92</v>
      </c>
      <c r="K43" s="163" t="s">
        <v>25</v>
      </c>
      <c r="L43" s="45" t="s">
        <v>26</v>
      </c>
      <c r="M43" s="228" t="s">
        <v>26</v>
      </c>
      <c r="N43" s="47">
        <f t="shared" si="1"/>
        <v>9.58</v>
      </c>
      <c r="O43" s="165" t="s">
        <v>27</v>
      </c>
      <c r="P43" s="227" t="s">
        <v>28</v>
      </c>
      <c r="Q43" s="213"/>
    </row>
    <row r="44" ht="15.0" customHeight="1">
      <c r="A44" s="169">
        <v>38.0</v>
      </c>
      <c r="B44" s="225" t="s">
        <v>309</v>
      </c>
      <c r="C44" s="225"/>
      <c r="D44" s="135">
        <v>8.46</v>
      </c>
      <c r="E44" s="160">
        <v>8.02</v>
      </c>
      <c r="F44" s="39">
        <v>7.76</v>
      </c>
      <c r="G44" s="54">
        <v>8.72</v>
      </c>
      <c r="H44" s="172">
        <v>7.45</v>
      </c>
      <c r="I44" s="216">
        <v>9.43</v>
      </c>
      <c r="J44" s="43">
        <v>8.89</v>
      </c>
      <c r="K44" s="163" t="s">
        <v>33</v>
      </c>
      <c r="L44" s="45" t="s">
        <v>26</v>
      </c>
      <c r="M44" s="228" t="s">
        <v>25</v>
      </c>
      <c r="N44" s="47">
        <f t="shared" si="1"/>
        <v>8.39</v>
      </c>
      <c r="O44" s="165" t="s">
        <v>27</v>
      </c>
      <c r="P44" s="227" t="s">
        <v>28</v>
      </c>
      <c r="Q44" s="213"/>
    </row>
    <row r="45" ht="14.25" customHeight="1">
      <c r="B45" s="99" t="s">
        <v>78</v>
      </c>
      <c r="C45" s="17"/>
      <c r="D45" s="231">
        <f t="shared" ref="D45:J45" si="2">AVERAGE(D8:D44)</f>
        <v>8.678648649</v>
      </c>
      <c r="E45" s="232">
        <f t="shared" si="2"/>
        <v>8.231081081</v>
      </c>
      <c r="F45" s="233">
        <f t="shared" si="2"/>
        <v>7.928648649</v>
      </c>
      <c r="G45" s="234">
        <f t="shared" si="2"/>
        <v>8.667837838</v>
      </c>
      <c r="H45" s="235">
        <f t="shared" si="2"/>
        <v>7.887567568</v>
      </c>
      <c r="I45" s="236">
        <f t="shared" si="2"/>
        <v>9.236486486</v>
      </c>
      <c r="J45" s="237">
        <f t="shared" si="2"/>
        <v>8.713513514</v>
      </c>
      <c r="K45" s="238"/>
      <c r="L45" s="238"/>
      <c r="M45" s="238"/>
      <c r="N45" s="239">
        <f>AVERAGE(N8:N44)</f>
        <v>8.473243243</v>
      </c>
      <c r="O45" s="240"/>
      <c r="P45" s="241"/>
    </row>
    <row r="46" ht="14.25" customHeight="1"/>
    <row r="47" ht="14.25" customHeight="1"/>
    <row r="48" ht="14.25" customHeight="1">
      <c r="B48" s="100" t="s">
        <v>79</v>
      </c>
      <c r="C48" s="17"/>
      <c r="D48" s="222" t="s">
        <v>80</v>
      </c>
      <c r="E48" s="102"/>
      <c r="F48" s="102"/>
      <c r="G48" s="103"/>
      <c r="H48" s="223"/>
      <c r="I48" s="222" t="s">
        <v>310</v>
      </c>
      <c r="J48" s="102"/>
      <c r="K48" s="102"/>
      <c r="L48" s="102"/>
      <c r="M48" s="102"/>
      <c r="N48" s="103"/>
    </row>
    <row r="49" ht="14.25" customHeight="1">
      <c r="B49" s="100" t="s">
        <v>82</v>
      </c>
      <c r="C49" s="17"/>
      <c r="D49" s="222" t="s">
        <v>83</v>
      </c>
      <c r="E49" s="102"/>
      <c r="F49" s="102"/>
      <c r="G49" s="103"/>
      <c r="H49" s="223"/>
      <c r="I49" s="222" t="s">
        <v>84</v>
      </c>
      <c r="J49" s="102"/>
      <c r="K49" s="102"/>
      <c r="L49" s="10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1">
    <mergeCell ref="A1:P1"/>
    <mergeCell ref="A2:P2"/>
    <mergeCell ref="C3:E3"/>
    <mergeCell ref="I3:J3"/>
    <mergeCell ref="K3:N3"/>
    <mergeCell ref="I4:J4"/>
    <mergeCell ref="B5:P5"/>
    <mergeCell ref="B45:C45"/>
    <mergeCell ref="B48:C48"/>
    <mergeCell ref="D48:G48"/>
    <mergeCell ref="I48:N48"/>
    <mergeCell ref="B49:C49"/>
    <mergeCell ref="D49:G49"/>
    <mergeCell ref="I49:L49"/>
    <mergeCell ref="B6:C6"/>
    <mergeCell ref="B10:C10"/>
    <mergeCell ref="B18:C18"/>
    <mergeCell ref="B20:C20"/>
    <mergeCell ref="B23:C23"/>
    <mergeCell ref="B34:C34"/>
    <mergeCell ref="B36:C36"/>
  </mergeCells>
  <conditionalFormatting sqref="D7:J45 N45">
    <cfRule type="cellIs" dxfId="0" priority="1" operator="lessThan">
      <formula>7</formula>
    </cfRule>
  </conditionalFormatting>
  <conditionalFormatting sqref="D7:J45 N45">
    <cfRule type="cellIs" dxfId="0" priority="2" operator="lessThan">
      <formula>6.29</formula>
    </cfRule>
  </conditionalFormatting>
  <conditionalFormatting sqref="N7:N44">
    <cfRule type="cellIs" dxfId="1" priority="3" operator="lessThan">
      <formula>7</formula>
    </cfRule>
  </conditionalFormatting>
  <dataValidations>
    <dataValidation type="list" allowBlank="1" showErrorMessage="1" sqref="K3">
      <formula1>"MATUTINA,VESPERTINA"</formula1>
    </dataValidation>
    <dataValidation type="list" allowBlank="1" showErrorMessage="1" sqref="C4">
      <formula1>"QUINTO A,QUINTO B,SEXTO A,SEXTO B,SÉPTIMO A,SÉPTIMO B,OCTAVO A,OCTAVO B,NOVENO A,NOVENO B,DÉCIMO A,DÉCIMO B"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43"/>
    <col customWidth="1" min="3" max="3" width="13.71"/>
    <col customWidth="1" min="4" max="13" width="6.29"/>
    <col customWidth="1" min="14" max="14" width="8.14"/>
    <col customWidth="1" min="15" max="15" width="7.57"/>
    <col customWidth="1" min="16" max="16" width="11.86"/>
    <col customWidth="1" min="17" max="17" width="19.29"/>
    <col customWidth="1" min="18" max="18" width="7.0"/>
  </cols>
  <sheetData>
    <row r="1" ht="72.75" customHeight="1">
      <c r="A1" s="1" t="s">
        <v>311</v>
      </c>
    </row>
    <row r="2" ht="14.25" customHeight="1">
      <c r="A2" s="2"/>
      <c r="B2" s="3" t="s">
        <v>1</v>
      </c>
    </row>
    <row r="3" ht="14.25" customHeight="1">
      <c r="B3" s="4" t="s">
        <v>312</v>
      </c>
      <c r="C3" s="5"/>
      <c r="F3" s="6"/>
      <c r="G3" s="6"/>
      <c r="H3" s="6"/>
      <c r="I3" s="7" t="s">
        <v>3</v>
      </c>
      <c r="K3" s="8" t="s">
        <v>4</v>
      </c>
    </row>
    <row r="4" ht="14.25" customHeight="1">
      <c r="B4" s="9" t="s">
        <v>5</v>
      </c>
      <c r="C4" s="10" t="s">
        <v>313</v>
      </c>
      <c r="E4" s="6"/>
      <c r="F4" s="6"/>
      <c r="G4" s="6"/>
      <c r="H4" s="6"/>
      <c r="I4" s="7"/>
      <c r="K4" s="12"/>
      <c r="M4" s="6"/>
    </row>
    <row r="5" ht="14.25" customHeight="1">
      <c r="B5" s="15" t="s">
        <v>7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7"/>
    </row>
    <row r="6" ht="157.5" customHeight="1">
      <c r="A6" s="155" t="s">
        <v>8</v>
      </c>
      <c r="B6" s="19" t="s">
        <v>9</v>
      </c>
      <c r="C6" s="20"/>
      <c r="D6" s="21" t="s">
        <v>10</v>
      </c>
      <c r="E6" s="22" t="s">
        <v>11</v>
      </c>
      <c r="F6" s="23" t="s">
        <v>12</v>
      </c>
      <c r="G6" s="24" t="s">
        <v>13</v>
      </c>
      <c r="H6" s="25" t="s">
        <v>14</v>
      </c>
      <c r="I6" s="26" t="s">
        <v>15</v>
      </c>
      <c r="J6" s="27" t="s">
        <v>16</v>
      </c>
      <c r="K6" s="28" t="s">
        <v>17</v>
      </c>
      <c r="L6" s="29" t="s">
        <v>18</v>
      </c>
      <c r="M6" s="30" t="s">
        <v>19</v>
      </c>
      <c r="N6" s="31" t="s">
        <v>20</v>
      </c>
      <c r="O6" s="32" t="s">
        <v>21</v>
      </c>
      <c r="P6" s="33" t="s">
        <v>22</v>
      </c>
      <c r="R6" s="242"/>
    </row>
    <row r="7" ht="14.25" customHeight="1">
      <c r="A7" s="75">
        <v>1.0</v>
      </c>
      <c r="B7" s="243" t="s">
        <v>314</v>
      </c>
      <c r="C7" s="69"/>
      <c r="D7" s="135">
        <v>9.46</v>
      </c>
      <c r="E7" s="160">
        <v>9.43</v>
      </c>
      <c r="F7" s="39">
        <v>8.98</v>
      </c>
      <c r="G7" s="40">
        <v>9.67</v>
      </c>
      <c r="H7" s="166">
        <v>8.95</v>
      </c>
      <c r="I7" s="209">
        <v>9.67</v>
      </c>
      <c r="J7" s="43">
        <v>9.93</v>
      </c>
      <c r="K7" s="244" t="s">
        <v>25</v>
      </c>
      <c r="L7" s="245" t="s">
        <v>25</v>
      </c>
      <c r="M7" s="226" t="s">
        <v>26</v>
      </c>
      <c r="N7" s="47">
        <f t="shared" ref="N7:N45" si="1">TRUNC(AVERAGE(D7:J7),2)</f>
        <v>9.44</v>
      </c>
      <c r="O7" s="117" t="s">
        <v>27</v>
      </c>
      <c r="P7" s="227" t="s">
        <v>28</v>
      </c>
    </row>
    <row r="8" ht="15.0" customHeight="1">
      <c r="A8" s="75">
        <v>2.0</v>
      </c>
      <c r="B8" s="243" t="s">
        <v>315</v>
      </c>
      <c r="C8" s="69"/>
      <c r="D8" s="135">
        <v>9.28</v>
      </c>
      <c r="E8" s="160">
        <v>9.26</v>
      </c>
      <c r="F8" s="39">
        <v>9.34</v>
      </c>
      <c r="G8" s="54">
        <v>9.94</v>
      </c>
      <c r="H8" s="166">
        <v>9.45</v>
      </c>
      <c r="I8" s="216">
        <v>9.9</v>
      </c>
      <c r="J8" s="43">
        <v>9.95</v>
      </c>
      <c r="K8" s="244" t="s">
        <v>26</v>
      </c>
      <c r="L8" s="245" t="s">
        <v>26</v>
      </c>
      <c r="M8" s="228" t="s">
        <v>25</v>
      </c>
      <c r="N8" s="47">
        <f t="shared" si="1"/>
        <v>9.58</v>
      </c>
      <c r="O8" s="117" t="s">
        <v>27</v>
      </c>
      <c r="P8" s="227" t="s">
        <v>28</v>
      </c>
      <c r="Q8" s="56" t="s">
        <v>30</v>
      </c>
      <c r="R8" s="57">
        <f>LARGE(N7:N45,1)</f>
        <v>9.91</v>
      </c>
      <c r="S8" s="58" t="s">
        <v>36</v>
      </c>
    </row>
    <row r="9" ht="15.0" customHeight="1">
      <c r="A9" s="75">
        <v>3.0</v>
      </c>
      <c r="B9" s="243" t="s">
        <v>316</v>
      </c>
      <c r="C9" s="69"/>
      <c r="D9" s="135">
        <v>8.47</v>
      </c>
      <c r="E9" s="160">
        <v>8.32</v>
      </c>
      <c r="F9" s="39">
        <v>7.04</v>
      </c>
      <c r="G9" s="54">
        <v>8.1</v>
      </c>
      <c r="H9" s="166">
        <v>7.44</v>
      </c>
      <c r="I9" s="216">
        <v>9.1</v>
      </c>
      <c r="J9" s="43">
        <v>9.32</v>
      </c>
      <c r="K9" s="244" t="s">
        <v>25</v>
      </c>
      <c r="L9" s="245" t="s">
        <v>52</v>
      </c>
      <c r="M9" s="228" t="s">
        <v>52</v>
      </c>
      <c r="N9" s="47">
        <f t="shared" si="1"/>
        <v>8.25</v>
      </c>
      <c r="O9" s="117" t="s">
        <v>27</v>
      </c>
      <c r="P9" s="227" t="s">
        <v>28</v>
      </c>
      <c r="Q9" s="56" t="s">
        <v>35</v>
      </c>
      <c r="R9" s="59">
        <f>LARGE(N7:N45,2)</f>
        <v>9.87</v>
      </c>
      <c r="S9" s="58" t="s">
        <v>317</v>
      </c>
    </row>
    <row r="10" ht="15.0" customHeight="1">
      <c r="A10" s="75">
        <v>4.0</v>
      </c>
      <c r="B10" s="243" t="s">
        <v>318</v>
      </c>
      <c r="C10" s="69"/>
      <c r="D10" s="135">
        <v>9.73</v>
      </c>
      <c r="E10" s="160">
        <v>9.86</v>
      </c>
      <c r="F10" s="39">
        <v>9.52</v>
      </c>
      <c r="G10" s="54">
        <v>10.0</v>
      </c>
      <c r="H10" s="166">
        <v>9.72</v>
      </c>
      <c r="I10" s="216">
        <v>9.97</v>
      </c>
      <c r="J10" s="43">
        <v>9.95</v>
      </c>
      <c r="K10" s="244" t="s">
        <v>26</v>
      </c>
      <c r="L10" s="245" t="s">
        <v>26</v>
      </c>
      <c r="M10" s="228" t="s">
        <v>26</v>
      </c>
      <c r="N10" s="47">
        <f t="shared" si="1"/>
        <v>9.82</v>
      </c>
      <c r="O10" s="117" t="s">
        <v>27</v>
      </c>
      <c r="P10" s="227" t="s">
        <v>28</v>
      </c>
      <c r="Q10" s="56" t="s">
        <v>38</v>
      </c>
      <c r="R10" s="59">
        <f>LARGE(N7:N45,3)</f>
        <v>9.84</v>
      </c>
      <c r="S10" s="58" t="s">
        <v>319</v>
      </c>
    </row>
    <row r="11" ht="15.0" customHeight="1">
      <c r="A11" s="75">
        <v>5.0</v>
      </c>
      <c r="B11" s="246" t="s">
        <v>320</v>
      </c>
      <c r="C11" s="36"/>
      <c r="D11" s="135">
        <v>9.51</v>
      </c>
      <c r="E11" s="160">
        <v>9.32</v>
      </c>
      <c r="F11" s="39">
        <v>8.69</v>
      </c>
      <c r="G11" s="54">
        <v>9.53</v>
      </c>
      <c r="H11" s="166">
        <v>8.31</v>
      </c>
      <c r="I11" s="216">
        <v>9.47</v>
      </c>
      <c r="J11" s="43">
        <v>9.73</v>
      </c>
      <c r="K11" s="244" t="s">
        <v>25</v>
      </c>
      <c r="L11" s="245" t="s">
        <v>25</v>
      </c>
      <c r="M11" s="228" t="s">
        <v>25</v>
      </c>
      <c r="N11" s="47">
        <f t="shared" si="1"/>
        <v>9.22</v>
      </c>
      <c r="O11" s="117" t="s">
        <v>27</v>
      </c>
      <c r="P11" s="227" t="s">
        <v>28</v>
      </c>
    </row>
    <row r="12" ht="15.0" customHeight="1">
      <c r="A12" s="75">
        <v>6.0</v>
      </c>
      <c r="B12" s="243" t="s">
        <v>321</v>
      </c>
      <c r="C12" s="69"/>
      <c r="D12" s="135">
        <v>8.33</v>
      </c>
      <c r="E12" s="160">
        <v>8.27</v>
      </c>
      <c r="F12" s="39">
        <v>7.33</v>
      </c>
      <c r="G12" s="54">
        <v>8.11</v>
      </c>
      <c r="H12" s="166">
        <v>7.3</v>
      </c>
      <c r="I12" s="216">
        <v>9.03</v>
      </c>
      <c r="J12" s="43">
        <v>9.44</v>
      </c>
      <c r="K12" s="244" t="s">
        <v>52</v>
      </c>
      <c r="L12" s="245" t="s">
        <v>52</v>
      </c>
      <c r="M12" s="228" t="s">
        <v>25</v>
      </c>
      <c r="N12" s="47">
        <f t="shared" si="1"/>
        <v>8.25</v>
      </c>
      <c r="O12" s="117" t="s">
        <v>27</v>
      </c>
      <c r="P12" s="227" t="s">
        <v>28</v>
      </c>
    </row>
    <row r="13" ht="15.0" customHeight="1">
      <c r="A13" s="75">
        <v>7.0</v>
      </c>
      <c r="B13" s="243" t="s">
        <v>322</v>
      </c>
      <c r="C13" s="69"/>
      <c r="D13" s="135">
        <v>9.8</v>
      </c>
      <c r="E13" s="160">
        <v>9.33</v>
      </c>
      <c r="F13" s="39">
        <v>9.01</v>
      </c>
      <c r="G13" s="54">
        <v>9.82</v>
      </c>
      <c r="H13" s="166">
        <v>9.6</v>
      </c>
      <c r="I13" s="216">
        <v>10.0</v>
      </c>
      <c r="J13" s="43">
        <v>9.9</v>
      </c>
      <c r="K13" s="244" t="s">
        <v>26</v>
      </c>
      <c r="L13" s="245" t="s">
        <v>26</v>
      </c>
      <c r="M13" s="228" t="s">
        <v>26</v>
      </c>
      <c r="N13" s="47">
        <f t="shared" si="1"/>
        <v>9.63</v>
      </c>
      <c r="O13" s="117" t="s">
        <v>27</v>
      </c>
      <c r="P13" s="227" t="s">
        <v>28</v>
      </c>
    </row>
    <row r="14" ht="15.0" customHeight="1">
      <c r="A14" s="75">
        <v>8.0</v>
      </c>
      <c r="B14" s="243" t="s">
        <v>323</v>
      </c>
      <c r="C14" s="69"/>
      <c r="D14" s="135">
        <v>9.05</v>
      </c>
      <c r="E14" s="160">
        <v>9.44</v>
      </c>
      <c r="F14" s="39">
        <v>9.15</v>
      </c>
      <c r="G14" s="54">
        <v>9.77</v>
      </c>
      <c r="H14" s="166">
        <v>8.64</v>
      </c>
      <c r="I14" s="216">
        <v>9.87</v>
      </c>
      <c r="J14" s="43">
        <v>9.88</v>
      </c>
      <c r="K14" s="244" t="s">
        <v>26</v>
      </c>
      <c r="L14" s="245" t="s">
        <v>26</v>
      </c>
      <c r="M14" s="228" t="s">
        <v>26</v>
      </c>
      <c r="N14" s="47">
        <f t="shared" si="1"/>
        <v>9.4</v>
      </c>
      <c r="O14" s="117" t="s">
        <v>27</v>
      </c>
      <c r="P14" s="227" t="s">
        <v>28</v>
      </c>
    </row>
    <row r="15" ht="15.0" customHeight="1">
      <c r="A15" s="75">
        <v>9.0</v>
      </c>
      <c r="B15" s="243" t="s">
        <v>324</v>
      </c>
      <c r="C15" s="69"/>
      <c r="D15" s="135">
        <v>9.71</v>
      </c>
      <c r="E15" s="160">
        <v>9.78</v>
      </c>
      <c r="F15" s="39">
        <v>9.47</v>
      </c>
      <c r="G15" s="54">
        <v>9.93</v>
      </c>
      <c r="H15" s="166">
        <v>9.66</v>
      </c>
      <c r="I15" s="216">
        <v>9.88</v>
      </c>
      <c r="J15" s="43">
        <v>9.86</v>
      </c>
      <c r="K15" s="244" t="s">
        <v>26</v>
      </c>
      <c r="L15" s="245" t="s">
        <v>26</v>
      </c>
      <c r="M15" s="228" t="s">
        <v>26</v>
      </c>
      <c r="N15" s="47">
        <f t="shared" si="1"/>
        <v>9.75</v>
      </c>
      <c r="O15" s="117" t="s">
        <v>27</v>
      </c>
      <c r="P15" s="227" t="s">
        <v>28</v>
      </c>
    </row>
    <row r="16" ht="15.0" customHeight="1">
      <c r="A16" s="75">
        <v>10.0</v>
      </c>
      <c r="B16" s="243" t="s">
        <v>325</v>
      </c>
      <c r="C16" s="69"/>
      <c r="D16" s="135">
        <v>8.73</v>
      </c>
      <c r="E16" s="160">
        <v>8.95</v>
      </c>
      <c r="F16" s="39">
        <v>8.54</v>
      </c>
      <c r="G16" s="54">
        <v>9.22</v>
      </c>
      <c r="H16" s="166">
        <v>8.3</v>
      </c>
      <c r="I16" s="216">
        <v>9.42</v>
      </c>
      <c r="J16" s="43">
        <v>9.58</v>
      </c>
      <c r="K16" s="244" t="s">
        <v>26</v>
      </c>
      <c r="L16" s="245" t="s">
        <v>26</v>
      </c>
      <c r="M16" s="228" t="s">
        <v>25</v>
      </c>
      <c r="N16" s="47">
        <f t="shared" si="1"/>
        <v>8.96</v>
      </c>
      <c r="O16" s="117" t="s">
        <v>27</v>
      </c>
      <c r="P16" s="227" t="s">
        <v>28</v>
      </c>
    </row>
    <row r="17" ht="15.0" customHeight="1">
      <c r="A17" s="75">
        <v>11.0</v>
      </c>
      <c r="B17" s="243" t="s">
        <v>326</v>
      </c>
      <c r="C17" s="69"/>
      <c r="D17" s="135">
        <v>8.66</v>
      </c>
      <c r="E17" s="160">
        <v>8.03</v>
      </c>
      <c r="F17" s="39">
        <v>7.56</v>
      </c>
      <c r="G17" s="54">
        <v>8.23</v>
      </c>
      <c r="H17" s="161">
        <v>7.42</v>
      </c>
      <c r="I17" s="216">
        <v>8.38</v>
      </c>
      <c r="J17" s="43">
        <v>8.59</v>
      </c>
      <c r="K17" s="244" t="s">
        <v>25</v>
      </c>
      <c r="L17" s="245" t="s">
        <v>25</v>
      </c>
      <c r="M17" s="228" t="s">
        <v>52</v>
      </c>
      <c r="N17" s="47">
        <f t="shared" si="1"/>
        <v>8.12</v>
      </c>
      <c r="O17" s="117" t="s">
        <v>27</v>
      </c>
      <c r="P17" s="227" t="s">
        <v>28</v>
      </c>
    </row>
    <row r="18" ht="15.0" customHeight="1">
      <c r="A18" s="75">
        <v>12.0</v>
      </c>
      <c r="B18" s="246" t="s">
        <v>327</v>
      </c>
      <c r="C18" s="36"/>
      <c r="D18" s="135">
        <v>9.2</v>
      </c>
      <c r="E18" s="160">
        <v>9.29</v>
      </c>
      <c r="F18" s="39">
        <v>8.65</v>
      </c>
      <c r="G18" s="54">
        <v>9.34</v>
      </c>
      <c r="H18" s="166">
        <v>8.4</v>
      </c>
      <c r="I18" s="216">
        <v>9.71</v>
      </c>
      <c r="J18" s="43">
        <v>9.57</v>
      </c>
      <c r="K18" s="244" t="s">
        <v>26</v>
      </c>
      <c r="L18" s="245" t="s">
        <v>26</v>
      </c>
      <c r="M18" s="228" t="s">
        <v>26</v>
      </c>
      <c r="N18" s="47">
        <f t="shared" si="1"/>
        <v>9.16</v>
      </c>
      <c r="O18" s="117" t="s">
        <v>27</v>
      </c>
      <c r="P18" s="227" t="s">
        <v>28</v>
      </c>
    </row>
    <row r="19" ht="15.0" customHeight="1">
      <c r="A19" s="75">
        <v>13.0</v>
      </c>
      <c r="B19" s="243" t="s">
        <v>328</v>
      </c>
      <c r="C19" s="69"/>
      <c r="D19" s="135">
        <v>9.79</v>
      </c>
      <c r="E19" s="160">
        <v>9.8</v>
      </c>
      <c r="F19" s="39">
        <v>9.79</v>
      </c>
      <c r="G19" s="54">
        <v>10.0</v>
      </c>
      <c r="H19" s="166">
        <v>9.84</v>
      </c>
      <c r="I19" s="216">
        <v>10.0</v>
      </c>
      <c r="J19" s="43">
        <v>9.93</v>
      </c>
      <c r="K19" s="244" t="s">
        <v>26</v>
      </c>
      <c r="L19" s="245" t="s">
        <v>26</v>
      </c>
      <c r="M19" s="228" t="s">
        <v>26</v>
      </c>
      <c r="N19" s="47">
        <f t="shared" si="1"/>
        <v>9.87</v>
      </c>
      <c r="O19" s="117" t="s">
        <v>27</v>
      </c>
      <c r="P19" s="227" t="s">
        <v>28</v>
      </c>
    </row>
    <row r="20" ht="15.0" customHeight="1">
      <c r="A20" s="75">
        <v>14.0</v>
      </c>
      <c r="B20" s="246" t="s">
        <v>329</v>
      </c>
      <c r="C20" s="36"/>
      <c r="D20" s="135">
        <v>9.09</v>
      </c>
      <c r="E20" s="160">
        <v>9.45</v>
      </c>
      <c r="F20" s="39">
        <v>8.67</v>
      </c>
      <c r="G20" s="54">
        <v>9.37</v>
      </c>
      <c r="H20" s="166">
        <v>8.57</v>
      </c>
      <c r="I20" s="216">
        <v>9.96</v>
      </c>
      <c r="J20" s="43">
        <v>9.43</v>
      </c>
      <c r="K20" s="244" t="s">
        <v>26</v>
      </c>
      <c r="L20" s="245" t="s">
        <v>52</v>
      </c>
      <c r="M20" s="228" t="s">
        <v>52</v>
      </c>
      <c r="N20" s="47">
        <f t="shared" si="1"/>
        <v>9.22</v>
      </c>
      <c r="O20" s="117" t="s">
        <v>27</v>
      </c>
      <c r="P20" s="227" t="s">
        <v>28</v>
      </c>
    </row>
    <row r="21" ht="15.0" customHeight="1">
      <c r="A21" s="75">
        <v>15.0</v>
      </c>
      <c r="B21" s="246" t="s">
        <v>330</v>
      </c>
      <c r="C21" s="36"/>
      <c r="D21" s="135">
        <v>8.93</v>
      </c>
      <c r="E21" s="160">
        <v>8.49</v>
      </c>
      <c r="F21" s="39">
        <v>8.09</v>
      </c>
      <c r="G21" s="54">
        <v>8.87</v>
      </c>
      <c r="H21" s="166">
        <v>8.51</v>
      </c>
      <c r="I21" s="216">
        <v>9.59</v>
      </c>
      <c r="J21" s="43">
        <v>9.54</v>
      </c>
      <c r="K21" s="244" t="s">
        <v>25</v>
      </c>
      <c r="L21" s="245" t="s">
        <v>25</v>
      </c>
      <c r="M21" s="228" t="s">
        <v>25</v>
      </c>
      <c r="N21" s="47">
        <f t="shared" si="1"/>
        <v>8.86</v>
      </c>
      <c r="O21" s="117" t="s">
        <v>27</v>
      </c>
      <c r="P21" s="227" t="s">
        <v>28</v>
      </c>
    </row>
    <row r="22" ht="15.0" customHeight="1">
      <c r="A22" s="75">
        <v>16.0</v>
      </c>
      <c r="B22" s="243" t="s">
        <v>331</v>
      </c>
      <c r="C22" s="69"/>
      <c r="D22" s="135">
        <v>9.74</v>
      </c>
      <c r="E22" s="160">
        <v>9.83</v>
      </c>
      <c r="F22" s="39">
        <v>9.61</v>
      </c>
      <c r="G22" s="54">
        <v>9.84</v>
      </c>
      <c r="H22" s="166">
        <v>9.43</v>
      </c>
      <c r="I22" s="216">
        <v>9.96</v>
      </c>
      <c r="J22" s="43">
        <v>9.76</v>
      </c>
      <c r="K22" s="244" t="s">
        <v>26</v>
      </c>
      <c r="L22" s="245" t="s">
        <v>26</v>
      </c>
      <c r="M22" s="228" t="s">
        <v>26</v>
      </c>
      <c r="N22" s="47">
        <f t="shared" si="1"/>
        <v>9.73</v>
      </c>
      <c r="O22" s="117" t="s">
        <v>27</v>
      </c>
      <c r="P22" s="227" t="s">
        <v>28</v>
      </c>
    </row>
    <row r="23" ht="15.0" customHeight="1">
      <c r="A23" s="75">
        <v>17.0</v>
      </c>
      <c r="B23" s="243" t="s">
        <v>332</v>
      </c>
      <c r="C23" s="69"/>
      <c r="D23" s="135">
        <v>8.99</v>
      </c>
      <c r="E23" s="160">
        <v>8.49</v>
      </c>
      <c r="F23" s="39">
        <v>7.64</v>
      </c>
      <c r="G23" s="54">
        <v>8.88</v>
      </c>
      <c r="H23" s="166">
        <v>8.45</v>
      </c>
      <c r="I23" s="216">
        <v>9.95</v>
      </c>
      <c r="J23" s="43">
        <v>9.87</v>
      </c>
      <c r="K23" s="244" t="s">
        <v>26</v>
      </c>
      <c r="L23" s="245" t="s">
        <v>26</v>
      </c>
      <c r="M23" s="228" t="s">
        <v>25</v>
      </c>
      <c r="N23" s="47">
        <f t="shared" si="1"/>
        <v>8.89</v>
      </c>
      <c r="O23" s="117" t="s">
        <v>27</v>
      </c>
      <c r="P23" s="227" t="s">
        <v>28</v>
      </c>
    </row>
    <row r="24" ht="15.0" customHeight="1">
      <c r="A24" s="75">
        <v>18.0</v>
      </c>
      <c r="B24" s="243" t="s">
        <v>333</v>
      </c>
      <c r="C24" s="69"/>
      <c r="D24" s="135">
        <v>9.6</v>
      </c>
      <c r="E24" s="160">
        <v>9.76</v>
      </c>
      <c r="F24" s="39">
        <v>9.3</v>
      </c>
      <c r="G24" s="54">
        <v>9.8</v>
      </c>
      <c r="H24" s="166">
        <v>9.3</v>
      </c>
      <c r="I24" s="216">
        <v>10.0</v>
      </c>
      <c r="J24" s="43">
        <v>9.9</v>
      </c>
      <c r="K24" s="244" t="s">
        <v>26</v>
      </c>
      <c r="L24" s="245" t="s">
        <v>26</v>
      </c>
      <c r="M24" s="228" t="s">
        <v>25</v>
      </c>
      <c r="N24" s="47">
        <f t="shared" si="1"/>
        <v>9.66</v>
      </c>
      <c r="O24" s="117" t="s">
        <v>27</v>
      </c>
      <c r="P24" s="227" t="s">
        <v>28</v>
      </c>
    </row>
    <row r="25" ht="15.0" customHeight="1">
      <c r="A25" s="75">
        <v>19.0</v>
      </c>
      <c r="B25" s="247" t="s">
        <v>334</v>
      </c>
      <c r="C25" s="36"/>
      <c r="D25" s="135">
        <v>8.24</v>
      </c>
      <c r="E25" s="160">
        <v>8.18</v>
      </c>
      <c r="F25" s="39">
        <v>7.44</v>
      </c>
      <c r="G25" s="54">
        <v>8.52</v>
      </c>
      <c r="H25" s="166">
        <v>7.83</v>
      </c>
      <c r="I25" s="216">
        <v>9.51</v>
      </c>
      <c r="J25" s="43">
        <v>9.28</v>
      </c>
      <c r="K25" s="244" t="s">
        <v>52</v>
      </c>
      <c r="L25" s="245" t="s">
        <v>52</v>
      </c>
      <c r="M25" s="228" t="s">
        <v>52</v>
      </c>
      <c r="N25" s="47">
        <f t="shared" si="1"/>
        <v>8.42</v>
      </c>
      <c r="O25" s="117" t="s">
        <v>27</v>
      </c>
      <c r="P25" s="227" t="s">
        <v>28</v>
      </c>
    </row>
    <row r="26" ht="15.0" customHeight="1">
      <c r="A26" s="75">
        <v>20.0</v>
      </c>
      <c r="B26" s="243" t="s">
        <v>335</v>
      </c>
      <c r="C26" s="69"/>
      <c r="D26" s="135">
        <v>7.89</v>
      </c>
      <c r="E26" s="160">
        <v>8.05</v>
      </c>
      <c r="F26" s="39">
        <v>7.35</v>
      </c>
      <c r="G26" s="54">
        <v>8.33</v>
      </c>
      <c r="H26" s="166">
        <v>7.01</v>
      </c>
      <c r="I26" s="216">
        <v>8.64</v>
      </c>
      <c r="J26" s="43">
        <v>8.54</v>
      </c>
      <c r="K26" s="244" t="s">
        <v>25</v>
      </c>
      <c r="L26" s="245" t="s">
        <v>25</v>
      </c>
      <c r="M26" s="228" t="s">
        <v>52</v>
      </c>
      <c r="N26" s="47">
        <f t="shared" si="1"/>
        <v>7.97</v>
      </c>
      <c r="O26" s="117" t="s">
        <v>27</v>
      </c>
      <c r="P26" s="227" t="s">
        <v>28</v>
      </c>
    </row>
    <row r="27" ht="15.0" customHeight="1">
      <c r="A27" s="75">
        <v>21.0</v>
      </c>
      <c r="B27" s="243" t="s">
        <v>336</v>
      </c>
      <c r="C27" s="69"/>
      <c r="D27" s="135">
        <v>7.58</v>
      </c>
      <c r="E27" s="160">
        <v>7.03</v>
      </c>
      <c r="F27" s="39">
        <v>7.06</v>
      </c>
      <c r="G27" s="54">
        <v>7.37</v>
      </c>
      <c r="H27" s="166">
        <v>7.1</v>
      </c>
      <c r="I27" s="216">
        <v>8.12</v>
      </c>
      <c r="J27" s="43">
        <v>8.85</v>
      </c>
      <c r="K27" s="244" t="s">
        <v>52</v>
      </c>
      <c r="L27" s="245" t="s">
        <v>52</v>
      </c>
      <c r="M27" s="228" t="s">
        <v>52</v>
      </c>
      <c r="N27" s="47">
        <f t="shared" si="1"/>
        <v>7.58</v>
      </c>
      <c r="O27" s="117" t="s">
        <v>27</v>
      </c>
      <c r="P27" s="227" t="s">
        <v>28</v>
      </c>
    </row>
    <row r="28" ht="18.0" customHeight="1">
      <c r="A28" s="75">
        <v>22.0</v>
      </c>
      <c r="B28" s="243" t="s">
        <v>337</v>
      </c>
      <c r="C28" s="69"/>
      <c r="D28" s="135">
        <v>9.1</v>
      </c>
      <c r="E28" s="160">
        <v>8.77</v>
      </c>
      <c r="F28" s="39">
        <v>8.98</v>
      </c>
      <c r="G28" s="54">
        <v>9.62</v>
      </c>
      <c r="H28" s="166">
        <v>7.81</v>
      </c>
      <c r="I28" s="216">
        <v>9.93</v>
      </c>
      <c r="J28" s="43">
        <v>9.68</v>
      </c>
      <c r="K28" s="244" t="s">
        <v>26</v>
      </c>
      <c r="L28" s="245" t="s">
        <v>25</v>
      </c>
      <c r="M28" s="228" t="s">
        <v>25</v>
      </c>
      <c r="N28" s="47">
        <f t="shared" si="1"/>
        <v>9.12</v>
      </c>
      <c r="O28" s="117" t="s">
        <v>27</v>
      </c>
      <c r="P28" s="227" t="s">
        <v>28</v>
      </c>
    </row>
    <row r="29" ht="15.0" customHeight="1">
      <c r="A29" s="75">
        <v>23.0</v>
      </c>
      <c r="B29" s="243" t="s">
        <v>338</v>
      </c>
      <c r="C29" s="69"/>
      <c r="D29" s="135">
        <v>9.04</v>
      </c>
      <c r="E29" s="160">
        <v>8.05</v>
      </c>
      <c r="F29" s="39">
        <v>8.83</v>
      </c>
      <c r="G29" s="54">
        <v>9.06</v>
      </c>
      <c r="H29" s="166">
        <v>7.89</v>
      </c>
      <c r="I29" s="216">
        <v>9.47</v>
      </c>
      <c r="J29" s="43">
        <v>9.41</v>
      </c>
      <c r="K29" s="244" t="s">
        <v>26</v>
      </c>
      <c r="L29" s="245" t="s">
        <v>25</v>
      </c>
      <c r="M29" s="228" t="s">
        <v>25</v>
      </c>
      <c r="N29" s="47">
        <f t="shared" si="1"/>
        <v>8.82</v>
      </c>
      <c r="O29" s="117" t="s">
        <v>27</v>
      </c>
      <c r="P29" s="227" t="s">
        <v>28</v>
      </c>
    </row>
    <row r="30" ht="18.0" customHeight="1">
      <c r="A30" s="75">
        <v>24.0</v>
      </c>
      <c r="B30" s="246" t="s">
        <v>339</v>
      </c>
      <c r="C30" s="36"/>
      <c r="D30" s="135">
        <v>9.42</v>
      </c>
      <c r="E30" s="160">
        <v>9.51</v>
      </c>
      <c r="F30" s="39">
        <v>8.9</v>
      </c>
      <c r="G30" s="54">
        <v>9.55</v>
      </c>
      <c r="H30" s="166">
        <v>8.61</v>
      </c>
      <c r="I30" s="216">
        <v>9.7</v>
      </c>
      <c r="J30" s="43">
        <v>9.69</v>
      </c>
      <c r="K30" s="244" t="s">
        <v>25</v>
      </c>
      <c r="L30" s="245" t="s">
        <v>25</v>
      </c>
      <c r="M30" s="228" t="s">
        <v>25</v>
      </c>
      <c r="N30" s="47">
        <f t="shared" si="1"/>
        <v>9.34</v>
      </c>
      <c r="O30" s="117" t="s">
        <v>27</v>
      </c>
      <c r="P30" s="227" t="s">
        <v>28</v>
      </c>
    </row>
    <row r="31" ht="15.0" customHeight="1">
      <c r="A31" s="75">
        <v>25.0</v>
      </c>
      <c r="B31" s="243" t="s">
        <v>340</v>
      </c>
      <c r="C31" s="69"/>
      <c r="D31" s="135">
        <v>8.59</v>
      </c>
      <c r="E31" s="160">
        <v>8.64</v>
      </c>
      <c r="F31" s="39">
        <v>7.3</v>
      </c>
      <c r="G31" s="54">
        <v>8.6</v>
      </c>
      <c r="H31" s="166">
        <v>7.76</v>
      </c>
      <c r="I31" s="216">
        <v>8.81</v>
      </c>
      <c r="J31" s="43">
        <v>9.02</v>
      </c>
      <c r="K31" s="244" t="s">
        <v>52</v>
      </c>
      <c r="L31" s="245" t="s">
        <v>52</v>
      </c>
      <c r="M31" s="228" t="s">
        <v>25</v>
      </c>
      <c r="N31" s="47">
        <f t="shared" si="1"/>
        <v>8.38</v>
      </c>
      <c r="O31" s="117" t="s">
        <v>27</v>
      </c>
      <c r="P31" s="227" t="s">
        <v>28</v>
      </c>
    </row>
    <row r="32" ht="15.0" customHeight="1">
      <c r="A32" s="75">
        <v>26.0</v>
      </c>
      <c r="B32" s="243" t="s">
        <v>341</v>
      </c>
      <c r="C32" s="69"/>
      <c r="D32" s="135">
        <v>9.8</v>
      </c>
      <c r="E32" s="160">
        <v>9.98</v>
      </c>
      <c r="F32" s="39">
        <v>9.67</v>
      </c>
      <c r="G32" s="54">
        <v>10.0</v>
      </c>
      <c r="H32" s="166">
        <v>9.96</v>
      </c>
      <c r="I32" s="216">
        <v>10.0</v>
      </c>
      <c r="J32" s="43">
        <v>10.0</v>
      </c>
      <c r="K32" s="244" t="s">
        <v>26</v>
      </c>
      <c r="L32" s="245" t="s">
        <v>26</v>
      </c>
      <c r="M32" s="228" t="s">
        <v>26</v>
      </c>
      <c r="N32" s="47">
        <f t="shared" si="1"/>
        <v>9.91</v>
      </c>
      <c r="O32" s="117" t="s">
        <v>27</v>
      </c>
      <c r="P32" s="227" t="s">
        <v>28</v>
      </c>
    </row>
    <row r="33" ht="15.0" customHeight="1">
      <c r="A33" s="75">
        <v>27.0</v>
      </c>
      <c r="B33" s="243" t="s">
        <v>342</v>
      </c>
      <c r="C33" s="69"/>
      <c r="D33" s="135">
        <v>7.58</v>
      </c>
      <c r="E33" s="160">
        <v>7.22</v>
      </c>
      <c r="F33" s="39">
        <v>7.09</v>
      </c>
      <c r="G33" s="54">
        <v>7.14</v>
      </c>
      <c r="H33" s="166">
        <v>7.13</v>
      </c>
      <c r="I33" s="216">
        <v>8.17</v>
      </c>
      <c r="J33" s="43">
        <v>8.31</v>
      </c>
      <c r="K33" s="244" t="s">
        <v>52</v>
      </c>
      <c r="L33" s="245" t="s">
        <v>52</v>
      </c>
      <c r="M33" s="228" t="s">
        <v>52</v>
      </c>
      <c r="N33" s="47">
        <f t="shared" si="1"/>
        <v>7.52</v>
      </c>
      <c r="O33" s="117" t="s">
        <v>27</v>
      </c>
      <c r="P33" s="227" t="s">
        <v>28</v>
      </c>
    </row>
    <row r="34" ht="15.0" customHeight="1">
      <c r="A34" s="75">
        <v>28.0</v>
      </c>
      <c r="B34" s="243" t="s">
        <v>343</v>
      </c>
      <c r="C34" s="69"/>
      <c r="D34" s="135">
        <v>7.51</v>
      </c>
      <c r="E34" s="160">
        <v>7.34</v>
      </c>
      <c r="F34" s="39">
        <v>7.26</v>
      </c>
      <c r="G34" s="54">
        <v>8.1</v>
      </c>
      <c r="H34" s="166">
        <v>7.12</v>
      </c>
      <c r="I34" s="216">
        <v>8.33</v>
      </c>
      <c r="J34" s="43">
        <v>8.84</v>
      </c>
      <c r="K34" s="244" t="s">
        <v>52</v>
      </c>
      <c r="L34" s="245" t="s">
        <v>52</v>
      </c>
      <c r="M34" s="228" t="s">
        <v>52</v>
      </c>
      <c r="N34" s="47">
        <f t="shared" si="1"/>
        <v>7.78</v>
      </c>
      <c r="O34" s="117" t="s">
        <v>27</v>
      </c>
      <c r="P34" s="227" t="s">
        <v>28</v>
      </c>
    </row>
    <row r="35" ht="15.0" customHeight="1">
      <c r="A35" s="75">
        <v>29.0</v>
      </c>
      <c r="B35" s="243" t="s">
        <v>344</v>
      </c>
      <c r="C35" s="69"/>
      <c r="D35" s="135">
        <v>7.94</v>
      </c>
      <c r="E35" s="160">
        <v>7.65</v>
      </c>
      <c r="F35" s="39">
        <v>7.01</v>
      </c>
      <c r="G35" s="54">
        <v>7.0</v>
      </c>
      <c r="H35" s="166">
        <v>7.0</v>
      </c>
      <c r="I35" s="216">
        <v>7.79</v>
      </c>
      <c r="J35" s="43">
        <v>8.28</v>
      </c>
      <c r="K35" s="244" t="s">
        <v>52</v>
      </c>
      <c r="L35" s="245" t="s">
        <v>52</v>
      </c>
      <c r="M35" s="228" t="s">
        <v>52</v>
      </c>
      <c r="N35" s="47">
        <f t="shared" si="1"/>
        <v>7.52</v>
      </c>
      <c r="O35" s="117" t="s">
        <v>27</v>
      </c>
      <c r="P35" s="227" t="s">
        <v>28</v>
      </c>
    </row>
    <row r="36" ht="15.0" customHeight="1">
      <c r="A36" s="75">
        <v>30.0</v>
      </c>
      <c r="B36" s="246" t="s">
        <v>345</v>
      </c>
      <c r="C36" s="36"/>
      <c r="D36" s="135">
        <v>9.32</v>
      </c>
      <c r="E36" s="160">
        <v>9.14</v>
      </c>
      <c r="F36" s="39">
        <v>8.76</v>
      </c>
      <c r="G36" s="54">
        <v>8.97</v>
      </c>
      <c r="H36" s="166">
        <v>8.59</v>
      </c>
      <c r="I36" s="216">
        <v>9.32</v>
      </c>
      <c r="J36" s="43">
        <v>9.18</v>
      </c>
      <c r="K36" s="244" t="s">
        <v>26</v>
      </c>
      <c r="L36" s="245" t="s">
        <v>26</v>
      </c>
      <c r="M36" s="228" t="s">
        <v>25</v>
      </c>
      <c r="N36" s="47">
        <f t="shared" si="1"/>
        <v>9.04</v>
      </c>
      <c r="O36" s="117" t="s">
        <v>27</v>
      </c>
      <c r="P36" s="227" t="s">
        <v>28</v>
      </c>
    </row>
    <row r="37" ht="15.0" customHeight="1">
      <c r="A37" s="75">
        <v>31.0</v>
      </c>
      <c r="B37" s="246" t="s">
        <v>346</v>
      </c>
      <c r="C37" s="36"/>
      <c r="D37" s="135">
        <v>8.66</v>
      </c>
      <c r="E37" s="160">
        <v>8.14</v>
      </c>
      <c r="F37" s="39">
        <v>8.14</v>
      </c>
      <c r="G37" s="54">
        <v>9.15</v>
      </c>
      <c r="H37" s="166">
        <v>7.88</v>
      </c>
      <c r="I37" s="216">
        <v>9.92</v>
      </c>
      <c r="J37" s="43">
        <v>9.86</v>
      </c>
      <c r="K37" s="244" t="s">
        <v>26</v>
      </c>
      <c r="L37" s="245" t="s">
        <v>26</v>
      </c>
      <c r="M37" s="228" t="s">
        <v>26</v>
      </c>
      <c r="N37" s="47">
        <f t="shared" si="1"/>
        <v>8.82</v>
      </c>
      <c r="O37" s="117" t="s">
        <v>27</v>
      </c>
      <c r="P37" s="227" t="s">
        <v>28</v>
      </c>
    </row>
    <row r="38" ht="15.0" customHeight="1">
      <c r="A38" s="75">
        <v>32.0</v>
      </c>
      <c r="B38" s="246" t="s">
        <v>347</v>
      </c>
      <c r="C38" s="36"/>
      <c r="D38" s="135">
        <v>9.38</v>
      </c>
      <c r="E38" s="160">
        <v>9.31</v>
      </c>
      <c r="F38" s="39">
        <v>8.88</v>
      </c>
      <c r="G38" s="54">
        <v>9.72</v>
      </c>
      <c r="H38" s="166">
        <v>8.99</v>
      </c>
      <c r="I38" s="216">
        <v>9.11</v>
      </c>
      <c r="J38" s="43">
        <v>9.81</v>
      </c>
      <c r="K38" s="244" t="s">
        <v>26</v>
      </c>
      <c r="L38" s="245" t="s">
        <v>26</v>
      </c>
      <c r="M38" s="228" t="s">
        <v>26</v>
      </c>
      <c r="N38" s="47">
        <f t="shared" si="1"/>
        <v>9.31</v>
      </c>
      <c r="O38" s="117" t="s">
        <v>27</v>
      </c>
      <c r="P38" s="227" t="s">
        <v>28</v>
      </c>
    </row>
    <row r="39" ht="15.0" customHeight="1">
      <c r="A39" s="75">
        <v>33.0</v>
      </c>
      <c r="B39" s="246" t="s">
        <v>348</v>
      </c>
      <c r="C39" s="36"/>
      <c r="D39" s="135">
        <v>8.08</v>
      </c>
      <c r="E39" s="160">
        <v>7.01</v>
      </c>
      <c r="F39" s="39">
        <v>7.0</v>
      </c>
      <c r="G39" s="54">
        <v>7.34</v>
      </c>
      <c r="H39" s="166">
        <v>7.0</v>
      </c>
      <c r="I39" s="216">
        <v>8.14</v>
      </c>
      <c r="J39" s="43">
        <v>8.22</v>
      </c>
      <c r="K39" s="244" t="s">
        <v>52</v>
      </c>
      <c r="L39" s="245" t="s">
        <v>52</v>
      </c>
      <c r="M39" s="228" t="s">
        <v>52</v>
      </c>
      <c r="N39" s="47">
        <f t="shared" si="1"/>
        <v>7.54</v>
      </c>
      <c r="O39" s="117" t="s">
        <v>27</v>
      </c>
      <c r="P39" s="227" t="s">
        <v>28</v>
      </c>
    </row>
    <row r="40" ht="18.0" customHeight="1">
      <c r="A40" s="75">
        <v>34.0</v>
      </c>
      <c r="B40" s="246" t="s">
        <v>349</v>
      </c>
      <c r="C40" s="36"/>
      <c r="D40" s="135">
        <v>8.23</v>
      </c>
      <c r="E40" s="160">
        <v>7.02</v>
      </c>
      <c r="F40" s="39">
        <v>7.18</v>
      </c>
      <c r="G40" s="54">
        <v>7.43</v>
      </c>
      <c r="H40" s="166">
        <v>7.0</v>
      </c>
      <c r="I40" s="216">
        <v>8.81</v>
      </c>
      <c r="J40" s="43">
        <v>7.59</v>
      </c>
      <c r="K40" s="244" t="s">
        <v>52</v>
      </c>
      <c r="L40" s="245" t="s">
        <v>52</v>
      </c>
      <c r="M40" s="228" t="s">
        <v>25</v>
      </c>
      <c r="N40" s="47">
        <f t="shared" si="1"/>
        <v>7.6</v>
      </c>
      <c r="O40" s="117" t="s">
        <v>27</v>
      </c>
      <c r="P40" s="227" t="s">
        <v>28</v>
      </c>
    </row>
    <row r="41" ht="15.0" customHeight="1">
      <c r="A41" s="75">
        <v>35.0</v>
      </c>
      <c r="B41" s="243" t="s">
        <v>350</v>
      </c>
      <c r="C41" s="69"/>
      <c r="D41" s="135">
        <v>9.66</v>
      </c>
      <c r="E41" s="160">
        <v>9.43</v>
      </c>
      <c r="F41" s="39">
        <v>8.93</v>
      </c>
      <c r="G41" s="54">
        <v>9.66</v>
      </c>
      <c r="H41" s="166">
        <v>9.14</v>
      </c>
      <c r="I41" s="216">
        <v>9.8</v>
      </c>
      <c r="J41" s="43">
        <v>9.89</v>
      </c>
      <c r="K41" s="244" t="s">
        <v>25</v>
      </c>
      <c r="L41" s="245" t="s">
        <v>25</v>
      </c>
      <c r="M41" s="228" t="s">
        <v>25</v>
      </c>
      <c r="N41" s="47">
        <f t="shared" si="1"/>
        <v>9.5</v>
      </c>
      <c r="O41" s="117" t="s">
        <v>27</v>
      </c>
      <c r="P41" s="227" t="s">
        <v>28</v>
      </c>
    </row>
    <row r="42" ht="14.25" customHeight="1">
      <c r="A42" s="75">
        <v>36.0</v>
      </c>
      <c r="B42" s="243" t="s">
        <v>351</v>
      </c>
      <c r="C42" s="248"/>
      <c r="D42" s="135">
        <v>8.79</v>
      </c>
      <c r="E42" s="160">
        <v>7.93</v>
      </c>
      <c r="F42" s="39">
        <v>8.08</v>
      </c>
      <c r="G42" s="54">
        <v>8.24</v>
      </c>
      <c r="H42" s="166">
        <v>7.35</v>
      </c>
      <c r="I42" s="216">
        <v>8.84</v>
      </c>
      <c r="J42" s="43">
        <v>9.21</v>
      </c>
      <c r="K42" s="244" t="s">
        <v>25</v>
      </c>
      <c r="L42" s="245" t="s">
        <v>25</v>
      </c>
      <c r="M42" s="228" t="s">
        <v>26</v>
      </c>
      <c r="N42" s="47">
        <f t="shared" si="1"/>
        <v>8.34</v>
      </c>
      <c r="O42" s="117" t="s">
        <v>27</v>
      </c>
      <c r="P42" s="227" t="s">
        <v>28</v>
      </c>
    </row>
    <row r="43" ht="14.25" customHeight="1">
      <c r="A43" s="75">
        <v>37.0</v>
      </c>
      <c r="B43" s="243" t="s">
        <v>352</v>
      </c>
      <c r="C43" s="248"/>
      <c r="D43" s="135">
        <v>9.67</v>
      </c>
      <c r="E43" s="160">
        <v>9.77</v>
      </c>
      <c r="F43" s="39">
        <v>9.68</v>
      </c>
      <c r="G43" s="54">
        <v>10.0</v>
      </c>
      <c r="H43" s="166">
        <v>9.89</v>
      </c>
      <c r="I43" s="216">
        <v>10.0</v>
      </c>
      <c r="J43" s="43">
        <v>9.91</v>
      </c>
      <c r="K43" s="244" t="s">
        <v>26</v>
      </c>
      <c r="L43" s="245" t="s">
        <v>26</v>
      </c>
      <c r="M43" s="228" t="s">
        <v>26</v>
      </c>
      <c r="N43" s="47">
        <f t="shared" si="1"/>
        <v>9.84</v>
      </c>
      <c r="O43" s="117" t="s">
        <v>27</v>
      </c>
      <c r="P43" s="227" t="s">
        <v>28</v>
      </c>
    </row>
    <row r="44" ht="14.25" customHeight="1">
      <c r="A44" s="75">
        <v>38.0</v>
      </c>
      <c r="B44" s="246" t="s">
        <v>353</v>
      </c>
      <c r="C44" s="36"/>
      <c r="D44" s="135">
        <v>8.89</v>
      </c>
      <c r="E44" s="160">
        <v>8.66</v>
      </c>
      <c r="F44" s="39">
        <v>7.57</v>
      </c>
      <c r="G44" s="54">
        <v>8.36</v>
      </c>
      <c r="H44" s="166">
        <v>8.18</v>
      </c>
      <c r="I44" s="216">
        <v>8.99</v>
      </c>
      <c r="J44" s="43">
        <v>9.63</v>
      </c>
      <c r="K44" s="244" t="s">
        <v>25</v>
      </c>
      <c r="L44" s="245" t="s">
        <v>25</v>
      </c>
      <c r="M44" s="228" t="s">
        <v>26</v>
      </c>
      <c r="N44" s="47">
        <f t="shared" si="1"/>
        <v>8.61</v>
      </c>
      <c r="O44" s="117" t="s">
        <v>27</v>
      </c>
      <c r="P44" s="227" t="s">
        <v>28</v>
      </c>
    </row>
    <row r="45" ht="14.25" customHeight="1">
      <c r="A45" s="217">
        <v>39.0</v>
      </c>
      <c r="B45" s="243" t="s">
        <v>354</v>
      </c>
      <c r="D45" s="135">
        <v>8.78</v>
      </c>
      <c r="E45" s="160">
        <v>7.64</v>
      </c>
      <c r="F45" s="39">
        <v>7.99</v>
      </c>
      <c r="G45" s="54">
        <v>9.4</v>
      </c>
      <c r="H45" s="166">
        <v>7.76</v>
      </c>
      <c r="I45" s="216">
        <v>9.59</v>
      </c>
      <c r="J45" s="43">
        <v>9.48</v>
      </c>
      <c r="K45" s="244" t="s">
        <v>26</v>
      </c>
      <c r="L45" s="245" t="s">
        <v>25</v>
      </c>
      <c r="M45" s="228" t="s">
        <v>26</v>
      </c>
      <c r="N45" s="47">
        <f t="shared" si="1"/>
        <v>8.66</v>
      </c>
      <c r="O45" s="117" t="s">
        <v>27</v>
      </c>
      <c r="P45" s="227" t="s">
        <v>28</v>
      </c>
    </row>
    <row r="46" ht="14.25" customHeight="1">
      <c r="B46" s="11" t="s">
        <v>78</v>
      </c>
      <c r="D46" s="79">
        <f t="shared" ref="D46:J46" si="2">AVERAGE(D8:D45)</f>
        <v>8.914736842</v>
      </c>
      <c r="E46" s="80">
        <f t="shared" si="2"/>
        <v>8.687894737</v>
      </c>
      <c r="F46" s="81">
        <f t="shared" si="2"/>
        <v>8.328947368</v>
      </c>
      <c r="G46" s="82">
        <f t="shared" si="2"/>
        <v>8.955526316</v>
      </c>
      <c r="H46" s="83">
        <f t="shared" si="2"/>
        <v>8.298421053</v>
      </c>
      <c r="I46" s="180">
        <f t="shared" si="2"/>
        <v>9.346842105</v>
      </c>
      <c r="J46" s="82">
        <f t="shared" si="2"/>
        <v>9.391578947</v>
      </c>
      <c r="K46" s="249"/>
      <c r="L46" s="250"/>
      <c r="M46" s="251"/>
      <c r="N46" s="47">
        <f>AVERAGE(N8:N45)</f>
        <v>8.841842105</v>
      </c>
    </row>
    <row r="47" ht="14.25" customHeight="1"/>
    <row r="48" ht="14.25" customHeight="1"/>
    <row r="49" ht="14.25" customHeight="1">
      <c r="B49" s="100" t="s">
        <v>79</v>
      </c>
      <c r="C49" s="17"/>
      <c r="D49" s="222" t="s">
        <v>80</v>
      </c>
      <c r="E49" s="102"/>
      <c r="F49" s="102"/>
      <c r="G49" s="103"/>
      <c r="H49" s="223"/>
      <c r="I49" s="252" t="s">
        <v>355</v>
      </c>
      <c r="J49" s="102"/>
      <c r="K49" s="102"/>
      <c r="L49" s="102"/>
      <c r="M49" s="103"/>
    </row>
    <row r="50" ht="14.25" customHeight="1">
      <c r="B50" s="100" t="s">
        <v>82</v>
      </c>
      <c r="C50" s="17"/>
      <c r="D50" s="222" t="s">
        <v>83</v>
      </c>
      <c r="E50" s="102"/>
      <c r="F50" s="102"/>
      <c r="G50" s="103"/>
      <c r="H50" s="223"/>
      <c r="I50" s="222" t="s">
        <v>84</v>
      </c>
      <c r="J50" s="102"/>
      <c r="K50" s="102"/>
      <c r="L50" s="103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5">
    <mergeCell ref="A1:P1"/>
    <mergeCell ref="B2:P2"/>
    <mergeCell ref="C3:E3"/>
    <mergeCell ref="I3:J3"/>
    <mergeCell ref="K3:N3"/>
    <mergeCell ref="I4:J4"/>
    <mergeCell ref="B5:P5"/>
    <mergeCell ref="B11:C11"/>
    <mergeCell ref="B18:C18"/>
    <mergeCell ref="B20:C20"/>
    <mergeCell ref="B21:C21"/>
    <mergeCell ref="B25:C25"/>
    <mergeCell ref="B30:C30"/>
    <mergeCell ref="B36:C36"/>
    <mergeCell ref="B49:C49"/>
    <mergeCell ref="B50:C50"/>
    <mergeCell ref="D50:G50"/>
    <mergeCell ref="I50:L50"/>
    <mergeCell ref="B37:C37"/>
    <mergeCell ref="B38:C38"/>
    <mergeCell ref="B39:C39"/>
    <mergeCell ref="B40:C40"/>
    <mergeCell ref="B44:C44"/>
    <mergeCell ref="D49:G49"/>
    <mergeCell ref="I49:M49"/>
  </mergeCells>
  <conditionalFormatting sqref="D7:J45">
    <cfRule type="cellIs" dxfId="0" priority="1" operator="lessThan">
      <formula>7</formula>
    </cfRule>
  </conditionalFormatting>
  <conditionalFormatting sqref="D7:J45">
    <cfRule type="cellIs" dxfId="0" priority="2" operator="lessThan">
      <formula>6.29</formula>
    </cfRule>
  </conditionalFormatting>
  <conditionalFormatting sqref="N7:N45">
    <cfRule type="cellIs" dxfId="1" priority="3" operator="lessThan">
      <formula>7</formula>
    </cfRule>
  </conditionalFormatting>
  <dataValidations>
    <dataValidation type="list" allowBlank="1" showErrorMessage="1" sqref="K3">
      <formula1>"MATUTINA,VESPERTINA"</formula1>
    </dataValidation>
    <dataValidation type="list" allowBlank="1" showErrorMessage="1" sqref="C4">
      <formula1>"QUINTO A,QUINTO B,SEXTO A,SEXTO B,SÉPTIMO A,SÉPTIMO B,OCTAVO A,OCTAVO B,NOVENO A,NOVENO B,DÉCIMO A,DÉCIMO B"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80.71"/>
    <col customWidth="1" min="4" max="6" width="10.71"/>
  </cols>
  <sheetData>
    <row r="1" ht="14.25" customHeight="1"/>
    <row r="2" ht="14.25" customHeight="1">
      <c r="B2" s="12" t="s">
        <v>27</v>
      </c>
      <c r="C2" s="12" t="s">
        <v>356</v>
      </c>
    </row>
    <row r="3" ht="14.25" customHeight="1">
      <c r="B3" s="12" t="s">
        <v>34</v>
      </c>
      <c r="C3" s="12" t="s">
        <v>357</v>
      </c>
    </row>
    <row r="4" ht="14.25" customHeight="1">
      <c r="B4" s="12" t="s">
        <v>69</v>
      </c>
      <c r="C4" s="12" t="s">
        <v>358</v>
      </c>
    </row>
    <row r="5" ht="14.25" customHeight="1">
      <c r="B5" s="12" t="s">
        <v>138</v>
      </c>
      <c r="C5" s="12" t="s">
        <v>359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84.29"/>
    <col customWidth="1" min="6" max="6" width="10.71"/>
  </cols>
  <sheetData>
    <row r="1" ht="14.25" customHeight="1"/>
    <row r="2" ht="14.25" customHeight="1"/>
    <row r="3" ht="14.25" customHeight="1"/>
    <row r="4" ht="14.25" customHeight="1">
      <c r="D4" s="213" t="s">
        <v>26</v>
      </c>
      <c r="E4" s="253" t="s">
        <v>360</v>
      </c>
    </row>
    <row r="5" ht="17.25" customHeight="1">
      <c r="D5" s="213" t="s">
        <v>25</v>
      </c>
      <c r="E5" s="253" t="s">
        <v>361</v>
      </c>
    </row>
    <row r="6" ht="14.25" customHeight="1">
      <c r="D6" s="213" t="s">
        <v>52</v>
      </c>
      <c r="E6" s="12" t="s">
        <v>362</v>
      </c>
    </row>
    <row r="7" ht="30.75" customHeight="1">
      <c r="D7" s="213" t="s">
        <v>33</v>
      </c>
      <c r="E7" s="253" t="s">
        <v>363</v>
      </c>
    </row>
    <row r="8" ht="14.25" customHeight="1">
      <c r="D8" s="12" t="s">
        <v>192</v>
      </c>
      <c r="E8" s="253" t="s">
        <v>364</v>
      </c>
    </row>
    <row r="9" ht="14.25" customHeight="1">
      <c r="D9" s="12" t="s">
        <v>136</v>
      </c>
      <c r="E9" s="253" t="s">
        <v>365</v>
      </c>
    </row>
    <row r="10" ht="14.25" customHeight="1">
      <c r="D10" s="12" t="s">
        <v>366</v>
      </c>
      <c r="E10" s="253" t="s">
        <v>367</v>
      </c>
    </row>
    <row r="11" ht="14.25" customHeight="1">
      <c r="D11" s="12" t="s">
        <v>368</v>
      </c>
      <c r="E11" s="253" t="s">
        <v>369</v>
      </c>
    </row>
    <row r="12" ht="14.25" customHeight="1">
      <c r="D12" s="12" t="s">
        <v>370</v>
      </c>
      <c r="E12" s="253" t="s">
        <v>371</v>
      </c>
    </row>
    <row r="13" ht="14.25" customHeight="1">
      <c r="D13" s="12" t="s">
        <v>372</v>
      </c>
      <c r="E13" s="253" t="s">
        <v>373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