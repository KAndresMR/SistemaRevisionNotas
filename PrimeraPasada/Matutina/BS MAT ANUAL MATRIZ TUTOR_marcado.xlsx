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 DISCREPANCIAS" sheetId="1" state="visible" r:id="rId1"/>
    <sheet name="octavo A" sheetId="2" state="visible" r:id="rId2"/>
    <sheet name="octavo B" sheetId="3" state="visible" r:id="rId3"/>
    <sheet name="noveno A" sheetId="4" state="visible" r:id="rId4"/>
    <sheet name="noveno B" sheetId="5" state="visible" r:id="rId5"/>
    <sheet name="décimo A" sheetId="6" state="visible" r:id="rId6"/>
    <sheet name="décimo B" sheetId="7" state="visible" r:id="rId7"/>
    <sheet name="ESCALA EVALUACION" sheetId="8" state="hidden" r:id="rId8"/>
    <sheet name="Hoja1" sheetId="9" state="hidden" r:id="rId9"/>
  </sheets>
  <definedNames>
    <definedName name="OCTAVO_A_VES">#REF!</definedName>
    <definedName name="MATRIZ_TUTOR_2">#REF!</definedName>
    <definedName name="OCTAVO_B_MATU">#REF!</definedName>
    <definedName name="DÉCIMO_B_MATU">#REF!</definedName>
    <definedName name="ESCALA_CUALITATIVA_SUPERIOR">#REF!</definedName>
    <definedName name="SEPTIMO_A_MATU">#REF!</definedName>
    <definedName name="QUINTO_B_MATU">#REF!</definedName>
    <definedName name="SEXTO_A_MATU">#REF!</definedName>
    <definedName name="SEXTO_B_MATU">#REF!</definedName>
    <definedName name="DESCRIPCION_OV_AL">Hoja1!$D$4:$E$13</definedName>
    <definedName name="QUINTO_B_VES">#REF!</definedName>
    <definedName name="DÉCIMO_B_VES">#REF!</definedName>
    <definedName name="QUINTO_A_MATU">#REF!</definedName>
    <definedName name="NOVENO_A_VES">#REF!</definedName>
    <definedName name="INFORME_2">#REF!</definedName>
    <definedName name="MATRIZ_COMPORTAMENTAL">'ESCALA EVALUACION'!$B$2:$C$11</definedName>
    <definedName name="OCTAVO_B_VES">#REF!</definedName>
    <definedName name="QUINTO_A_VES">#REF!</definedName>
    <definedName name="NOVENO_A_MATU">#REF!</definedName>
    <definedName name="MATRIZ_TUTOR_3">#REF!</definedName>
    <definedName name="CUALITATIVA_ECA">'noveno A'!$AD$6:$AE$15</definedName>
    <definedName name="SEXTO_B_VES">#REF!</definedName>
    <definedName name="DECIMO_A_VES">#REF!</definedName>
    <definedName name="NOVENO_B_VES">#REF!</definedName>
    <definedName name="NOVENO_B_MATU">#REF!</definedName>
    <definedName name="SEPTIMO_A_VES">#REF!</definedName>
    <definedName name="SEPTIMO_B_MATU">#REF!</definedName>
    <definedName name="MATRIZ_TUTOR_1">'décimo B'!$A$7:$O$41</definedName>
    <definedName name="INFORME_DE_PRENDIZAJES_DEL_SEGUNDO_TRIMESTRE">#REF!</definedName>
    <definedName name="SEPTIMO_B_VES">#REF!</definedName>
    <definedName name="SEXTO_A_VES">#REF!</definedName>
    <definedName name="DÉCIMO_A_MATU">#REF!</definedName>
    <definedName name="OCTAVO_A_MATU">#REF!</definedName>
    <definedName name="CAI">#REF!</definedName>
    <definedName name="_xlnm._FilterDatabase" localSheetId="0" hidden="1">'RESUMEN DISCREPANCIAS'!$A$1:$G$105</definedName>
    <definedName name="MATRIZ_TUTOR_1" localSheetId="1">'octavo A'!$A$8:$O$52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"/>
  </numFmts>
  <fonts count="35">
    <font>
      <name val="Calibri"/>
      <color rgb="FF000000"/>
      <sz val="11"/>
      <scheme val="minor"/>
    </font>
    <font>
      <name val="Calibri"/>
      <b val="1"/>
      <color rgb="FF000000"/>
      <sz val="12"/>
    </font>
    <font>
      <name val="Calibri"/>
      <b val="1"/>
      <color rgb="FF000000"/>
      <sz val="10"/>
    </font>
    <font>
      <name val="Calibri"/>
      <color rgb="FF000000"/>
      <sz val="12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z val="11"/>
    </font>
    <font/>
    <font>
      <name val="Calibri"/>
      <b val="1"/>
      <color rgb="FF000000"/>
      <sz val="9"/>
    </font>
    <font>
      <name val="Calibri"/>
      <b val="1"/>
      <color rgb="FF000000"/>
      <sz val="8"/>
    </font>
    <font>
      <name val="SansSerif"/>
      <color rgb="FF000000"/>
      <sz val="10"/>
    </font>
    <font>
      <name val="Calibri"/>
      <color theme="1"/>
      <sz val="9"/>
    </font>
    <font>
      <name val="Calibri"/>
      <color rgb="FF000000"/>
      <sz val="10"/>
    </font>
    <font>
      <name val="Calibri"/>
      <color rgb="FF000066"/>
      <sz val="10"/>
    </font>
    <font>
      <name val="Arial"/>
      <color rgb="FF000000"/>
      <sz val="11"/>
    </font>
    <font>
      <name val="Arial"/>
      <color rgb="FF000000"/>
      <sz val="10"/>
    </font>
    <font>
      <name val="&quot;Aptos Narrow&quot;"/>
      <color rgb="FF000000"/>
      <sz val="11"/>
    </font>
    <font>
      <name val="Calibri"/>
      <color theme="1"/>
      <scheme val="minor"/>
    </font>
    <font>
      <name val="Calibri"/>
      <color theme="1"/>
      <sz val="10"/>
    </font>
    <font>
      <name val="Calibri"/>
      <color rgb="FF000000"/>
      <sz val="9"/>
    </font>
    <font>
      <name val="Calibri"/>
      <color rgb="FFFF0000"/>
      <sz val="10"/>
    </font>
    <font>
      <name val="Arial"/>
      <color rgb="FF000000"/>
      <sz val="8"/>
    </font>
    <font>
      <name val="Arial"/>
      <b val="1"/>
      <color rgb="FF000000"/>
      <sz val="11"/>
    </font>
    <font>
      <name val="Arial"/>
      <b val="1"/>
      <color rgb="FF000000"/>
      <sz val="9"/>
    </font>
    <font>
      <name val="SansSerif"/>
      <color rgb="FF000000"/>
      <sz val="7"/>
    </font>
    <font>
      <name val="Arial"/>
      <b val="1"/>
      <color rgb="FF000000"/>
      <sz val="10"/>
    </font>
    <font>
      <name val="Calibri"/>
      <b val="1"/>
      <color rgb="FF000000"/>
      <sz val="18"/>
    </font>
    <font>
      <name val="Calibri"/>
      <color rgb="FF0000CC"/>
      <sz val="10"/>
    </font>
    <font>
      <name val="Calibri"/>
      <b val="1"/>
      <color rgb="FF000000"/>
      <sz val="14"/>
    </font>
    <font>
      <name val="Arial"/>
      <color rgb="FF000000"/>
      <sz val="12"/>
    </font>
    <font>
      <name val="Arial"/>
      <color theme="1"/>
      <sz val="11"/>
    </font>
    <font>
      <name val="Calibri"/>
      <color theme="1"/>
      <sz val="10"/>
      <scheme val="minor"/>
    </font>
    <font>
      <name val="Calibri"/>
      <color theme="1"/>
      <sz val="8"/>
    </font>
    <font>
      <name val="Calibri"/>
      <b val="1"/>
      <color rgb="FF000066"/>
      <sz val="10"/>
    </font>
    <font>
      <b val="1"/>
      <color rgb="00FFFFFF"/>
    </font>
  </fonts>
  <fills count="32">
    <fill>
      <patternFill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4DCF8"/>
        <bgColor rgb="FF94DCF8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A0FCF3"/>
        <bgColor rgb="FFA0FCF3"/>
      </patternFill>
    </fill>
    <fill>
      <patternFill patternType="solid">
        <fgColor rgb="FFF8FF9D"/>
        <bgColor rgb="FFF8FF9D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99FFCC"/>
        <bgColor rgb="FF99FFCC"/>
      </patternFill>
    </fill>
    <fill>
      <patternFill patternType="solid">
        <fgColor rgb="FFFFC000"/>
        <bgColor rgb="FFFFC000"/>
      </patternFill>
    </fill>
    <fill>
      <patternFill patternType="solid">
        <fgColor rgb="FFFFE599"/>
        <bgColor rgb="FFFFE599"/>
      </patternFill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F4E78"/>
        <bgColor rgb="001F4E78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</fills>
  <borders count="59">
    <border/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/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/>
      <right/>
      <bottom/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top style="hair">
        <color rgb="FF000000"/>
      </top>
    </border>
    <border>
      <right/>
      <top/>
      <bottom style="hair">
        <color rgb="FF000000"/>
      </bottom>
    </border>
    <border>
      <left style="thin">
        <color rgb="FF104861"/>
      </left>
      <top style="thin">
        <color rgb="FF104861"/>
      </top>
      <bottom style="hair">
        <color rgb="FF000000"/>
      </bottom>
    </border>
    <border>
      <right style="thin">
        <color rgb="FF104861"/>
      </right>
      <top style="thin">
        <color rgb="FF104861"/>
      </top>
      <bottom style="hair">
        <color rgb="FF00000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104861"/>
      </left>
      <right style="thin">
        <color rgb="FF104861"/>
      </right>
      <top style="thin">
        <color rgb="FF104861"/>
      </top>
      <bottom style="hair">
        <color rgb="FF000000"/>
      </bottom>
    </border>
    <border>
      <top style="thin">
        <color rgb="FF104861"/>
      </top>
    </border>
    <border>
      <right style="thin">
        <color rgb="FF104861"/>
      </right>
      <top style="thin">
        <color rgb="FF104861"/>
      </top>
    </border>
  </borders>
  <cellStyleXfs count="1">
    <xf numFmtId="0" fontId="0" fillId="0" borderId="0"/>
  </cellStyleXfs>
  <cellXfs count="29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 vertical="bottom" wrapText="1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2" fontId="5" fillId="3" borderId="4" applyAlignment="1" pivotButton="0" quotePrefix="0" xfId="0">
      <alignment vertical="center"/>
    </xf>
    <xf numFmtId="2" fontId="5" fillId="3" borderId="5" applyAlignment="1" pivotButton="0" quotePrefix="0" xfId="0">
      <alignment horizontal="center" vertical="center"/>
    </xf>
    <xf numFmtId="2" fontId="5" fillId="3" borderId="6" applyAlignment="1" pivotButton="0" quotePrefix="0" xfId="0">
      <alignment horizontal="center" vertical="center"/>
    </xf>
    <xf numFmtId="2" fontId="8" fillId="4" borderId="7" applyAlignment="1" pivotButton="0" quotePrefix="0" xfId="0">
      <alignment horizontal="center" vertical="center" textRotation="90"/>
    </xf>
    <xf numFmtId="2" fontId="8" fillId="5" borderId="8" applyAlignment="1" pivotButton="0" quotePrefix="0" xfId="0">
      <alignment horizontal="center" vertical="center" textRotation="90"/>
    </xf>
    <xf numFmtId="2" fontId="8" fillId="6" borderId="9" applyAlignment="1" pivotButton="0" quotePrefix="0" xfId="0">
      <alignment horizontal="center" vertical="center" textRotation="90"/>
    </xf>
    <xf numFmtId="2" fontId="8" fillId="7" borderId="9" applyAlignment="1" pivotButton="0" quotePrefix="0" xfId="0">
      <alignment horizontal="center" vertical="center" textRotation="90"/>
    </xf>
    <xf numFmtId="2" fontId="8" fillId="8" borderId="9" applyAlignment="1" pivotButton="0" quotePrefix="0" xfId="0">
      <alignment horizontal="center" vertical="center" textRotation="90"/>
    </xf>
    <xf numFmtId="2" fontId="8" fillId="9" borderId="9" applyAlignment="1" pivotButton="0" quotePrefix="0" xfId="0">
      <alignment horizontal="center" vertical="center" textRotation="90"/>
    </xf>
    <xf numFmtId="2" fontId="8" fillId="10" borderId="9" applyAlignment="1" pivotButton="0" quotePrefix="0" xfId="0">
      <alignment horizontal="center" vertical="center" textRotation="90"/>
    </xf>
    <xf numFmtId="2" fontId="8" fillId="11" borderId="9" applyAlignment="1" pivotButton="0" quotePrefix="0" xfId="0">
      <alignment horizontal="center" vertical="center" textRotation="90"/>
    </xf>
    <xf numFmtId="2" fontId="8" fillId="12" borderId="9" applyAlignment="1" pivotButton="0" quotePrefix="0" xfId="0">
      <alignment horizontal="center" vertical="center" textRotation="90"/>
    </xf>
    <xf numFmtId="2" fontId="8" fillId="13" borderId="9" applyAlignment="1" pivotButton="0" quotePrefix="0" xfId="0">
      <alignment horizontal="center" vertical="center" textRotation="90"/>
    </xf>
    <xf numFmtId="2" fontId="8" fillId="14" borderId="8" applyAlignment="1" pivotButton="0" quotePrefix="0" xfId="0">
      <alignment horizontal="center" vertical="center" textRotation="90"/>
    </xf>
    <xf numFmtId="2" fontId="8" fillId="15" borderId="10" applyAlignment="1" pivotButton="0" quotePrefix="0" xfId="0">
      <alignment horizontal="center" vertical="center" textRotation="90"/>
    </xf>
    <xf numFmtId="2" fontId="9" fillId="16" borderId="11" applyAlignment="1" pivotButton="0" quotePrefix="0" xfId="0">
      <alignment horizontal="center" vertical="center"/>
    </xf>
    <xf numFmtId="1" fontId="10" fillId="17" borderId="12" applyAlignment="1" pivotButton="0" quotePrefix="0" xfId="0">
      <alignment horizontal="center" vertical="center" wrapText="1"/>
    </xf>
    <xf numFmtId="0" fontId="11" fillId="0" borderId="13" applyAlignment="1" pivotButton="0" quotePrefix="0" xfId="0">
      <alignment vertical="bottom"/>
    </xf>
    <xf numFmtId="0" fontId="7" fillId="0" borderId="14" applyAlignment="1" pivotButton="0" quotePrefix="0" xfId="0">
      <alignment vertical="center"/>
    </xf>
    <xf numFmtId="2" fontId="12" fillId="4" borderId="8" applyAlignment="1" pivotButton="0" quotePrefix="0" xfId="0">
      <alignment horizontal="center" vertical="center"/>
    </xf>
    <xf numFmtId="2" fontId="12" fillId="5" borderId="8" applyAlignment="1" pivotButton="0" quotePrefix="0" xfId="0">
      <alignment horizontal="center" vertical="center"/>
    </xf>
    <xf numFmtId="2" fontId="12" fillId="6" borderId="8" applyAlignment="1" pivotButton="0" quotePrefix="0" xfId="0">
      <alignment horizontal="center" vertical="center"/>
    </xf>
    <xf numFmtId="2" fontId="12" fillId="7" borderId="8" applyAlignment="1" pivotButton="0" quotePrefix="0" xfId="0">
      <alignment horizontal="center" vertical="center"/>
    </xf>
    <xf numFmtId="2" fontId="12" fillId="8" borderId="8" applyAlignment="1" pivotButton="0" quotePrefix="0" xfId="0">
      <alignment horizontal="center" vertical="center"/>
    </xf>
    <xf numFmtId="2" fontId="12" fillId="18" borderId="8" applyAlignment="1" pivotButton="0" quotePrefix="0" xfId="0">
      <alignment horizontal="center" vertical="center"/>
    </xf>
    <xf numFmtId="2" fontId="12" fillId="10" borderId="8" applyAlignment="1" pivotButton="0" quotePrefix="0" xfId="0">
      <alignment horizontal="center" vertical="center"/>
    </xf>
    <xf numFmtId="2" fontId="12" fillId="11" borderId="8" applyAlignment="1" pivotButton="0" quotePrefix="0" xfId="0">
      <alignment horizontal="center" vertical="bottom"/>
    </xf>
    <xf numFmtId="2" fontId="12" fillId="12" borderId="8" applyAlignment="1" pivotButton="0" quotePrefix="0" xfId="0">
      <alignment horizontal="center" vertical="center"/>
    </xf>
    <xf numFmtId="2" fontId="13" fillId="13" borderId="8" applyAlignment="1" pivotButton="0" quotePrefix="0" xfId="0">
      <alignment horizontal="center" vertical="center"/>
    </xf>
    <xf numFmtId="2" fontId="12" fillId="14" borderId="8" applyAlignment="1" pivotButton="0" quotePrefix="0" xfId="0">
      <alignment horizontal="center" vertical="center" wrapText="1"/>
    </xf>
    <xf numFmtId="2" fontId="14" fillId="15" borderId="8" applyAlignment="1" pivotButton="0" quotePrefix="0" xfId="0">
      <alignment horizontal="center" vertical="bottom"/>
    </xf>
    <xf numFmtId="2" fontId="15" fillId="17" borderId="15" applyAlignment="1" pivotButton="0" quotePrefix="0" xfId="0">
      <alignment vertical="center" wrapText="1"/>
    </xf>
    <xf numFmtId="0" fontId="11" fillId="17" borderId="16" applyAlignment="1" pivotButton="0" quotePrefix="0" xfId="0">
      <alignment vertical="bottom"/>
    </xf>
    <xf numFmtId="0" fontId="7" fillId="0" borderId="17" applyAlignment="1" pivotButton="0" quotePrefix="0" xfId="0">
      <alignment vertical="center"/>
    </xf>
    <xf numFmtId="2" fontId="13" fillId="4" borderId="8" applyAlignment="1" pivotButton="0" quotePrefix="0" xfId="0">
      <alignment horizontal="center" vertical="center"/>
    </xf>
    <xf numFmtId="2" fontId="13" fillId="5" borderId="8" applyAlignment="1" pivotButton="0" quotePrefix="0" xfId="0">
      <alignment horizontal="center" vertical="center"/>
    </xf>
    <xf numFmtId="2" fontId="13" fillId="7" borderId="8" applyAlignment="1" pivotButton="0" quotePrefix="0" xfId="0">
      <alignment horizontal="center" vertical="center"/>
    </xf>
    <xf numFmtId="2" fontId="13" fillId="18" borderId="8" applyAlignment="1" pivotButton="0" quotePrefix="0" xfId="0">
      <alignment horizontal="center" vertical="center"/>
    </xf>
    <xf numFmtId="0" fontId="16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bottom"/>
    </xf>
    <xf numFmtId="0" fontId="11" fillId="0" borderId="18" applyAlignment="1" pivotButton="0" quotePrefix="0" xfId="0">
      <alignment vertical="bottom"/>
    </xf>
    <xf numFmtId="0" fontId="7" fillId="0" borderId="19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3" fillId="5" borderId="8" applyAlignment="1" pivotButton="0" quotePrefix="0" xfId="0">
      <alignment horizontal="center" vertical="center"/>
    </xf>
    <xf numFmtId="2" fontId="12" fillId="13" borderId="8" applyAlignment="1" pivotButton="0" quotePrefix="0" xfId="0">
      <alignment horizontal="center" vertical="center"/>
    </xf>
    <xf numFmtId="2" fontId="18" fillId="7" borderId="8" applyAlignment="1" pivotButton="0" quotePrefix="0" xfId="0">
      <alignment horizontal="center" vertical="center"/>
    </xf>
    <xf numFmtId="1" fontId="10" fillId="0" borderId="20" applyAlignment="1" pivotButton="0" quotePrefix="0" xfId="0">
      <alignment horizontal="center" vertical="center" wrapText="1"/>
    </xf>
    <xf numFmtId="2" fontId="12" fillId="19" borderId="8" applyAlignment="1" pivotButton="0" quotePrefix="0" xfId="0">
      <alignment horizontal="center" vertical="center" wrapText="1"/>
    </xf>
    <xf numFmtId="0" fontId="11" fillId="17" borderId="21" applyAlignment="1" pivotButton="0" quotePrefix="0" xfId="0">
      <alignment vertical="bottom"/>
    </xf>
    <xf numFmtId="0" fontId="19" fillId="17" borderId="8" applyAlignment="1" pivotButton="0" quotePrefix="0" xfId="0">
      <alignment horizontal="left" vertical="bottom"/>
    </xf>
    <xf numFmtId="2" fontId="20" fillId="7" borderId="8" applyAlignment="1" pivotButton="0" quotePrefix="0" xfId="0">
      <alignment horizontal="center" vertical="center"/>
    </xf>
    <xf numFmtId="2" fontId="21" fillId="17" borderId="15" applyAlignment="1" pivotButton="0" quotePrefix="0" xfId="0">
      <alignment vertical="center" wrapText="1"/>
    </xf>
    <xf numFmtId="0" fontId="11" fillId="20" borderId="18" applyAlignment="1" pivotButton="0" quotePrefix="0" xfId="0">
      <alignment vertical="bottom"/>
    </xf>
    <xf numFmtId="2" fontId="12" fillId="21" borderId="8" applyAlignment="1" pivotButton="0" quotePrefix="0" xfId="0">
      <alignment horizontal="center" vertical="center" wrapText="1"/>
    </xf>
    <xf numFmtId="1" fontId="10" fillId="17" borderId="22" applyAlignment="1" pivotButton="0" quotePrefix="0" xfId="0">
      <alignment horizontal="center" vertical="center" wrapText="1"/>
    </xf>
    <xf numFmtId="1" fontId="10" fillId="17" borderId="8" applyAlignment="1" pivotButton="0" quotePrefix="0" xfId="0">
      <alignment horizontal="center" vertical="center" wrapText="1"/>
    </xf>
    <xf numFmtId="2" fontId="15" fillId="17" borderId="23" applyAlignment="1" pivotButton="0" quotePrefix="0" xfId="0">
      <alignment vertical="center" wrapText="1"/>
    </xf>
    <xf numFmtId="2" fontId="15" fillId="17" borderId="8" applyAlignment="1" pivotButton="0" quotePrefix="0" xfId="0">
      <alignment vertical="center" wrapText="1"/>
    </xf>
    <xf numFmtId="0" fontId="19" fillId="17" borderId="13" applyAlignment="1" pivotButton="0" quotePrefix="0" xfId="0">
      <alignment horizontal="left" vertical="bottom"/>
    </xf>
    <xf numFmtId="2" fontId="12" fillId="4" borderId="8" applyAlignment="1" pivotButton="0" quotePrefix="0" xfId="0">
      <alignment horizontal="center" vertical="center" wrapText="1"/>
    </xf>
    <xf numFmtId="2" fontId="12" fillId="5" borderId="8" applyAlignment="1" pivotButton="0" quotePrefix="0" xfId="0">
      <alignment horizontal="center" vertical="center" wrapText="1"/>
    </xf>
    <xf numFmtId="2" fontId="12" fillId="6" borderId="8" applyAlignment="1" pivotButton="0" quotePrefix="0" xfId="0">
      <alignment horizontal="center" vertical="center" wrapText="1"/>
    </xf>
    <xf numFmtId="2" fontId="12" fillId="7" borderId="8" applyAlignment="1" pivotButton="0" quotePrefix="0" xfId="0">
      <alignment horizontal="center" vertical="center" wrapText="1"/>
    </xf>
    <xf numFmtId="2" fontId="12" fillId="8" borderId="8" applyAlignment="1" pivotButton="0" quotePrefix="0" xfId="0">
      <alignment horizontal="center" vertical="center" wrapText="1"/>
    </xf>
    <xf numFmtId="2" fontId="12" fillId="18" borderId="8" applyAlignment="1" pivotButton="0" quotePrefix="0" xfId="0">
      <alignment horizontal="center" vertical="center" wrapText="1"/>
    </xf>
    <xf numFmtId="2" fontId="12" fillId="10" borderId="8" applyAlignment="1" pivotButton="0" quotePrefix="0" xfId="0">
      <alignment horizontal="center" vertical="center" wrapText="1"/>
    </xf>
    <xf numFmtId="2" fontId="2" fillId="17" borderId="24" applyAlignment="1" pivotButton="0" quotePrefix="0" xfId="0">
      <alignment horizontal="center" vertical="bottom"/>
    </xf>
    <xf numFmtId="2" fontId="12" fillId="17" borderId="24" applyAlignment="1" pivotButton="0" quotePrefix="0" xfId="0">
      <alignment horizontal="center" vertical="center" wrapText="1"/>
    </xf>
    <xf numFmtId="2" fontId="22" fillId="17" borderId="24" applyAlignment="1" pivotButton="0" quotePrefix="0" xfId="0">
      <alignment horizontal="center" vertical="bottom"/>
    </xf>
    <xf numFmtId="2" fontId="10" fillId="17" borderId="24" applyAlignment="1" pivotButton="0" quotePrefix="0" xfId="0">
      <alignment vertical="center" wrapText="1"/>
    </xf>
    <xf numFmtId="1" fontId="10" fillId="17" borderId="24" applyAlignment="1" pivotButton="0" quotePrefix="0" xfId="0">
      <alignment horizontal="center" vertical="center" wrapText="1"/>
    </xf>
    <xf numFmtId="0" fontId="19" fillId="17" borderId="24" applyAlignment="1" pivotButton="0" quotePrefix="0" xfId="0">
      <alignment horizontal="left" vertical="bottom"/>
    </xf>
    <xf numFmtId="2" fontId="10" fillId="17" borderId="6" applyAlignment="1" pivotButton="0" quotePrefix="0" xfId="0">
      <alignment vertical="center" wrapText="1"/>
    </xf>
    <xf numFmtId="2" fontId="23" fillId="17" borderId="6" applyAlignment="1" pivotButton="0" quotePrefix="0" xfId="0">
      <alignment horizontal="center" vertical="center"/>
    </xf>
    <xf numFmtId="2" fontId="23" fillId="17" borderId="6" applyAlignment="1" pivotButton="0" quotePrefix="0" xfId="0">
      <alignment horizontal="center" vertical="bottom"/>
    </xf>
    <xf numFmtId="2" fontId="10" fillId="17" borderId="6" applyAlignment="1" pivotButton="0" quotePrefix="0" xfId="0">
      <alignment horizontal="center" vertical="center" wrapText="1"/>
    </xf>
    <xf numFmtId="2" fontId="22" fillId="17" borderId="6" applyAlignment="1" pivotButton="0" quotePrefix="0" xfId="0">
      <alignment horizontal="center" vertical="bottom"/>
    </xf>
    <xf numFmtId="2" fontId="15" fillId="17" borderId="6" applyAlignment="1" pivotButton="0" quotePrefix="0" xfId="0">
      <alignment horizontal="center" vertical="center" wrapText="1"/>
    </xf>
    <xf numFmtId="1" fontId="10" fillId="17" borderId="6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bottom"/>
    </xf>
    <xf numFmtId="0" fontId="15" fillId="17" borderId="1" applyAlignment="1" pivotButton="0" quotePrefix="0" xfId="0">
      <alignment horizontal="left" vertical="bottom"/>
    </xf>
    <xf numFmtId="2" fontId="15" fillId="17" borderId="20" applyAlignment="1" pivotButton="0" quotePrefix="0" xfId="0">
      <alignment vertical="center" wrapText="1"/>
    </xf>
    <xf numFmtId="0" fontId="7" fillId="0" borderId="25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2" fontId="10" fillId="17" borderId="4" applyAlignment="1" pivotButton="0" quotePrefix="0" xfId="0">
      <alignment vertical="center" wrapText="1"/>
    </xf>
    <xf numFmtId="0" fontId="5" fillId="17" borderId="6" applyAlignment="1" pivotButton="0" quotePrefix="0" xfId="0">
      <alignment vertical="bottom"/>
    </xf>
    <xf numFmtId="2" fontId="15" fillId="17" borderId="6" applyAlignment="1" pivotButton="0" quotePrefix="0" xfId="0">
      <alignment vertical="center" wrapText="1"/>
    </xf>
    <xf numFmtId="0" fontId="24" fillId="17" borderId="1" applyAlignment="1" pivotButton="0" quotePrefix="0" xfId="0">
      <alignment horizontal="left" vertical="center" wrapText="1"/>
    </xf>
    <xf numFmtId="2" fontId="25" fillId="17" borderId="1" applyAlignment="1" pivotButton="0" quotePrefix="0" xfId="0">
      <alignment horizontal="center" vertical="center" wrapText="1"/>
    </xf>
    <xf numFmtId="2" fontId="5" fillId="3" borderId="26" applyAlignment="1" pivotButton="0" quotePrefix="0" xfId="0">
      <alignment vertical="center"/>
    </xf>
    <xf numFmtId="0" fontId="11" fillId="0" borderId="27" applyAlignment="1" pivotButton="0" quotePrefix="0" xfId="0">
      <alignment vertical="bottom"/>
    </xf>
    <xf numFmtId="0" fontId="11" fillId="0" borderId="28" applyAlignment="1" pivotButton="0" quotePrefix="0" xfId="0">
      <alignment vertical="bottom"/>
    </xf>
    <xf numFmtId="2" fontId="18" fillId="5" borderId="8" applyAlignment="1" pivotButton="0" quotePrefix="0" xfId="0">
      <alignment horizontal="center" vertical="center"/>
    </xf>
    <xf numFmtId="2" fontId="12" fillId="22" borderId="8" applyAlignment="1" pivotButton="0" quotePrefix="0" xfId="0">
      <alignment horizontal="center" vertical="center"/>
    </xf>
    <xf numFmtId="2" fontId="12" fillId="8" borderId="8" applyAlignment="1" pivotButton="0" quotePrefix="0" xfId="0">
      <alignment horizontal="center" vertical="center"/>
    </xf>
    <xf numFmtId="2" fontId="12" fillId="23" borderId="8" applyAlignment="1" pivotButton="0" quotePrefix="0" xfId="0">
      <alignment horizontal="center" vertical="center"/>
    </xf>
    <xf numFmtId="2" fontId="12" fillId="12" borderId="29" applyAlignment="1" pivotButton="0" quotePrefix="0" xfId="0">
      <alignment horizontal="center" vertical="center"/>
    </xf>
    <xf numFmtId="2" fontId="12" fillId="15" borderId="8" applyAlignment="1" pivotButton="0" quotePrefix="0" xfId="0">
      <alignment horizontal="center" vertical="center" wrapText="1"/>
    </xf>
    <xf numFmtId="2" fontId="15" fillId="17" borderId="30" applyAlignment="1" pivotButton="0" quotePrefix="0" xfId="0">
      <alignment vertical="center" wrapText="1"/>
    </xf>
    <xf numFmtId="0" fontId="11" fillId="0" borderId="31" applyAlignment="1" pivotButton="0" quotePrefix="0" xfId="0">
      <alignment vertical="bottom"/>
    </xf>
    <xf numFmtId="0" fontId="7" fillId="0" borderId="32" applyAlignment="1" pivotButton="0" quotePrefix="0" xfId="0">
      <alignment vertical="center"/>
    </xf>
    <xf numFmtId="2" fontId="13" fillId="22" borderId="8" applyAlignment="1" pivotButton="0" quotePrefix="0" xfId="0">
      <alignment horizontal="center" vertical="center"/>
    </xf>
    <xf numFmtId="2" fontId="13" fillId="23" borderId="8" applyAlignment="1" pivotButton="0" quotePrefix="0" xfId="0">
      <alignment horizontal="center" vertical="center"/>
    </xf>
    <xf numFmtId="2" fontId="13" fillId="10" borderId="8" applyAlignment="1" pivotButton="0" quotePrefix="0" xfId="0">
      <alignment horizontal="center" vertical="center"/>
    </xf>
    <xf numFmtId="0" fontId="7" fillId="0" borderId="28" applyAlignment="1" pivotButton="0" quotePrefix="0" xfId="0">
      <alignment vertical="center"/>
    </xf>
    <xf numFmtId="0" fontId="18" fillId="5" borderId="8" applyAlignment="1" pivotButton="0" quotePrefix="0" xfId="0">
      <alignment horizontal="center" vertical="center"/>
    </xf>
    <xf numFmtId="2" fontId="12" fillId="6" borderId="8" applyAlignment="1" pivotButton="0" quotePrefix="0" xfId="0">
      <alignment horizontal="center" vertical="center"/>
    </xf>
    <xf numFmtId="2" fontId="21" fillId="17" borderId="30" applyAlignment="1" pivotButton="0" quotePrefix="0" xfId="0">
      <alignment vertical="center" wrapText="1"/>
    </xf>
    <xf numFmtId="1" fontId="10" fillId="17" borderId="33" applyAlignment="1" pivotButton="0" quotePrefix="0" xfId="0">
      <alignment horizontal="center" vertical="center" wrapText="1"/>
    </xf>
    <xf numFmtId="0" fontId="11" fillId="17" borderId="34" applyAlignment="1" pivotButton="0" quotePrefix="0" xfId="0">
      <alignment vertical="bottom"/>
    </xf>
    <xf numFmtId="0" fontId="7" fillId="0" borderId="35" applyAlignment="1" pivotButton="0" quotePrefix="0" xfId="0">
      <alignment vertical="center"/>
    </xf>
    <xf numFmtId="2" fontId="12" fillId="23" borderId="8" applyAlignment="1" pivotButton="0" quotePrefix="0" xfId="0">
      <alignment horizontal="center" vertical="bottom"/>
    </xf>
    <xf numFmtId="0" fontId="11" fillId="0" borderId="36" applyAlignment="1" pivotButton="0" quotePrefix="0" xfId="0">
      <alignment vertical="bottom"/>
    </xf>
    <xf numFmtId="0" fontId="7" fillId="0" borderId="37" applyAlignment="1" pivotButton="0" quotePrefix="0" xfId="0">
      <alignment vertical="center"/>
    </xf>
    <xf numFmtId="0" fontId="5" fillId="0" borderId="38" applyAlignment="1" pivotButton="0" quotePrefix="0" xfId="0">
      <alignment vertical="bottom"/>
    </xf>
    <xf numFmtId="2" fontId="12" fillId="4" borderId="8" applyAlignment="1" pivotButton="0" quotePrefix="0" xfId="0">
      <alignment horizontal="center" vertical="center" wrapText="1"/>
    </xf>
    <xf numFmtId="2" fontId="12" fillId="22" borderId="8" applyAlignment="1" pivotButton="0" quotePrefix="0" xfId="0">
      <alignment horizontal="center" vertical="center" wrapText="1"/>
    </xf>
    <xf numFmtId="2" fontId="12" fillId="23" borderId="8" applyAlignment="1" pivotButton="0" quotePrefix="0" xfId="0">
      <alignment horizontal="center" vertical="center" wrapText="1"/>
    </xf>
    <xf numFmtId="2" fontId="12" fillId="20" borderId="39" applyAlignment="1" pivotButton="0" quotePrefix="0" xfId="0">
      <alignment horizontal="center" vertical="center" wrapText="1"/>
    </xf>
    <xf numFmtId="2" fontId="12" fillId="20" borderId="4" applyAlignment="1" pivotButton="0" quotePrefix="0" xfId="0">
      <alignment horizontal="center" vertical="center" wrapText="1"/>
    </xf>
    <xf numFmtId="2" fontId="12" fillId="20" borderId="40" applyAlignment="1" pivotButton="0" quotePrefix="0" xfId="0">
      <alignment horizontal="center" vertical="center" wrapText="1"/>
    </xf>
    <xf numFmtId="0" fontId="5" fillId="0" borderId="20" applyAlignment="1" pivotButton="0" quotePrefix="0" xfId="0">
      <alignment vertical="bottom"/>
    </xf>
    <xf numFmtId="1" fontId="10" fillId="17" borderId="40" applyAlignment="1" pivotButton="0" quotePrefix="0" xfId="0">
      <alignment horizontal="center" vertical="center" wrapText="1"/>
    </xf>
    <xf numFmtId="0" fontId="24" fillId="17" borderId="38" applyAlignment="1" pivotButton="0" quotePrefix="0" xfId="0">
      <alignment horizontal="left" vertical="center" wrapText="1"/>
    </xf>
    <xf numFmtId="0" fontId="7" fillId="0" borderId="41" applyAlignment="1" pivotButton="0" quotePrefix="0" xfId="0">
      <alignment vertical="center"/>
    </xf>
    <xf numFmtId="2" fontId="10" fillId="17" borderId="42" applyAlignment="1" pivotButton="0" quotePrefix="0" xfId="0">
      <alignment vertical="center" wrapText="1"/>
    </xf>
    <xf numFmtId="2" fontId="23" fillId="17" borderId="43" applyAlignment="1" pivotButton="0" quotePrefix="0" xfId="0">
      <alignment horizontal="center" vertical="center"/>
    </xf>
    <xf numFmtId="2" fontId="10" fillId="17" borderId="42" applyAlignment="1" pivotButton="0" quotePrefix="0" xfId="0">
      <alignment horizontal="center" vertical="center" wrapText="1"/>
    </xf>
    <xf numFmtId="2" fontId="10" fillId="17" borderId="4" applyAlignment="1" pivotButton="0" quotePrefix="0" xfId="0">
      <alignment horizontal="center" vertical="center" wrapText="1"/>
    </xf>
    <xf numFmtId="2" fontId="10" fillId="17" borderId="44" applyAlignment="1" pivotButton="0" quotePrefix="0" xfId="0">
      <alignment vertical="center" wrapText="1"/>
    </xf>
    <xf numFmtId="2" fontId="10" fillId="17" borderId="12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2" fontId="15" fillId="17" borderId="25" applyAlignment="1" pivotButton="0" quotePrefix="0" xfId="0">
      <alignment vertical="center" wrapText="1"/>
    </xf>
    <xf numFmtId="0" fontId="5" fillId="0" borderId="45" applyAlignment="1" pivotButton="0" quotePrefix="0" xfId="0">
      <alignment vertical="bottom"/>
    </xf>
    <xf numFmtId="0" fontId="26" fillId="0" borderId="0" applyAlignment="1" pivotButton="0" quotePrefix="0" xfId="0">
      <alignment horizontal="center" vertical="center" wrapText="1"/>
    </xf>
    <xf numFmtId="2" fontId="5" fillId="3" borderId="26" applyAlignment="1" pivotButton="0" quotePrefix="0" xfId="0">
      <alignment vertical="center"/>
    </xf>
    <xf numFmtId="2" fontId="19" fillId="4" borderId="7" applyAlignment="1" pivotButton="0" quotePrefix="0" xfId="0">
      <alignment horizontal="center" vertical="center" textRotation="90"/>
    </xf>
    <xf numFmtId="0" fontId="11" fillId="0" borderId="8" applyAlignment="1" pivotButton="0" quotePrefix="0" xfId="0">
      <alignment vertical="bottom"/>
    </xf>
    <xf numFmtId="0" fontId="11" fillId="0" borderId="20" applyAlignment="1" pivotButton="0" quotePrefix="0" xfId="0">
      <alignment vertical="bottom"/>
    </xf>
    <xf numFmtId="2" fontId="12" fillId="4" borderId="8" applyAlignment="1" pivotButton="0" quotePrefix="0" xfId="0">
      <alignment horizontal="center" vertical="bottom"/>
    </xf>
    <xf numFmtId="2" fontId="12" fillId="5" borderId="8" applyAlignment="1" pivotButton="0" quotePrefix="0" xfId="0">
      <alignment horizontal="center" vertical="center"/>
    </xf>
    <xf numFmtId="0" fontId="12" fillId="8" borderId="8" applyAlignment="1" pivotButton="0" quotePrefix="0" xfId="0">
      <alignment horizontal="center" vertical="bottom"/>
    </xf>
    <xf numFmtId="2" fontId="12" fillId="3" borderId="8" applyAlignment="1" pivotButton="0" quotePrefix="0" xfId="0">
      <alignment horizontal="center" vertical="center"/>
    </xf>
    <xf numFmtId="2" fontId="12" fillId="11" borderId="8" applyAlignment="1" pivotButton="0" quotePrefix="0" xfId="0">
      <alignment horizontal="center" vertical="center"/>
    </xf>
    <xf numFmtId="2" fontId="12" fillId="12" borderId="8" applyAlignment="1" pivotButton="0" quotePrefix="0" xfId="0">
      <alignment horizontal="center" vertical="center"/>
    </xf>
    <xf numFmtId="2" fontId="12" fillId="15" borderId="8" applyAlignment="1" pivotButton="0" quotePrefix="0" xfId="0">
      <alignment horizontal="center" vertical="center"/>
    </xf>
    <xf numFmtId="2" fontId="12" fillId="8" borderId="8" applyAlignment="1" pivotButton="0" quotePrefix="0" xfId="0">
      <alignment horizontal="center" vertical="bottom"/>
    </xf>
    <xf numFmtId="2" fontId="13" fillId="3" borderId="8" applyAlignment="1" pivotButton="0" quotePrefix="0" xfId="0">
      <alignment horizontal="center" vertical="center"/>
    </xf>
    <xf numFmtId="2" fontId="27" fillId="11" borderId="8" applyAlignment="1" pivotButton="0" quotePrefix="0" xfId="0">
      <alignment horizontal="center" vertical="center"/>
    </xf>
    <xf numFmtId="1" fontId="15" fillId="17" borderId="8" applyAlignment="1" pivotButton="0" quotePrefix="0" xfId="0">
      <alignment horizontal="center" vertical="center" wrapText="1"/>
    </xf>
    <xf numFmtId="0" fontId="12" fillId="6" borderId="8" applyAlignment="1" pivotButton="0" quotePrefix="0" xfId="0">
      <alignment horizontal="center" vertical="center"/>
    </xf>
    <xf numFmtId="164" fontId="17" fillId="0" borderId="0" applyAlignment="1" pivotButton="0" quotePrefix="0" xfId="0">
      <alignment vertical="center"/>
    </xf>
    <xf numFmtId="2" fontId="13" fillId="8" borderId="8" applyAlignment="1" pivotButton="0" quotePrefix="0" xfId="0">
      <alignment horizontal="center" vertical="center"/>
    </xf>
    <xf numFmtId="2" fontId="21" fillId="17" borderId="8" applyAlignment="1" pivotButton="0" quotePrefix="0" xfId="0">
      <alignment vertical="center" wrapText="1"/>
    </xf>
    <xf numFmtId="0" fontId="12" fillId="8" borderId="8" applyAlignment="1" pivotButton="0" quotePrefix="0" xfId="0">
      <alignment horizontal="center" vertical="center"/>
    </xf>
    <xf numFmtId="0" fontId="13" fillId="8" borderId="8" applyAlignment="1" pivotButton="0" quotePrefix="0" xfId="0">
      <alignment horizontal="center" vertical="center"/>
    </xf>
    <xf numFmtId="2" fontId="12" fillId="3" borderId="8" applyAlignment="1" pivotButton="0" quotePrefix="0" xfId="0">
      <alignment horizontal="center" vertical="center" wrapText="1"/>
    </xf>
    <xf numFmtId="0" fontId="12" fillId="10" borderId="8" applyAlignment="1" pivotButton="0" quotePrefix="0" xfId="0">
      <alignment horizontal="center" vertical="center"/>
    </xf>
    <xf numFmtId="2" fontId="12" fillId="9" borderId="8" applyAlignment="1" pivotButton="0" quotePrefix="0" xfId="0">
      <alignment horizontal="center" vertical="center" wrapText="1"/>
    </xf>
    <xf numFmtId="2" fontId="12" fillId="11" borderId="8" applyAlignment="1" pivotButton="0" quotePrefix="0" xfId="0">
      <alignment horizontal="center" vertical="center" wrapText="1"/>
    </xf>
    <xf numFmtId="2" fontId="12" fillId="9" borderId="8" applyAlignment="1" pivotButton="0" quotePrefix="0" xfId="0">
      <alignment horizontal="center" vertical="center" wrapText="1"/>
    </xf>
    <xf numFmtId="2" fontId="12" fillId="17" borderId="8" applyAlignment="1" pivotButton="0" quotePrefix="0" xfId="0">
      <alignment horizontal="center" vertical="center" wrapText="1"/>
    </xf>
    <xf numFmtId="2" fontId="12" fillId="20" borderId="8" applyAlignment="1" pivotButton="0" quotePrefix="0" xfId="0">
      <alignment horizontal="center" vertical="center" wrapText="1"/>
    </xf>
    <xf numFmtId="2" fontId="12" fillId="20" borderId="8" applyAlignment="1" pivotButton="0" quotePrefix="0" xfId="0">
      <alignment horizontal="center" vertical="center" wrapText="1"/>
    </xf>
    <xf numFmtId="2" fontId="10" fillId="17" borderId="46" applyAlignment="1" pivotButton="0" quotePrefix="0" xfId="0">
      <alignment vertical="center" wrapText="1"/>
    </xf>
    <xf numFmtId="0" fontId="24" fillId="17" borderId="20" applyAlignment="1" pivotButton="0" quotePrefix="0" xfId="0">
      <alignment horizontal="left" vertical="center" wrapText="1"/>
    </xf>
    <xf numFmtId="2" fontId="10" fillId="20" borderId="42" applyAlignment="1" pivotButton="0" quotePrefix="0" xfId="0">
      <alignment vertical="center" wrapText="1"/>
    </xf>
    <xf numFmtId="2" fontId="10" fillId="20" borderId="42" applyAlignment="1" pivotButton="0" quotePrefix="0" xfId="0">
      <alignment horizontal="center" vertical="center" wrapText="1"/>
    </xf>
    <xf numFmtId="2" fontId="10" fillId="20" borderId="40" applyAlignment="1" pivotButton="0" quotePrefix="0" xfId="0">
      <alignment horizontal="center" vertical="center" wrapText="1"/>
    </xf>
    <xf numFmtId="2" fontId="10" fillId="20" borderId="4" applyAlignment="1" pivotButton="0" quotePrefix="0" xfId="0">
      <alignment vertical="center" wrapText="1"/>
    </xf>
    <xf numFmtId="2" fontId="10" fillId="20" borderId="4" applyAlignment="1" pivotButton="0" quotePrefix="0" xfId="0">
      <alignment horizontal="center" vertical="center" wrapText="1"/>
    </xf>
    <xf numFmtId="2" fontId="10" fillId="20" borderId="44" applyAlignment="1" pivotButton="0" quotePrefix="0" xfId="0">
      <alignment vertical="center" wrapText="1"/>
    </xf>
    <xf numFmtId="2" fontId="10" fillId="20" borderId="12" applyAlignment="1" pivotButton="0" quotePrefix="0" xfId="0">
      <alignment horizontal="center" vertical="center" wrapText="1"/>
    </xf>
    <xf numFmtId="2" fontId="5" fillId="3" borderId="8" applyAlignment="1" pivotButton="0" quotePrefix="0" xfId="0">
      <alignment vertical="center"/>
    </xf>
    <xf numFmtId="2" fontId="5" fillId="3" borderId="13" applyAlignment="1" pivotButton="0" quotePrefix="0" xfId="0">
      <alignment horizontal="center" vertical="center"/>
    </xf>
    <xf numFmtId="2" fontId="4" fillId="4" borderId="7" applyAlignment="1" pivotButton="0" quotePrefix="0" xfId="0">
      <alignment horizontal="center" vertical="center" textRotation="90"/>
    </xf>
    <xf numFmtId="2" fontId="4" fillId="5" borderId="8" applyAlignment="1" pivotButton="0" quotePrefix="0" xfId="0">
      <alignment horizontal="center" vertical="center" textRotation="90"/>
    </xf>
    <xf numFmtId="2" fontId="4" fillId="6" borderId="9" applyAlignment="1" pivotButton="0" quotePrefix="0" xfId="0">
      <alignment horizontal="center" vertical="center" textRotation="90"/>
    </xf>
    <xf numFmtId="2" fontId="4" fillId="7" borderId="9" applyAlignment="1" pivotButton="0" quotePrefix="0" xfId="0">
      <alignment horizontal="center" vertical="center" textRotation="90"/>
    </xf>
    <xf numFmtId="2" fontId="4" fillId="8" borderId="9" applyAlignment="1" pivotButton="0" quotePrefix="0" xfId="0">
      <alignment horizontal="center" vertical="center" textRotation="90"/>
    </xf>
    <xf numFmtId="2" fontId="4" fillId="9" borderId="9" applyAlignment="1" pivotButton="0" quotePrefix="0" xfId="0">
      <alignment horizontal="center" vertical="center" textRotation="90"/>
    </xf>
    <xf numFmtId="2" fontId="4" fillId="10" borderId="9" applyAlignment="1" pivotButton="0" quotePrefix="0" xfId="0">
      <alignment horizontal="center" vertical="center" textRotation="90"/>
    </xf>
    <xf numFmtId="2" fontId="4" fillId="11" borderId="9" applyAlignment="1" pivotButton="0" quotePrefix="0" xfId="0">
      <alignment horizontal="center" vertical="center" textRotation="90"/>
    </xf>
    <xf numFmtId="2" fontId="4" fillId="12" borderId="9" applyAlignment="1" pivotButton="0" quotePrefix="0" xfId="0">
      <alignment horizontal="center" vertical="center" textRotation="90"/>
    </xf>
    <xf numFmtId="2" fontId="4" fillId="13" borderId="9" applyAlignment="1" pivotButton="0" quotePrefix="0" xfId="0">
      <alignment horizontal="center" vertical="center" textRotation="90"/>
    </xf>
    <xf numFmtId="2" fontId="4" fillId="14" borderId="8" applyAlignment="1" pivotButton="0" quotePrefix="0" xfId="0">
      <alignment horizontal="center" vertical="center" textRotation="90"/>
    </xf>
    <xf numFmtId="2" fontId="28" fillId="15" borderId="10" applyAlignment="1" pivotButton="0" quotePrefix="0" xfId="0">
      <alignment horizontal="center" vertical="center" textRotation="90"/>
    </xf>
    <xf numFmtId="0" fontId="19" fillId="17" borderId="47" applyAlignment="1" pivotButton="0" quotePrefix="0" xfId="0">
      <alignment vertical="bottom"/>
    </xf>
    <xf numFmtId="0" fontId="7" fillId="0" borderId="48" applyAlignment="1" pivotButton="0" quotePrefix="0" xfId="0">
      <alignment vertical="center"/>
    </xf>
    <xf numFmtId="2" fontId="12" fillId="9" borderId="8" applyAlignment="1" pivotButton="0" quotePrefix="0" xfId="0">
      <alignment horizontal="center" vertical="center"/>
    </xf>
    <xf numFmtId="2" fontId="12" fillId="24" borderId="8" applyAlignment="1" pivotButton="0" quotePrefix="0" xfId="0">
      <alignment horizontal="center" vertical="center"/>
    </xf>
    <xf numFmtId="2" fontId="12" fillId="12" borderId="8" applyAlignment="1" pivotButton="0" quotePrefix="0" xfId="0">
      <alignment horizontal="center" vertical="center" wrapText="1"/>
    </xf>
    <xf numFmtId="2" fontId="29" fillId="15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9" fillId="17" borderId="49" applyAlignment="1" pivotButton="0" quotePrefix="0" xfId="0">
      <alignment vertical="bottom"/>
    </xf>
    <xf numFmtId="0" fontId="19" fillId="17" borderId="20" applyAlignment="1" pivotButton="0" quotePrefix="0" xfId="0">
      <alignment vertical="bottom"/>
    </xf>
    <xf numFmtId="2" fontId="13" fillId="9" borderId="8" applyAlignment="1" pivotButton="0" quotePrefix="0" xfId="0">
      <alignment horizontal="center" vertical="center"/>
    </xf>
    <xf numFmtId="1" fontId="15" fillId="17" borderId="8" applyAlignment="1" pivotButton="0" quotePrefix="0" xfId="0">
      <alignment horizontal="center" vertical="center" wrapText="1"/>
    </xf>
    <xf numFmtId="2" fontId="27" fillId="24" borderId="8" applyAlignment="1" pivotButton="0" quotePrefix="0" xfId="0">
      <alignment horizontal="center" vertical="center"/>
    </xf>
    <xf numFmtId="0" fontId="5" fillId="0" borderId="8" applyAlignment="1" pivotButton="0" quotePrefix="0" xfId="0">
      <alignment vertical="bottom"/>
    </xf>
    <xf numFmtId="0" fontId="18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vertical="center"/>
    </xf>
    <xf numFmtId="2" fontId="30" fillId="17" borderId="20" applyAlignment="1" pivotButton="0" quotePrefix="0" xfId="0">
      <alignment vertical="center" wrapText="1"/>
    </xf>
    <xf numFmtId="2" fontId="6" fillId="17" borderId="4" applyAlignment="1" pivotButton="0" quotePrefix="0" xfId="0">
      <alignment vertical="center"/>
    </xf>
    <xf numFmtId="0" fontId="1" fillId="20" borderId="1" applyAlignment="1" pivotButton="0" quotePrefix="0" xfId="0">
      <alignment horizontal="center" vertical="center" wrapText="1"/>
    </xf>
    <xf numFmtId="0" fontId="19" fillId="17" borderId="8" applyAlignment="1" pivotButton="0" quotePrefix="0" xfId="0">
      <alignment vertical="bottom"/>
    </xf>
    <xf numFmtId="2" fontId="12" fillId="13" borderId="8" applyAlignment="1" pivotButton="0" quotePrefix="0" xfId="0">
      <alignment horizontal="center" vertical="center"/>
    </xf>
    <xf numFmtId="2" fontId="19" fillId="17" borderId="8" applyAlignment="1" pivotButton="0" quotePrefix="0" xfId="0">
      <alignment vertical="center" wrapText="1"/>
    </xf>
    <xf numFmtId="2" fontId="13" fillId="13" borderId="8" applyAlignment="1" pivotButton="0" quotePrefix="0" xfId="0">
      <alignment horizontal="center" vertical="center"/>
    </xf>
    <xf numFmtId="0" fontId="14" fillId="0" borderId="0" applyAlignment="1" pivotButton="0" quotePrefix="0" xfId="0">
      <alignment vertical="bottom"/>
    </xf>
    <xf numFmtId="1" fontId="10" fillId="0" borderId="8" applyAlignment="1" pivotButton="0" quotePrefix="0" xfId="0">
      <alignment horizontal="center" vertical="center" wrapText="1"/>
    </xf>
    <xf numFmtId="2" fontId="19" fillId="4" borderId="8" applyAlignment="1" pivotButton="0" quotePrefix="0" xfId="0">
      <alignment horizontal="center" vertical="center" wrapText="1"/>
    </xf>
    <xf numFmtId="2" fontId="19" fillId="5" borderId="8" applyAlignment="1" pivotButton="0" quotePrefix="0" xfId="0">
      <alignment horizontal="center" vertical="center" wrapText="1"/>
    </xf>
    <xf numFmtId="2" fontId="19" fillId="6" borderId="8" applyAlignment="1" pivotButton="0" quotePrefix="0" xfId="0">
      <alignment horizontal="center" vertical="center" wrapText="1"/>
    </xf>
    <xf numFmtId="2" fontId="19" fillId="7" borderId="8" applyAlignment="1" pivotButton="0" quotePrefix="0" xfId="0">
      <alignment horizontal="center" vertical="center" wrapText="1"/>
    </xf>
    <xf numFmtId="2" fontId="19" fillId="8" borderId="8" applyAlignment="1" pivotButton="0" quotePrefix="0" xfId="0">
      <alignment horizontal="center" vertical="center" wrapText="1"/>
    </xf>
    <xf numFmtId="2" fontId="19" fillId="9" borderId="8" applyAlignment="1" pivotButton="0" quotePrefix="0" xfId="0">
      <alignment horizontal="center" vertical="center" wrapText="1"/>
    </xf>
    <xf numFmtId="2" fontId="19" fillId="25" borderId="8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2" fontId="19" fillId="14" borderId="8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9" fillId="0" borderId="45" applyAlignment="1" pivotButton="0" quotePrefix="0" xfId="0">
      <alignment vertical="bottom"/>
    </xf>
    <xf numFmtId="0" fontId="31" fillId="0" borderId="0" applyAlignment="1" pivotButton="0" quotePrefix="0" xfId="0">
      <alignment vertical="center"/>
    </xf>
    <xf numFmtId="0" fontId="32" fillId="17" borderId="8" applyAlignment="1" pivotButton="0" quotePrefix="0" xfId="0">
      <alignment vertical="bottom"/>
    </xf>
    <xf numFmtId="2" fontId="12" fillId="24" borderId="8" applyAlignment="1" pivotButton="0" quotePrefix="0" xfId="0">
      <alignment horizontal="center" vertical="bottom"/>
    </xf>
    <xf numFmtId="2" fontId="12" fillId="26" borderId="8" applyAlignment="1" pivotButton="0" quotePrefix="0" xfId="0">
      <alignment horizontal="center" vertical="bottom"/>
    </xf>
    <xf numFmtId="0" fontId="32" fillId="17" borderId="13" applyAlignment="1" pivotButton="0" quotePrefix="0" xfId="0">
      <alignment vertical="bottom"/>
    </xf>
    <xf numFmtId="0" fontId="32" fillId="20" borderId="13" applyAlignment="1" pivotButton="0" quotePrefix="0" xfId="0">
      <alignment vertical="bottom"/>
    </xf>
    <xf numFmtId="0" fontId="19" fillId="0" borderId="8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2" fontId="33" fillId="20" borderId="43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2" fontId="30" fillId="17" borderId="20" applyAlignment="1" pivotButton="0" quotePrefix="0" xfId="0">
      <alignment vertical="center" wrapText="1"/>
    </xf>
    <xf numFmtId="0" fontId="5" fillId="0" borderId="0" applyAlignment="1" pivotButton="0" quotePrefix="0" xfId="0">
      <alignment vertical="bottom" wrapText="1"/>
    </xf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14" pivotButton="0" quotePrefix="0" xfId="0"/>
    <xf numFmtId="0" fontId="11" fillId="17" borderId="51" applyAlignment="1" pivotButton="0" quotePrefix="0" xfId="0">
      <alignment vertical="bottom"/>
    </xf>
    <xf numFmtId="0" fontId="0" fillId="0" borderId="19" pivotButton="0" quotePrefix="0" xfId="0"/>
    <xf numFmtId="0" fontId="11" fillId="0" borderId="43" applyAlignment="1" pivotButton="0" quotePrefix="0" xfId="0">
      <alignment vertical="bottom"/>
    </xf>
    <xf numFmtId="0" fontId="11" fillId="27" borderId="51" applyAlignment="1" pivotButton="0" quotePrefix="0" xfId="0">
      <alignment vertical="bottom"/>
    </xf>
    <xf numFmtId="2" fontId="13" fillId="28" borderId="8" applyAlignment="1" pivotButton="0" quotePrefix="0" xfId="0">
      <alignment horizontal="center" vertical="center"/>
    </xf>
    <xf numFmtId="0" fontId="11" fillId="20" borderId="43" applyAlignment="1" pivotButton="0" quotePrefix="0" xfId="0">
      <alignment vertical="bottom"/>
    </xf>
    <xf numFmtId="0" fontId="19" fillId="17" borderId="6" applyAlignment="1" pivotButton="0" quotePrefix="0" xfId="0">
      <alignment horizontal="left" vertical="bottom"/>
    </xf>
    <xf numFmtId="0" fontId="15" fillId="17" borderId="6" applyAlignment="1" pivotButton="0" quotePrefix="0" xfId="0">
      <alignment horizontal="left" vertical="bottom"/>
    </xf>
    <xf numFmtId="2" fontId="15" fillId="17" borderId="4" applyAlignment="1" pivotButton="0" quotePrefix="0" xfId="0">
      <alignment vertical="center" wrapText="1"/>
    </xf>
    <xf numFmtId="0" fontId="0" fillId="0" borderId="25" pivotButton="0" quotePrefix="0" xfId="0"/>
    <xf numFmtId="0" fontId="0" fillId="0" borderId="15" pivotButton="0" quotePrefix="0" xfId="0"/>
    <xf numFmtId="0" fontId="24" fillId="17" borderId="6" applyAlignment="1" pivotButton="0" quotePrefix="0" xfId="0">
      <alignment horizontal="left" vertical="center" wrapText="1"/>
    </xf>
    <xf numFmtId="2" fontId="25" fillId="17" borderId="6" applyAlignment="1" pivotButton="0" quotePrefix="0" xfId="0">
      <alignment horizontal="center" vertical="center" wrapText="1"/>
    </xf>
    <xf numFmtId="0" fontId="11" fillId="0" borderId="53" applyAlignment="1" pivotButton="0" quotePrefix="0" xfId="0">
      <alignment vertical="bottom"/>
    </xf>
    <xf numFmtId="0" fontId="0" fillId="0" borderId="32" pivotButton="0" quotePrefix="0" xfId="0"/>
    <xf numFmtId="0" fontId="11" fillId="0" borderId="54" applyAlignment="1" pivotButton="0" quotePrefix="0" xfId="0">
      <alignment vertical="bottom"/>
    </xf>
    <xf numFmtId="0" fontId="0" fillId="0" borderId="28" pivotButton="0" quotePrefix="0" xfId="0"/>
    <xf numFmtId="0" fontId="11" fillId="17" borderId="11" applyAlignment="1" pivotButton="0" quotePrefix="0" xfId="0">
      <alignment vertical="bottom"/>
    </xf>
    <xf numFmtId="0" fontId="0" fillId="0" borderId="37" pivotButton="0" quotePrefix="0" xfId="0"/>
    <xf numFmtId="0" fontId="11" fillId="0" borderId="7" applyAlignment="1" pivotButton="0" quotePrefix="0" xfId="0">
      <alignment vertical="bottom"/>
    </xf>
    <xf numFmtId="0" fontId="24" fillId="17" borderId="55" applyAlignment="1" pivotButton="0" quotePrefix="0" xfId="0">
      <alignment horizontal="left" vertical="center" wrapText="1"/>
    </xf>
    <xf numFmtId="0" fontId="0" fillId="0" borderId="41" pivotButton="0" quotePrefix="0" xfId="0"/>
    <xf numFmtId="0" fontId="24" fillId="17" borderId="4" applyAlignment="1" pivotButton="0" quotePrefix="0" xfId="0">
      <alignment horizontal="left" vertical="center" wrapText="1"/>
    </xf>
    <xf numFmtId="2" fontId="5" fillId="3" borderId="8" applyAlignment="1" pivotButton="0" quotePrefix="0" xfId="0">
      <alignment horizontal="center" vertical="center"/>
    </xf>
    <xf numFmtId="0" fontId="19" fillId="17" borderId="56" applyAlignment="1" pivotButton="0" quotePrefix="0" xfId="0">
      <alignment vertical="bottom"/>
    </xf>
    <xf numFmtId="0" fontId="0" fillId="0" borderId="48" pivotButton="0" quotePrefix="0" xfId="0"/>
    <xf numFmtId="2" fontId="30" fillId="17" borderId="4" applyAlignment="1" pivotButton="0" quotePrefix="0" xfId="0">
      <alignment vertical="center" wrapText="1"/>
    </xf>
    <xf numFmtId="0" fontId="1" fillId="20" borderId="6" applyAlignment="1" pivotButton="0" quotePrefix="0" xfId="0">
      <alignment horizontal="center" vertical="center" wrapText="1"/>
    </xf>
    <xf numFmtId="0" fontId="32" fillId="20" borderId="8" applyAlignment="1" pivotButton="0" quotePrefix="0" xfId="0">
      <alignment vertical="bottom"/>
    </xf>
    <xf numFmtId="0" fontId="11" fillId="27" borderId="27" applyAlignment="1" pivotButton="0" quotePrefix="0" xfId="0">
      <alignment vertical="bottom"/>
    </xf>
    <xf numFmtId="2" fontId="12" fillId="28" borderId="8" applyAlignment="1" pivotButton="0" quotePrefix="0" xfId="0">
      <alignment horizontal="center" vertical="center" wrapText="1"/>
    </xf>
    <xf numFmtId="0" fontId="11" fillId="27" borderId="53" applyAlignment="1" pivotButton="0" quotePrefix="0" xfId="0">
      <alignment vertical="bottom"/>
    </xf>
    <xf numFmtId="0" fontId="11" fillId="27" borderId="54" applyAlignment="1" pivotButton="0" quotePrefix="0" xfId="0">
      <alignment vertical="bottom"/>
    </xf>
    <xf numFmtId="2" fontId="12" fillId="28" borderId="8" applyAlignment="1" pivotButton="0" quotePrefix="0" xfId="0">
      <alignment horizontal="center" vertical="center"/>
    </xf>
    <xf numFmtId="0" fontId="11" fillId="27" borderId="8" applyAlignment="1" pivotButton="0" quotePrefix="0" xfId="0">
      <alignment vertical="bottom"/>
    </xf>
    <xf numFmtId="0" fontId="19" fillId="27" borderId="49" applyAlignment="1" pivotButton="0" quotePrefix="0" xfId="0">
      <alignment vertical="bottom"/>
    </xf>
    <xf numFmtId="0" fontId="19" fillId="27" borderId="8" applyAlignment="1" pivotButton="0" quotePrefix="0" xfId="0">
      <alignment vertical="bottom"/>
    </xf>
    <xf numFmtId="0" fontId="32" fillId="27" borderId="8" applyAlignment="1" pivotButton="0" quotePrefix="0" xfId="0">
      <alignment vertical="bottom"/>
    </xf>
    <xf numFmtId="0" fontId="34" fillId="29" borderId="0" applyAlignment="1" pivotButton="0" quotePrefix="0" xfId="0">
      <alignment horizontal="center" vertical="center"/>
    </xf>
    <xf numFmtId="0" fontId="0" fillId="30" borderId="0" pivotButton="0" quotePrefix="0" xfId="0"/>
    <xf numFmtId="0" fontId="0" fillId="31" borderId="0" pivotButton="0" quotePrefix="0" xfId="0"/>
  </cellXfs>
  <cellStyles count="1">
    <cellStyle name="Normal" xfId="0" builtinId="0"/>
  </cellStyles>
  <dxfs count="3">
    <dxf>
      <font>
        <b val="1"/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0066"/>
      </font>
      <fill>
        <patternFill patternType="solid">
          <fgColor rgb="FFF8FF9D"/>
          <bgColor rgb="FFF8FF9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None</author>
  </authors>
  <commentList>
    <comment ref="E31" authorId="0" shapeId="0">
      <text>
        <t>Sistema: 9.13
Diferencia: 0.07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N7" authorId="0" shapeId="0">
      <text>
        <t>Sistema: 8.44
Diferencia: 0.08</t>
      </text>
    </comment>
    <comment ref="N8" authorId="0" shapeId="0">
      <text>
        <t>Sistema: 8.84
Diferencia: 0.04</t>
      </text>
    </comment>
    <comment ref="N9" authorId="0" shapeId="0">
      <text>
        <t>Sistema: 9.56
Diferencia: 0.06</t>
      </text>
    </comment>
    <comment ref="N10" authorId="0" shapeId="0">
      <text>
        <t>Sistema: 9.38
Diferencia: 0.06</t>
      </text>
    </comment>
    <comment ref="J12" authorId="0" shapeId="0">
      <text>
        <t>Sistema: 8.31
Diferencia: 0.23</t>
      </text>
    </comment>
    <comment ref="N12" authorId="0" shapeId="0">
      <text>
        <t>Sistema: 7.66
Diferencia: 0.06</t>
      </text>
    </comment>
    <comment ref="N13" authorId="0" shapeId="0">
      <text>
        <t>Sistema: 8.71
Diferencia: 0.05</t>
      </text>
    </comment>
    <comment ref="N14" authorId="0" shapeId="0">
      <text>
        <t>Sistema: 8.26
Diferencia: 0.07</t>
      </text>
    </comment>
    <comment ref="N15" authorId="0" shapeId="0">
      <text>
        <t>Sistema: 9.11
Diferencia: 0.06</t>
      </text>
    </comment>
    <comment ref="N16" authorId="0" shapeId="0">
      <text>
        <t>Sistema: 8.06
Diferencia: 0.04</t>
      </text>
    </comment>
    <comment ref="N18" authorId="0" shapeId="0">
      <text>
        <t>Sistema: 9.03
Diferencia: 0.09</t>
      </text>
    </comment>
    <comment ref="J19" authorId="0" shapeId="0">
      <text>
        <t>Sistema: 7.50
Diferencia: 0.07</t>
      </text>
    </comment>
    <comment ref="N19" authorId="0" shapeId="0">
      <text>
        <t>Sistema: 7.34
Diferencia: 0.10</t>
      </text>
    </comment>
    <comment ref="N20" authorId="0" shapeId="0">
      <text>
        <t>Sistema: 8.17
Diferencia: 0.15</t>
      </text>
    </comment>
    <comment ref="N23" authorId="0" shapeId="0">
      <text>
        <t>Sistema: 7.34
Diferencia: 0.03</t>
      </text>
    </comment>
    <comment ref="N25" authorId="0" shapeId="0">
      <text>
        <t>Sistema: 7.94
Diferencia: 0.07</t>
      </text>
    </comment>
    <comment ref="G26" authorId="0" shapeId="0">
      <text>
        <t>Sistema: 8.12
Diferencia: 0.03</t>
      </text>
    </comment>
    <comment ref="N26" authorId="0" shapeId="0">
      <text>
        <t>Sistema: 8.70
Diferencia: 0.06</t>
      </text>
    </comment>
    <comment ref="G29" authorId="0" shapeId="0">
      <text>
        <t>Sistema: 4.00
Diferencia: 0.32</t>
      </text>
    </comment>
    <comment ref="H29" authorId="0" shapeId="0">
      <text>
        <t>Sistema: 3.48
Diferencia: 1.27</t>
      </text>
    </comment>
    <comment ref="J29" authorId="0" shapeId="0">
      <text>
        <t>Sistema: 4.83
Diferencia: 0.33</t>
      </text>
    </comment>
    <comment ref="N29" authorId="0" shapeId="0">
      <text>
        <t>Sistema: 4.59
Diferencia: 0.09</t>
      </text>
    </comment>
    <comment ref="N30" authorId="0" shapeId="0">
      <text>
        <t>Sistema: 8.32
Diferencia: 0.06</t>
      </text>
    </comment>
    <comment ref="H31" authorId="0" shapeId="0">
      <text>
        <t>Sistema: 9.91
Diferencia: 0.09</t>
      </text>
    </comment>
    <comment ref="N34" authorId="0" shapeId="0">
      <text>
        <t>Sistema: 8.36
Diferencia: 0.10</t>
      </text>
    </comment>
    <comment ref="N35" authorId="0" shapeId="0">
      <text>
        <t>Sistema: 9.74
Diferencia: 0.03</t>
      </text>
    </comment>
    <comment ref="J36" authorId="0" shapeId="0">
      <text>
        <t>Sistema: 7.69
Diferencia: 0.08</t>
      </text>
    </comment>
    <comment ref="N36" authorId="0" shapeId="0">
      <text>
        <t>Sistema: 7.46
Diferencia: 0.03</t>
      </text>
    </comment>
    <comment ref="N37" authorId="0" shapeId="0">
      <text>
        <t>Sistema: 8.00
Diferencia: 0.03</t>
      </text>
    </comment>
    <comment ref="H38" authorId="0" shapeId="0">
      <text>
        <t>Sistema: 7.39
Diferencia: 0.47</t>
      </text>
    </comment>
    <comment ref="J38" authorId="0" shapeId="0">
      <text>
        <t>Sistema: 7.39
Diferencia: 0.08</t>
      </text>
    </comment>
    <comment ref="N38" authorId="0" shapeId="0">
      <text>
        <t>Sistema: 5.57
Diferencia: 1.00</t>
      </text>
    </comment>
    <comment ref="N39" authorId="0" shapeId="0">
      <text>
        <t>Sistema: 9.30
Diferencia: 0.04</t>
      </text>
    </comment>
    <comment ref="N41" authorId="0" shapeId="0">
      <text>
        <t>Sistema: 9.55
Diferencia: 0.05</t>
      </text>
    </comment>
    <comment ref="N46" authorId="0" shapeId="0">
      <text>
        <t>Sistema: 8.35
Diferencia: 0.08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I25" authorId="0" shapeId="0">
      <text>
        <t>Sistema: 7.43
Diferencia: 0.22</t>
      </text>
    </comment>
    <comment ref="N25" authorId="0" shapeId="0">
      <text>
        <t>Sistema: 7.29
Diferencia: 0.03</t>
      </text>
    </comment>
    <comment ref="G45" authorId="0" shapeId="0">
      <text>
        <t>Sistema: 7.47
Diferencia: 0.31</t>
      </text>
    </comment>
    <comment ref="H45" authorId="0" shapeId="0">
      <text>
        <t>Sistema: 7.16
Diferencia: 0.06</t>
      </text>
    </comment>
    <comment ref="N45" authorId="0" shapeId="0">
      <text>
        <t>Sistema: 7.65
Diferencia: 0.05</t>
      </text>
    </comment>
    <comment ref="G46" authorId="0" shapeId="0">
      <text>
        <t>Sistema: 8.20
Diferencia: 0.38</t>
      </text>
    </comment>
    <comment ref="N46" authorId="0" shapeId="0">
      <text>
        <t>Sistema: 8.65
Diferencia: 0.06</t>
      </text>
    </comment>
    <comment ref="G47" authorId="0" shapeId="0">
      <text>
        <t>Sistema: 8.92
Diferencia: 0.20</t>
      </text>
    </comment>
    <comment ref="H47" authorId="0" shapeId="0">
      <text>
        <t>Sistema: 9.12
Diferencia: 0.05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I12" authorId="0" shapeId="0">
      <text>
        <t>Sistema: 8.70
Diferencia: 0.27</t>
      </text>
    </comment>
    <comment ref="N12" authorId="0" shapeId="0">
      <text>
        <t>Sistema: 7.54
Diferencia: 0.04</t>
      </text>
    </comment>
    <comment ref="I29" authorId="0" shapeId="0">
      <text>
        <t>Sistema: 9.41
Diferencia: 0.18</t>
      </text>
    </comment>
    <comment ref="F36" authorId="0" shapeId="0">
      <text>
        <t>Sistema: 7.44
Diferencia: 0.06</t>
      </text>
    </comment>
    <comment ref="J41" authorId="0" shapeId="0">
      <text>
        <t>Sistema: 8.43
Diferencia: 0.03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I13" authorId="0" shapeId="0">
      <text>
        <t>Sistema: 8.77
Diferencia: 0.38</t>
      </text>
    </comment>
    <comment ref="N13" authorId="0" shapeId="0">
      <text>
        <t>Sistema: 8.03
Diferencia: 0.06</t>
      </text>
    </comment>
    <comment ref="F25" authorId="0" shapeId="0">
      <text>
        <t>Sistema: 7.35
Diferencia: 0.35</t>
      </text>
    </comment>
    <comment ref="N25" authorId="0" shapeId="0">
      <text>
        <t>Sistema: 7.83
Diferencia: 0.05</t>
      </text>
    </comment>
    <comment ref="F29" authorId="0" shapeId="0">
      <text>
        <t>Sistema: 8.48
Diferencia: 0.15</t>
      </text>
    </comment>
    <comment ref="F30" authorId="0" shapeId="0">
      <text>
        <t>Sistema: 8.36
Diferencia: 0.15</t>
      </text>
    </comment>
    <comment ref="H30" authorId="0" shapeId="0">
      <text>
        <t>Sistema: 8.90
Diferencia: 0.81</t>
      </text>
    </comment>
    <comment ref="N30" authorId="0" shapeId="0">
      <text>
        <t>Sistema: 9.24
Diferencia: 0.09</t>
      </text>
    </comment>
    <comment ref="F41" authorId="0" shapeId="0">
      <text>
        <t>Sistema: 8.48
Diferencia: 0.28</t>
      </text>
    </comment>
    <comment ref="N41" authorId="0" shapeId="0">
      <text>
        <t>Sistema: 9.22
Diferencia: 0.04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I7" authorId="0" shapeId="0">
      <text>
        <t>Sistema: 9.75
Diferencia: 0.08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54" min="1" max="1"/>
    <col width="36" customWidth="1" style="254" min="2" max="2"/>
    <col width="30" customWidth="1" style="254" min="3" max="3"/>
    <col width="16" customWidth="1" style="254" min="4" max="4"/>
    <col width="16" customWidth="1" style="254" min="5" max="5"/>
    <col width="14" customWidth="1" style="254" min="6" max="6"/>
    <col width="22" customWidth="1" style="254" min="7" max="7"/>
  </cols>
  <sheetData>
    <row r="1" ht="26" customHeight="1" s="254">
      <c r="A1" s="295" t="inlineStr">
        <is>
          <t>Curso</t>
        </is>
      </c>
      <c r="B1" s="295" t="inlineStr">
        <is>
          <t>Estudiante</t>
        </is>
      </c>
      <c r="C1" s="295" t="inlineStr">
        <is>
          <t>Materia</t>
        </is>
      </c>
      <c r="D1" s="295" t="inlineStr">
        <is>
          <t>Nota Docente</t>
        </is>
      </c>
      <c r="E1" s="295" t="inlineStr">
        <is>
          <t>Nota Sistema</t>
        </is>
      </c>
      <c r="F1" s="295" t="inlineStr">
        <is>
          <t>Diferencia</t>
        </is>
      </c>
      <c r="G1" s="295" t="inlineStr">
        <is>
          <t>Estado</t>
        </is>
      </c>
    </row>
    <row r="2" ht="20" customHeight="1" s="254">
      <c r="A2" s="296" t="inlineStr">
        <is>
          <t>8AM</t>
        </is>
      </c>
      <c r="B2" s="296" t="inlineStr">
        <is>
          <t>MAILA CUZCO JOSUE DAVID</t>
        </is>
      </c>
      <c r="C2" s="296" t="inlineStr">
        <is>
          <t>Matemática</t>
        </is>
      </c>
      <c r="D2" s="296" t="n">
        <v>9.199999999999999</v>
      </c>
      <c r="E2" s="296" t="n">
        <v>9.130000000000001</v>
      </c>
      <c r="F2" s="296" t="n">
        <v>0.07000000000000001</v>
      </c>
      <c r="G2" s="296" t="inlineStr">
        <is>
          <t>ERROR</t>
        </is>
      </c>
    </row>
    <row r="3" ht="20" customHeight="1" s="254">
      <c r="A3" s="296" t="inlineStr">
        <is>
          <t>8BM</t>
        </is>
      </c>
      <c r="B3" s="296" t="inlineStr">
        <is>
          <t>ARIAS CUZCO JOSUE DAVID</t>
        </is>
      </c>
      <c r="C3" s="296" t="inlineStr">
        <is>
          <t>Promedio Final / P. General</t>
        </is>
      </c>
      <c r="D3" s="296" t="n">
        <v>8.359999999999999</v>
      </c>
      <c r="E3" s="296" t="n">
        <v>8.44</v>
      </c>
      <c r="F3" s="296" t="n">
        <v>0.08</v>
      </c>
      <c r="G3" s="296" t="inlineStr">
        <is>
          <t>ERROR</t>
        </is>
      </c>
    </row>
    <row r="4" ht="20" customHeight="1" s="254">
      <c r="A4" s="296" t="inlineStr">
        <is>
          <t>8BM</t>
        </is>
      </c>
      <c r="B4" s="296" t="inlineStr">
        <is>
          <t>ATANCURI LALVAY JOEL MATIAS</t>
        </is>
      </c>
      <c r="C4" s="296" t="inlineStr">
        <is>
          <t>Promedio Final / P. General</t>
        </is>
      </c>
      <c r="D4" s="296" t="n">
        <v>8.800000000000001</v>
      </c>
      <c r="E4" s="296" t="n">
        <v>8.84</v>
      </c>
      <c r="F4" s="296" t="n">
        <v>0.04</v>
      </c>
      <c r="G4" s="296" t="inlineStr">
        <is>
          <t>ERROR</t>
        </is>
      </c>
    </row>
    <row r="5" ht="20" customHeight="1" s="254">
      <c r="A5" s="296" t="inlineStr">
        <is>
          <t>8BM</t>
        </is>
      </c>
      <c r="B5" s="296" t="inlineStr">
        <is>
          <t>BARBECHO TELLO EMILY BRIGITTE</t>
        </is>
      </c>
      <c r="C5" s="296" t="inlineStr">
        <is>
          <t>Promedio Final / P. General</t>
        </is>
      </c>
      <c r="D5" s="296" t="n">
        <v>9.5</v>
      </c>
      <c r="E5" s="296" t="n">
        <v>9.56</v>
      </c>
      <c r="F5" s="296" t="n">
        <v>0.06</v>
      </c>
      <c r="G5" s="296" t="inlineStr">
        <is>
          <t>ERROR</t>
        </is>
      </c>
    </row>
    <row r="6" ht="20" customHeight="1" s="254">
      <c r="A6" s="296" t="inlineStr">
        <is>
          <t>8BM</t>
        </is>
      </c>
      <c r="B6" s="296" t="inlineStr">
        <is>
          <t>BELTRAN CARDENAS CRISTEL ALEJANDRA</t>
        </is>
      </c>
      <c r="C6" s="296" t="inlineStr">
        <is>
          <t>Promedio Final / P. General</t>
        </is>
      </c>
      <c r="D6" s="296" t="n">
        <v>9.32</v>
      </c>
      <c r="E6" s="296" t="n">
        <v>9.380000000000001</v>
      </c>
      <c r="F6" s="296" t="n">
        <v>0.06</v>
      </c>
      <c r="G6" s="296" t="inlineStr">
        <is>
          <t>ERROR</t>
        </is>
      </c>
    </row>
    <row r="7" ht="20" customHeight="1" s="254">
      <c r="A7" s="296" t="inlineStr">
        <is>
          <t>8BM</t>
        </is>
      </c>
      <c r="B7" s="296" t="inlineStr">
        <is>
          <t>CHAPA MARIN ANTHONY TOMAS</t>
        </is>
      </c>
      <c r="C7" s="296" t="inlineStr">
        <is>
          <t>Educación Física</t>
        </is>
      </c>
      <c r="D7" s="296" t="n">
        <v>8.539999999999999</v>
      </c>
      <c r="E7" s="296" t="n">
        <v>8.31</v>
      </c>
      <c r="F7" s="296" t="n">
        <v>0.23</v>
      </c>
      <c r="G7" s="296" t="inlineStr">
        <is>
          <t>ERROR</t>
        </is>
      </c>
    </row>
    <row r="8" ht="20" customHeight="1" s="254">
      <c r="A8" s="296" t="inlineStr">
        <is>
          <t>8BM</t>
        </is>
      </c>
      <c r="B8" s="296" t="inlineStr">
        <is>
          <t>CHAPA MARIN ANTHONY TOMAS</t>
        </is>
      </c>
      <c r="C8" s="296" t="inlineStr">
        <is>
          <t>Promedio Final / P. General</t>
        </is>
      </c>
      <c r="D8" s="296" t="n">
        <v>7.72</v>
      </c>
      <c r="E8" s="296" t="n">
        <v>7.66</v>
      </c>
      <c r="F8" s="296" t="n">
        <v>0.06</v>
      </c>
      <c r="G8" s="296" t="inlineStr">
        <is>
          <t>ERROR</t>
        </is>
      </c>
    </row>
    <row r="9" ht="20" customHeight="1" s="254">
      <c r="A9" s="296" t="inlineStr">
        <is>
          <t>8BM</t>
        </is>
      </c>
      <c r="B9" s="296" t="inlineStr">
        <is>
          <t>CHIMBOLEMA AREVALO WILLIAM ELIAS</t>
        </is>
      </c>
      <c r="C9" s="296" t="inlineStr">
        <is>
          <t>Promedio Final / P. General</t>
        </is>
      </c>
      <c r="D9" s="296" t="n">
        <v>8.66</v>
      </c>
      <c r="E9" s="296" t="n">
        <v>8.710000000000001</v>
      </c>
      <c r="F9" s="296" t="n">
        <v>0.05</v>
      </c>
      <c r="G9" s="296" t="inlineStr">
        <is>
          <t>ERROR</t>
        </is>
      </c>
    </row>
    <row r="10" ht="20" customHeight="1" s="254">
      <c r="A10" s="296" t="inlineStr">
        <is>
          <t>8BM</t>
        </is>
      </c>
      <c r="B10" s="296" t="inlineStr">
        <is>
          <t>CRESPO BARROS DAVID SEBASTIAN</t>
        </is>
      </c>
      <c r="C10" s="296" t="inlineStr">
        <is>
          <t>Promedio Final / P. General</t>
        </is>
      </c>
      <c r="D10" s="296" t="n">
        <v>8.19</v>
      </c>
      <c r="E10" s="296" t="n">
        <v>8.26</v>
      </c>
      <c r="F10" s="296" t="n">
        <v>0.07000000000000001</v>
      </c>
      <c r="G10" s="296" t="inlineStr">
        <is>
          <t>ERROR</t>
        </is>
      </c>
    </row>
    <row r="11" ht="20" customHeight="1" s="254">
      <c r="A11" s="296" t="inlineStr">
        <is>
          <t>8BM</t>
        </is>
      </c>
      <c r="B11" s="296" t="inlineStr">
        <is>
          <t>FARFAN ALVARADO MAYKEL YAHIR</t>
        </is>
      </c>
      <c r="C11" s="296" t="inlineStr">
        <is>
          <t>Promedio Final / P. General</t>
        </is>
      </c>
      <c r="D11" s="296" t="n">
        <v>9.050000000000001</v>
      </c>
      <c r="E11" s="296" t="n">
        <v>9.109999999999999</v>
      </c>
      <c r="F11" s="296" t="n">
        <v>0.06</v>
      </c>
      <c r="G11" s="296" t="inlineStr">
        <is>
          <t>ERROR</t>
        </is>
      </c>
    </row>
    <row r="12" ht="20" customHeight="1" s="254">
      <c r="A12" s="296" t="inlineStr">
        <is>
          <t>8BM</t>
        </is>
      </c>
      <c r="B12" s="296" t="inlineStr">
        <is>
          <t>GUALLPA JARA NATHALY GABRIELA</t>
        </is>
      </c>
      <c r="C12" s="296" t="inlineStr">
        <is>
          <t>Promedio Final / P. General</t>
        </is>
      </c>
      <c r="D12" s="296" t="n">
        <v>8.02</v>
      </c>
      <c r="E12" s="296" t="n">
        <v>8.06</v>
      </c>
      <c r="F12" s="296" t="n">
        <v>0.04</v>
      </c>
      <c r="G12" s="296" t="inlineStr">
        <is>
          <t>ERROR</t>
        </is>
      </c>
    </row>
    <row r="13" ht="20" customHeight="1" s="254">
      <c r="A13" s="296" t="inlineStr">
        <is>
          <t>8BM</t>
        </is>
      </c>
      <c r="B13" s="296" t="inlineStr">
        <is>
          <t>JUELA GOMEZ DOMENICA VALENTINA</t>
        </is>
      </c>
      <c r="C13" s="296" t="inlineStr">
        <is>
          <t>Promedio Final / P. General</t>
        </is>
      </c>
      <c r="D13" s="296" t="n">
        <v>8.94</v>
      </c>
      <c r="E13" s="296" t="n">
        <v>9.029999999999999</v>
      </c>
      <c r="F13" s="296" t="n">
        <v>0.09</v>
      </c>
      <c r="G13" s="296" t="inlineStr">
        <is>
          <t>ERROR</t>
        </is>
      </c>
    </row>
    <row r="14" ht="20" customHeight="1" s="254">
      <c r="A14" s="296" t="inlineStr">
        <is>
          <t>8BM</t>
        </is>
      </c>
      <c r="B14" s="296" t="inlineStr">
        <is>
          <t>LONDA ASMAL ANDERSON JULIAN</t>
        </is>
      </c>
      <c r="C14" s="296" t="inlineStr">
        <is>
          <t>Educación Física</t>
        </is>
      </c>
      <c r="D14" s="296" t="n">
        <v>7.57</v>
      </c>
      <c r="E14" s="296" t="n">
        <v>7.5</v>
      </c>
      <c r="F14" s="296" t="n">
        <v>0.07000000000000001</v>
      </c>
      <c r="G14" s="296" t="inlineStr">
        <is>
          <t>ERROR</t>
        </is>
      </c>
    </row>
    <row r="15" ht="20" customHeight="1" s="254">
      <c r="A15" s="296" t="inlineStr">
        <is>
          <t>8BM</t>
        </is>
      </c>
      <c r="B15" s="296" t="inlineStr">
        <is>
          <t>LONDA ASMAL ANDERSON JULIAN</t>
        </is>
      </c>
      <c r="C15" s="296" t="inlineStr">
        <is>
          <t>Promedio Final / P. General</t>
        </is>
      </c>
      <c r="D15" s="296" t="n">
        <v>7.24</v>
      </c>
      <c r="E15" s="296" t="n">
        <v>7.34</v>
      </c>
      <c r="F15" s="296" t="n">
        <v>0.1</v>
      </c>
      <c r="G15" s="296" t="inlineStr">
        <is>
          <t>ERROR</t>
        </is>
      </c>
    </row>
    <row r="16" ht="20" customHeight="1" s="254">
      <c r="A16" s="296" t="inlineStr">
        <is>
          <t>8BM</t>
        </is>
      </c>
      <c r="B16" s="296" t="inlineStr">
        <is>
          <t>LONDA PASTUIZACA ANTONY MATEO</t>
        </is>
      </c>
      <c r="C16" s="296" t="inlineStr">
        <is>
          <t>Promedio Final / P. General</t>
        </is>
      </c>
      <c r="D16" s="296" t="n">
        <v>8.02</v>
      </c>
      <c r="E16" s="296" t="n">
        <v>8.17</v>
      </c>
      <c r="F16" s="296" t="n">
        <v>0.15</v>
      </c>
      <c r="G16" s="296" t="inlineStr">
        <is>
          <t>ERROR</t>
        </is>
      </c>
    </row>
    <row r="17" ht="20" customHeight="1" s="254">
      <c r="A17" s="296" t="inlineStr">
        <is>
          <t>8BM</t>
        </is>
      </c>
      <c r="B17" s="296" t="inlineStr">
        <is>
          <t>MAYORGA JIMBO CHRISTOFER STALIN</t>
        </is>
      </c>
      <c r="C17" s="296" t="inlineStr">
        <is>
          <t>Promedio Final / P. General</t>
        </is>
      </c>
      <c r="D17" s="296" t="n">
        <v>7.37</v>
      </c>
      <c r="E17" s="296" t="n">
        <v>7.34</v>
      </c>
      <c r="F17" s="296" t="n">
        <v>0.03</v>
      </c>
      <c r="G17" s="296" t="inlineStr">
        <is>
          <t>ERROR</t>
        </is>
      </c>
    </row>
    <row r="18" ht="20" customHeight="1" s="254">
      <c r="A18" s="296" t="inlineStr">
        <is>
          <t>8BM</t>
        </is>
      </c>
      <c r="B18" s="296" t="inlineStr">
        <is>
          <t>MOROCHO HERNANDEZ KIMBERLY IVANA</t>
        </is>
      </c>
      <c r="C18" s="296" t="inlineStr">
        <is>
          <t>Promedio Final / P. General</t>
        </is>
      </c>
      <c r="D18" s="296" t="n">
        <v>7.87</v>
      </c>
      <c r="E18" s="296" t="n">
        <v>7.94</v>
      </c>
      <c r="F18" s="296" t="n">
        <v>0.07000000000000001</v>
      </c>
      <c r="G18" s="296" t="inlineStr">
        <is>
          <t>ERROR</t>
        </is>
      </c>
    </row>
    <row r="19" ht="20" customHeight="1" s="254">
      <c r="A19" s="296" t="inlineStr">
        <is>
          <t>8BM</t>
        </is>
      </c>
      <c r="B19" s="296" t="inlineStr">
        <is>
          <t>NACIPUCHA NACIPUCHA EDWIN ANDRES</t>
        </is>
      </c>
      <c r="C19" s="296" t="inlineStr">
        <is>
          <t>Estudios Sociales</t>
        </is>
      </c>
      <c r="D19" s="296" t="n">
        <v>8.15</v>
      </c>
      <c r="E19" s="296" t="n">
        <v>8.119999999999999</v>
      </c>
      <c r="F19" s="296" t="n">
        <v>0.03</v>
      </c>
      <c r="G19" s="296" t="inlineStr">
        <is>
          <t>ERROR</t>
        </is>
      </c>
    </row>
    <row r="20" ht="20" customHeight="1" s="254">
      <c r="A20" s="296" t="inlineStr">
        <is>
          <t>8BM</t>
        </is>
      </c>
      <c r="B20" s="296" t="inlineStr">
        <is>
          <t>NACIPUCHA NACIPUCHA EDWIN ANDRES</t>
        </is>
      </c>
      <c r="C20" s="296" t="inlineStr">
        <is>
          <t>Promedio Final / P. General</t>
        </is>
      </c>
      <c r="D20" s="296" t="n">
        <v>8.640000000000001</v>
      </c>
      <c r="E20" s="296" t="n">
        <v>8.699999999999999</v>
      </c>
      <c r="F20" s="296" t="n">
        <v>0.06</v>
      </c>
      <c r="G20" s="296" t="inlineStr">
        <is>
          <t>ERROR</t>
        </is>
      </c>
    </row>
    <row r="21" ht="20" customHeight="1" s="254">
      <c r="A21" s="297" t="inlineStr">
        <is>
          <t>8BM</t>
        </is>
      </c>
      <c r="B21" s="297" t="inlineStr">
        <is>
          <t>NIVICELA ESPINOZA OSCAR AARON</t>
        </is>
      </c>
      <c r="C21" s="297" t="inlineStr">
        <is>
          <t>SOLO EN DOCENTES</t>
        </is>
      </c>
      <c r="D21" s="297" t="inlineStr">
        <is>
          <t>-</t>
        </is>
      </c>
      <c r="E21" s="297" t="inlineStr">
        <is>
          <t>-</t>
        </is>
      </c>
      <c r="F21" s="297" t="inlineStr">
        <is>
          <t>-</t>
        </is>
      </c>
      <c r="G21" s="297" t="inlineStr">
        <is>
          <t>DESFASE DE NÓMINA</t>
        </is>
      </c>
    </row>
    <row r="22" ht="20" customHeight="1" s="254">
      <c r="A22" s="296" t="inlineStr">
        <is>
          <t>8BM</t>
        </is>
      </c>
      <c r="B22" s="296" t="inlineStr">
        <is>
          <t>PERALTA PUCHA JORDAN EDUARDO</t>
        </is>
      </c>
      <c r="C22" s="296" t="inlineStr">
        <is>
          <t>Estudios Sociales</t>
        </is>
      </c>
      <c r="D22" s="296" t="n">
        <v>3.68</v>
      </c>
      <c r="E22" s="296" t="n">
        <v>4</v>
      </c>
      <c r="F22" s="296" t="n">
        <v>0.32</v>
      </c>
      <c r="G22" s="296" t="inlineStr">
        <is>
          <t>ERROR</t>
        </is>
      </c>
    </row>
    <row r="23" ht="20" customHeight="1" s="254">
      <c r="A23" s="296" t="inlineStr">
        <is>
          <t>8BM</t>
        </is>
      </c>
      <c r="B23" s="296" t="inlineStr">
        <is>
          <t>PERALTA PUCHA JORDAN EDUARDO</t>
        </is>
      </c>
      <c r="C23" s="296" t="inlineStr">
        <is>
          <t>Inglés</t>
        </is>
      </c>
      <c r="D23" s="296" t="n">
        <v>4.75</v>
      </c>
      <c r="E23" s="296" t="n">
        <v>3.48</v>
      </c>
      <c r="F23" s="296" t="n">
        <v>1.27</v>
      </c>
      <c r="G23" s="296" t="inlineStr">
        <is>
          <t>ERROR</t>
        </is>
      </c>
    </row>
    <row r="24" ht="20" customHeight="1" s="254">
      <c r="A24" s="296" t="inlineStr">
        <is>
          <t>8BM</t>
        </is>
      </c>
      <c r="B24" s="296" t="inlineStr">
        <is>
          <t>PERALTA PUCHA JORDAN EDUARDO</t>
        </is>
      </c>
      <c r="C24" s="296" t="inlineStr">
        <is>
          <t>Educación Física</t>
        </is>
      </c>
      <c r="D24" s="296" t="n">
        <v>4.5</v>
      </c>
      <c r="E24" s="296" t="n">
        <v>4.83</v>
      </c>
      <c r="F24" s="296" t="n">
        <v>0.33</v>
      </c>
      <c r="G24" s="296" t="inlineStr">
        <is>
          <t>ERROR</t>
        </is>
      </c>
    </row>
    <row r="25" ht="20" customHeight="1" s="254">
      <c r="A25" s="296" t="inlineStr">
        <is>
          <t>8BM</t>
        </is>
      </c>
      <c r="B25" s="296" t="inlineStr">
        <is>
          <t>PERALTA PUCHA JORDAN EDUARDO</t>
        </is>
      </c>
      <c r="C25" s="296" t="inlineStr">
        <is>
          <t>Promedio Final / P. General</t>
        </is>
      </c>
      <c r="D25" s="296" t="n">
        <v>4.68</v>
      </c>
      <c r="E25" s="296" t="n">
        <v>4.59</v>
      </c>
      <c r="F25" s="296" t="n">
        <v>0.09</v>
      </c>
      <c r="G25" s="296" t="inlineStr">
        <is>
          <t>ERROR</t>
        </is>
      </c>
    </row>
    <row r="26" ht="20" customHeight="1" s="254">
      <c r="A26" s="296" t="inlineStr">
        <is>
          <t>8BM</t>
        </is>
      </c>
      <c r="B26" s="296" t="inlineStr">
        <is>
          <t>PIÑA LLANGARI NICOLE DOMENICA</t>
        </is>
      </c>
      <c r="C26" s="296" t="inlineStr">
        <is>
          <t>Promedio Final / P. General</t>
        </is>
      </c>
      <c r="D26" s="296" t="n">
        <v>8.26</v>
      </c>
      <c r="E26" s="296" t="n">
        <v>8.32</v>
      </c>
      <c r="F26" s="296" t="n">
        <v>0.06</v>
      </c>
      <c r="G26" s="296" t="inlineStr">
        <is>
          <t>ERROR</t>
        </is>
      </c>
    </row>
    <row r="27" ht="20" customHeight="1" s="254">
      <c r="A27" s="296" t="inlineStr">
        <is>
          <t>8BM</t>
        </is>
      </c>
      <c r="B27" s="296" t="inlineStr">
        <is>
          <t>QUINDE ZUMBA DANIEL ANDRES</t>
        </is>
      </c>
      <c r="C27" s="296" t="inlineStr">
        <is>
          <t>Inglés</t>
        </is>
      </c>
      <c r="D27" s="296" t="n">
        <v>10</v>
      </c>
      <c r="E27" s="296" t="n">
        <v>9.91</v>
      </c>
      <c r="F27" s="296" t="n">
        <v>0.09</v>
      </c>
      <c r="G27" s="296" t="inlineStr">
        <is>
          <t>ERROR</t>
        </is>
      </c>
    </row>
    <row r="28" ht="20" customHeight="1" s="254">
      <c r="A28" s="296" t="inlineStr">
        <is>
          <t>8BM</t>
        </is>
      </c>
      <c r="B28" s="296" t="inlineStr">
        <is>
          <t>SONGOR MUZHA ASHLEY NICOLE</t>
        </is>
      </c>
      <c r="C28" s="296" t="inlineStr">
        <is>
          <t>Promedio Final / P. General</t>
        </is>
      </c>
      <c r="D28" s="296" t="n">
        <v>8.26</v>
      </c>
      <c r="E28" s="296" t="n">
        <v>8.359999999999999</v>
      </c>
      <c r="F28" s="296" t="n">
        <v>0.1</v>
      </c>
      <c r="G28" s="296" t="inlineStr">
        <is>
          <t>ERROR</t>
        </is>
      </c>
    </row>
    <row r="29" ht="20" customHeight="1" s="254">
      <c r="A29" s="296" t="inlineStr">
        <is>
          <t>8BM</t>
        </is>
      </c>
      <c r="B29" s="296" t="inlineStr">
        <is>
          <t>SUCUZHAÑAY FERNANDEZ JENNIFER MISHELL</t>
        </is>
      </c>
      <c r="C29" s="296" t="inlineStr">
        <is>
          <t>Promedio Final / P. General</t>
        </is>
      </c>
      <c r="D29" s="296" t="n">
        <v>9.710000000000001</v>
      </c>
      <c r="E29" s="296" t="n">
        <v>9.74</v>
      </c>
      <c r="F29" s="296" t="n">
        <v>0.03</v>
      </c>
      <c r="G29" s="296" t="inlineStr">
        <is>
          <t>ERROR</t>
        </is>
      </c>
    </row>
    <row r="30" ht="20" customHeight="1" s="254">
      <c r="A30" s="296" t="inlineStr">
        <is>
          <t>8BM</t>
        </is>
      </c>
      <c r="B30" s="296" t="inlineStr">
        <is>
          <t>SUIN PERALTA DIEGO EMILIO</t>
        </is>
      </c>
      <c r="C30" s="296" t="inlineStr">
        <is>
          <t>Educación Física</t>
        </is>
      </c>
      <c r="D30" s="296" t="n">
        <v>7.77</v>
      </c>
      <c r="E30" s="296" t="n">
        <v>7.69</v>
      </c>
      <c r="F30" s="296" t="n">
        <v>0.08</v>
      </c>
      <c r="G30" s="296" t="inlineStr">
        <is>
          <t>ERROR</t>
        </is>
      </c>
    </row>
    <row r="31" ht="20" customHeight="1" s="254">
      <c r="A31" s="296" t="inlineStr">
        <is>
          <t>8BM</t>
        </is>
      </c>
      <c r="B31" s="296" t="inlineStr">
        <is>
          <t>SUIN PERALTA DIEGO EMILIO</t>
        </is>
      </c>
      <c r="C31" s="296" t="inlineStr">
        <is>
          <t>Promedio Final / P. General</t>
        </is>
      </c>
      <c r="D31" s="296" t="n">
        <v>7.43</v>
      </c>
      <c r="E31" s="296" t="n">
        <v>7.46</v>
      </c>
      <c r="F31" s="296" t="n">
        <v>0.03</v>
      </c>
      <c r="G31" s="296" t="inlineStr">
        <is>
          <t>ERROR</t>
        </is>
      </c>
    </row>
    <row r="32" ht="20" customHeight="1" s="254">
      <c r="A32" s="296" t="inlineStr">
        <is>
          <t>8BM</t>
        </is>
      </c>
      <c r="B32" s="296" t="inlineStr">
        <is>
          <t>TACURI NAVARRO AMANDA PAOLA</t>
        </is>
      </c>
      <c r="C32" s="296" t="inlineStr">
        <is>
          <t>Promedio Final / P. General</t>
        </is>
      </c>
      <c r="D32" s="296" t="n">
        <v>7.97</v>
      </c>
      <c r="E32" s="296" t="n">
        <v>8</v>
      </c>
      <c r="F32" s="296" t="n">
        <v>0.03</v>
      </c>
      <c r="G32" s="296" t="inlineStr">
        <is>
          <t>ERROR</t>
        </is>
      </c>
    </row>
    <row r="33" ht="20" customHeight="1" s="254">
      <c r="A33" s="296" t="inlineStr">
        <is>
          <t>8BM</t>
        </is>
      </c>
      <c r="B33" s="296" t="inlineStr">
        <is>
          <t>TACURI PINTADO RIHANNA TIFFANNY</t>
        </is>
      </c>
      <c r="C33" s="296" t="inlineStr">
        <is>
          <t>Inglés</t>
        </is>
      </c>
      <c r="D33" s="296" t="n">
        <v>6.92</v>
      </c>
      <c r="E33" s="296" t="n">
        <v>7.39</v>
      </c>
      <c r="F33" s="296" t="n">
        <v>0.47</v>
      </c>
      <c r="G33" s="296" t="inlineStr">
        <is>
          <t>ERROR</t>
        </is>
      </c>
    </row>
    <row r="34" ht="20" customHeight="1" s="254">
      <c r="A34" s="296" t="inlineStr">
        <is>
          <t>8BM</t>
        </is>
      </c>
      <c r="B34" s="296" t="inlineStr">
        <is>
          <t>TACURI PINTADO RIHANNA TIFFANNY</t>
        </is>
      </c>
      <c r="C34" s="296" t="inlineStr">
        <is>
          <t>Educación Física</t>
        </is>
      </c>
      <c r="D34" s="296" t="n">
        <v>7.47</v>
      </c>
      <c r="E34" s="296" t="n">
        <v>7.39</v>
      </c>
      <c r="F34" s="296" t="n">
        <v>0.08</v>
      </c>
      <c r="G34" s="296" t="inlineStr">
        <is>
          <t>ERROR</t>
        </is>
      </c>
    </row>
    <row r="35" ht="20" customHeight="1" s="254">
      <c r="A35" s="296" t="inlineStr">
        <is>
          <t>8BM</t>
        </is>
      </c>
      <c r="B35" s="296" t="inlineStr">
        <is>
          <t>TACURI PINTADO RIHANNA TIFFANNY</t>
        </is>
      </c>
      <c r="C35" s="296" t="inlineStr">
        <is>
          <t>Promedio Final / P. General</t>
        </is>
      </c>
      <c r="D35" s="296" t="n">
        <v>6.57</v>
      </c>
      <c r="E35" s="296" t="n">
        <v>5.57</v>
      </c>
      <c r="F35" s="296" t="n">
        <v>1</v>
      </c>
      <c r="G35" s="296" t="inlineStr">
        <is>
          <t>ERROR</t>
        </is>
      </c>
    </row>
    <row r="36" ht="20" customHeight="1" s="254">
      <c r="A36" s="296" t="inlineStr">
        <is>
          <t>8BM</t>
        </is>
      </c>
      <c r="B36" s="296" t="inlineStr">
        <is>
          <t>TENEMAZA LEMA VERONICA LIZBETH</t>
        </is>
      </c>
      <c r="C36" s="296" t="inlineStr">
        <is>
          <t>Promedio Final / P. General</t>
        </is>
      </c>
      <c r="D36" s="296" t="n">
        <v>9.26</v>
      </c>
      <c r="E36" s="296" t="n">
        <v>9.300000000000001</v>
      </c>
      <c r="F36" s="296" t="n">
        <v>0.04</v>
      </c>
      <c r="G36" s="296" t="inlineStr">
        <is>
          <t>ERROR</t>
        </is>
      </c>
    </row>
    <row r="37" ht="20" customHeight="1" s="254">
      <c r="A37" s="297" t="inlineStr">
        <is>
          <t>8BM</t>
        </is>
      </c>
      <c r="B37" s="297" t="inlineStr">
        <is>
          <t>TOCTE CORRALES SHIRLE LISETH</t>
        </is>
      </c>
      <c r="C37" s="297" t="inlineStr">
        <is>
          <t>SOLO EN DOCENTES</t>
        </is>
      </c>
      <c r="D37" s="297" t="inlineStr">
        <is>
          <t>-</t>
        </is>
      </c>
      <c r="E37" s="297" t="inlineStr">
        <is>
          <t>-</t>
        </is>
      </c>
      <c r="F37" s="297" t="inlineStr">
        <is>
          <t>-</t>
        </is>
      </c>
      <c r="G37" s="297" t="inlineStr">
        <is>
          <t>DESFASE DE NÓMINA</t>
        </is>
      </c>
    </row>
    <row r="38" ht="20" customHeight="1" s="254">
      <c r="A38" s="296" t="inlineStr">
        <is>
          <t>8BM</t>
        </is>
      </c>
      <c r="B38" s="296" t="inlineStr">
        <is>
          <t>UZHCA BANEGAS DANIELA ESTEFANIA</t>
        </is>
      </c>
      <c r="C38" s="296" t="inlineStr">
        <is>
          <t>Promedio Final / P. General</t>
        </is>
      </c>
      <c r="D38" s="296" t="n">
        <v>9.5</v>
      </c>
      <c r="E38" s="296" t="n">
        <v>9.550000000000001</v>
      </c>
      <c r="F38" s="296" t="n">
        <v>0.05</v>
      </c>
      <c r="G38" s="296" t="inlineStr">
        <is>
          <t>ERROR</t>
        </is>
      </c>
    </row>
    <row r="39" ht="20" customHeight="1" s="254">
      <c r="A39" s="297" t="inlineStr">
        <is>
          <t>8BM</t>
        </is>
      </c>
      <c r="B39" s="297" t="inlineStr">
        <is>
          <t>VIÑANZACA GUAMÁN ELIAN JOEL</t>
        </is>
      </c>
      <c r="C39" s="297" t="inlineStr">
        <is>
          <t>(NÓMINA)</t>
        </is>
      </c>
      <c r="D39" s="297" t="inlineStr">
        <is>
          <t>-</t>
        </is>
      </c>
      <c r="E39" s="297" t="inlineStr">
        <is>
          <t>-</t>
        </is>
      </c>
      <c r="F39" s="297" t="inlineStr">
        <is>
          <t>-</t>
        </is>
      </c>
      <c r="G39" s="297" t="inlineStr">
        <is>
          <t>DESFASE DE NÓMINA</t>
        </is>
      </c>
    </row>
    <row r="40" ht="20" customHeight="1" s="254">
      <c r="A40" s="297" t="inlineStr">
        <is>
          <t>8BM</t>
        </is>
      </c>
      <c r="B40" s="297" t="inlineStr">
        <is>
          <t>VIZHÑAY MUÑOZ BRAYAN DAMIAN</t>
        </is>
      </c>
      <c r="C40" s="297" t="inlineStr">
        <is>
          <t>(NÓMINA)</t>
        </is>
      </c>
      <c r="D40" s="297" t="inlineStr">
        <is>
          <t>-</t>
        </is>
      </c>
      <c r="E40" s="297" t="inlineStr">
        <is>
          <t>-</t>
        </is>
      </c>
      <c r="F40" s="297" t="inlineStr">
        <is>
          <t>-</t>
        </is>
      </c>
      <c r="G40" s="297" t="inlineStr">
        <is>
          <t>DESFASE DE NÓMINA</t>
        </is>
      </c>
    </row>
    <row r="41" ht="20" customHeight="1" s="254">
      <c r="A41" s="296" t="inlineStr">
        <is>
          <t>8BM</t>
        </is>
      </c>
      <c r="B41" s="296" t="inlineStr">
        <is>
          <t>ZHANGALLIMBAY VEGA KAREN DOMENICA</t>
        </is>
      </c>
      <c r="C41" s="296" t="inlineStr">
        <is>
          <t>Promedio Final / P. General</t>
        </is>
      </c>
      <c r="D41" s="296" t="n">
        <v>8.27</v>
      </c>
      <c r="E41" s="296" t="n">
        <v>8.35</v>
      </c>
      <c r="F41" s="296" t="n">
        <v>0.08</v>
      </c>
      <c r="G41" s="296" t="inlineStr">
        <is>
          <t>ERROR</t>
        </is>
      </c>
    </row>
    <row r="42" ht="20" customHeight="1" s="254">
      <c r="A42" s="297" t="inlineStr">
        <is>
          <t>8BM</t>
        </is>
      </c>
      <c r="B42" s="297" t="inlineStr">
        <is>
          <t>NIVICELA ESPINOZA JOSCAR AARON</t>
        </is>
      </c>
      <c r="C42" s="297" t="inlineStr">
        <is>
          <t>SOLO EN SISTEMA</t>
        </is>
      </c>
      <c r="D42" s="297" t="inlineStr">
        <is>
          <t>-</t>
        </is>
      </c>
      <c r="E42" s="297" t="inlineStr">
        <is>
          <t>-</t>
        </is>
      </c>
      <c r="F42" s="297" t="inlineStr">
        <is>
          <t>-</t>
        </is>
      </c>
      <c r="G42" s="297" t="inlineStr">
        <is>
          <t>DESFASE DE NÓMINA</t>
        </is>
      </c>
    </row>
    <row r="43" ht="20" customHeight="1" s="254">
      <c r="A43" s="297" t="inlineStr">
        <is>
          <t>8BM</t>
        </is>
      </c>
      <c r="B43" s="297" t="inlineStr">
        <is>
          <t>TOCTE CORRALES SHYRLE LISETH</t>
        </is>
      </c>
      <c r="C43" s="297" t="inlineStr">
        <is>
          <t>SOLO EN SISTEMA</t>
        </is>
      </c>
      <c r="D43" s="297" t="inlineStr">
        <is>
          <t>-</t>
        </is>
      </c>
      <c r="E43" s="297" t="inlineStr">
        <is>
          <t>-</t>
        </is>
      </c>
      <c r="F43" s="297" t="inlineStr">
        <is>
          <t>-</t>
        </is>
      </c>
      <c r="G43" s="297" t="inlineStr">
        <is>
          <t>DESFASE DE NÓMINA</t>
        </is>
      </c>
    </row>
    <row r="44" ht="20" customHeight="1" s="254">
      <c r="A44" s="297" t="inlineStr">
        <is>
          <t>9AM</t>
        </is>
      </c>
      <c r="B44" s="297" t="inlineStr">
        <is>
          <t>AGUDELO ARTAHOMA ISAAC ALEXANDER</t>
        </is>
      </c>
      <c r="C44" s="297" t="inlineStr">
        <is>
          <t>SOLO EN DOCENTES</t>
        </is>
      </c>
      <c r="D44" s="297" t="inlineStr">
        <is>
          <t>-</t>
        </is>
      </c>
      <c r="E44" s="297" t="inlineStr">
        <is>
          <t>-</t>
        </is>
      </c>
      <c r="F44" s="297" t="inlineStr">
        <is>
          <t>-</t>
        </is>
      </c>
      <c r="G44" s="297" t="inlineStr">
        <is>
          <t>DESFASE DE NÓMINA</t>
        </is>
      </c>
    </row>
    <row r="45" ht="20" customHeight="1" s="254">
      <c r="A45" s="297" t="inlineStr">
        <is>
          <t>9AM</t>
        </is>
      </c>
      <c r="B45" s="297" t="inlineStr">
        <is>
          <t>BELDUMA BELDUMA MAYETSSI</t>
        </is>
      </c>
      <c r="C45" s="297" t="inlineStr">
        <is>
          <t>SOLO EN DOCENTES</t>
        </is>
      </c>
      <c r="D45" s="297" t="inlineStr">
        <is>
          <t>-</t>
        </is>
      </c>
      <c r="E45" s="297" t="inlineStr">
        <is>
          <t>-</t>
        </is>
      </c>
      <c r="F45" s="297" t="inlineStr">
        <is>
          <t>-</t>
        </is>
      </c>
      <c r="G45" s="297" t="inlineStr">
        <is>
          <t>DESFASE DE NÓMINA</t>
        </is>
      </c>
    </row>
    <row r="46" ht="20" customHeight="1" s="254">
      <c r="A46" s="297" t="inlineStr">
        <is>
          <t>9AM</t>
        </is>
      </c>
      <c r="B46" s="297" t="inlineStr">
        <is>
          <t>CHUÑIR NAREA LUYZIANA VICTORIA</t>
        </is>
      </c>
      <c r="C46" s="297" t="inlineStr">
        <is>
          <t>(NÓMINA)</t>
        </is>
      </c>
      <c r="D46" s="297" t="inlineStr">
        <is>
          <t>-</t>
        </is>
      </c>
      <c r="E46" s="297" t="inlineStr">
        <is>
          <t>-</t>
        </is>
      </c>
      <c r="F46" s="297" t="inlineStr">
        <is>
          <t>-</t>
        </is>
      </c>
      <c r="G46" s="297" t="inlineStr">
        <is>
          <t>DESFASE DE NÓMINA</t>
        </is>
      </c>
    </row>
    <row r="47" ht="20" customHeight="1" s="254">
      <c r="A47" s="297" t="inlineStr">
        <is>
          <t>9AM</t>
        </is>
      </c>
      <c r="B47" s="297" t="inlineStr">
        <is>
          <t>CHUVA LLANOS RONALD ALEXANDER</t>
        </is>
      </c>
      <c r="C47" s="297" t="inlineStr">
        <is>
          <t>(NÓMINA)</t>
        </is>
      </c>
      <c r="D47" s="297" t="inlineStr">
        <is>
          <t>-</t>
        </is>
      </c>
      <c r="E47" s="297" t="inlineStr">
        <is>
          <t>-</t>
        </is>
      </c>
      <c r="F47" s="297" t="inlineStr">
        <is>
          <t>-</t>
        </is>
      </c>
      <c r="G47" s="297" t="inlineStr">
        <is>
          <t>DESFASE DE NÓMINA</t>
        </is>
      </c>
    </row>
    <row r="48" ht="20" customHeight="1" s="254">
      <c r="A48" s="296" t="inlineStr">
        <is>
          <t>9AM</t>
        </is>
      </c>
      <c r="B48" s="296" t="inlineStr">
        <is>
          <t>CHUVA LLANOS RONALD ALEXANDER</t>
        </is>
      </c>
      <c r="C48" s="296" t="inlineStr">
        <is>
          <t>Educación Cultural y Artística</t>
        </is>
      </c>
      <c r="D48" s="296" t="n">
        <v>7.65</v>
      </c>
      <c r="E48" s="296" t="n">
        <v>7.43</v>
      </c>
      <c r="F48" s="296" t="n">
        <v>0.22</v>
      </c>
      <c r="G48" s="296" t="inlineStr">
        <is>
          <t>ERROR</t>
        </is>
      </c>
    </row>
    <row r="49" ht="20" customHeight="1" s="254">
      <c r="A49" s="296" t="inlineStr">
        <is>
          <t>9AM</t>
        </is>
      </c>
      <c r="B49" s="296" t="inlineStr">
        <is>
          <t>CHUVA LLANOS RONALD ALEXANDER</t>
        </is>
      </c>
      <c r="C49" s="296" t="inlineStr">
        <is>
          <t>Promedio Final / P. General</t>
        </is>
      </c>
      <c r="D49" s="296" t="n">
        <v>7.32</v>
      </c>
      <c r="E49" s="296" t="n">
        <v>7.29</v>
      </c>
      <c r="F49" s="296" t="n">
        <v>0.03</v>
      </c>
      <c r="G49" s="296" t="inlineStr">
        <is>
          <t>ERROR</t>
        </is>
      </c>
    </row>
    <row r="50" ht="20" customHeight="1" s="254">
      <c r="A50" s="297" t="inlineStr">
        <is>
          <t>9AM</t>
        </is>
      </c>
      <c r="B50" s="297" t="inlineStr">
        <is>
          <t>LOPEZ DELGADO DANNY LEONEL</t>
        </is>
      </c>
      <c r="C50" s="297" t="inlineStr">
        <is>
          <t>SOLO EN DOCENTES</t>
        </is>
      </c>
      <c r="D50" s="297" t="inlineStr">
        <is>
          <t>-</t>
        </is>
      </c>
      <c r="E50" s="297" t="inlineStr">
        <is>
          <t>-</t>
        </is>
      </c>
      <c r="F50" s="297" t="inlineStr">
        <is>
          <t>-</t>
        </is>
      </c>
      <c r="G50" s="297" t="inlineStr">
        <is>
          <t>DESFASE DE NÓMINA</t>
        </is>
      </c>
    </row>
    <row r="51" ht="20" customHeight="1" s="254">
      <c r="A51" s="297" t="inlineStr">
        <is>
          <t>9AM</t>
        </is>
      </c>
      <c r="B51" s="297" t="inlineStr">
        <is>
          <t>OLAYA GRANDA MIGUEL ANGEL</t>
        </is>
      </c>
      <c r="C51" s="297" t="inlineStr">
        <is>
          <t>(NÓMINA)</t>
        </is>
      </c>
      <c r="D51" s="297" t="inlineStr">
        <is>
          <t>-</t>
        </is>
      </c>
      <c r="E51" s="297" t="inlineStr">
        <is>
          <t>-</t>
        </is>
      </c>
      <c r="F51" s="297" t="inlineStr">
        <is>
          <t>-</t>
        </is>
      </c>
      <c r="G51" s="297" t="inlineStr">
        <is>
          <t>DESFASE DE NÓMINA</t>
        </is>
      </c>
    </row>
    <row r="52" ht="20" customHeight="1" s="254">
      <c r="A52" s="297" t="inlineStr">
        <is>
          <t>9AM</t>
        </is>
      </c>
      <c r="B52" s="297" t="inlineStr">
        <is>
          <t>OLAYA PINTADO AMBAR DANELLE</t>
        </is>
      </c>
      <c r="C52" s="297" t="inlineStr">
        <is>
          <t>(NÓMINA)</t>
        </is>
      </c>
      <c r="D52" s="297" t="inlineStr">
        <is>
          <t>-</t>
        </is>
      </c>
      <c r="E52" s="297" t="inlineStr">
        <is>
          <t>-</t>
        </is>
      </c>
      <c r="F52" s="297" t="inlineStr">
        <is>
          <t>-</t>
        </is>
      </c>
      <c r="G52" s="297" t="inlineStr">
        <is>
          <t>DESFASE DE NÓMINA</t>
        </is>
      </c>
    </row>
    <row r="53" ht="20" customHeight="1" s="254">
      <c r="A53" s="297" t="inlineStr">
        <is>
          <t>9AM</t>
        </is>
      </c>
      <c r="B53" s="297" t="inlineStr">
        <is>
          <t>PEÑAFIEL VELECELA NATALY PAMELA</t>
        </is>
      </c>
      <c r="C53" s="297" t="inlineStr">
        <is>
          <t>(NÓMINA)</t>
        </is>
      </c>
      <c r="D53" s="297" t="inlineStr">
        <is>
          <t>-</t>
        </is>
      </c>
      <c r="E53" s="297" t="inlineStr">
        <is>
          <t>-</t>
        </is>
      </c>
      <c r="F53" s="297" t="inlineStr">
        <is>
          <t>-</t>
        </is>
      </c>
      <c r="G53" s="297" t="inlineStr">
        <is>
          <t>DESFASE DE NÓMINA</t>
        </is>
      </c>
    </row>
    <row r="54" ht="20" customHeight="1" s="254">
      <c r="A54" s="297" t="inlineStr">
        <is>
          <t>9AM</t>
        </is>
      </c>
      <c r="B54" s="297" t="inlineStr">
        <is>
          <t>PIÑA BONETE BRYAN ISMAEL</t>
        </is>
      </c>
      <c r="C54" s="297" t="inlineStr">
        <is>
          <t>(NÓMINA)</t>
        </is>
      </c>
      <c r="D54" s="297" t="inlineStr">
        <is>
          <t>-</t>
        </is>
      </c>
      <c r="E54" s="297" t="inlineStr">
        <is>
          <t>-</t>
        </is>
      </c>
      <c r="F54" s="297" t="inlineStr">
        <is>
          <t>-</t>
        </is>
      </c>
      <c r="G54" s="297" t="inlineStr">
        <is>
          <t>DESFASE DE NÓMINA</t>
        </is>
      </c>
    </row>
    <row r="55" ht="20" customHeight="1" s="254">
      <c r="A55" s="297" t="inlineStr">
        <is>
          <t>9AM</t>
        </is>
      </c>
      <c r="B55" s="297" t="inlineStr">
        <is>
          <t>RODRIGUEZ SARMIENTO TATIANA JHOMAYRA</t>
        </is>
      </c>
      <c r="C55" s="297" t="inlineStr">
        <is>
          <t>(NÓMINA)</t>
        </is>
      </c>
      <c r="D55" s="297" t="inlineStr">
        <is>
          <t>-</t>
        </is>
      </c>
      <c r="E55" s="297" t="inlineStr">
        <is>
          <t>-</t>
        </is>
      </c>
      <c r="F55" s="297" t="inlineStr">
        <is>
          <t>-</t>
        </is>
      </c>
      <c r="G55" s="297" t="inlineStr">
        <is>
          <t>DESFASE DE NÓMINA</t>
        </is>
      </c>
    </row>
    <row r="56" ht="20" customHeight="1" s="254">
      <c r="A56" s="297" t="inlineStr">
        <is>
          <t>9AM</t>
        </is>
      </c>
      <c r="B56" s="297" t="inlineStr">
        <is>
          <t>SIMBAÑA CABRERA BIANCA ALEJANDRA</t>
        </is>
      </c>
      <c r="C56" s="297" t="inlineStr">
        <is>
          <t>(NÓMINA)</t>
        </is>
      </c>
      <c r="D56" s="297" t="inlineStr">
        <is>
          <t>-</t>
        </is>
      </c>
      <c r="E56" s="297" t="inlineStr">
        <is>
          <t>-</t>
        </is>
      </c>
      <c r="F56" s="297" t="inlineStr">
        <is>
          <t>-</t>
        </is>
      </c>
      <c r="G56" s="297" t="inlineStr">
        <is>
          <t>DESFASE DE NÓMINA</t>
        </is>
      </c>
    </row>
    <row r="57" ht="20" customHeight="1" s="254">
      <c r="A57" s="297" t="inlineStr">
        <is>
          <t>9AM</t>
        </is>
      </c>
      <c r="B57" s="297" t="inlineStr">
        <is>
          <t>SINCHI GARCIA ALEXIS JOEL</t>
        </is>
      </c>
      <c r="C57" s="297" t="inlineStr">
        <is>
          <t>(NÓMINA)</t>
        </is>
      </c>
      <c r="D57" s="297" t="inlineStr">
        <is>
          <t>-</t>
        </is>
      </c>
      <c r="E57" s="297" t="inlineStr">
        <is>
          <t>-</t>
        </is>
      </c>
      <c r="F57" s="297" t="inlineStr">
        <is>
          <t>-</t>
        </is>
      </c>
      <c r="G57" s="297" t="inlineStr">
        <is>
          <t>DESFASE DE NÓMINA</t>
        </is>
      </c>
    </row>
    <row r="58" ht="20" customHeight="1" s="254">
      <c r="A58" s="297" t="inlineStr">
        <is>
          <t>9AM</t>
        </is>
      </c>
      <c r="B58" s="297" t="inlineStr">
        <is>
          <t>TAMAYO SIAVICHAY EMILY ALEJANDRA</t>
        </is>
      </c>
      <c r="C58" s="297" t="inlineStr">
        <is>
          <t>(NÓMINA)</t>
        </is>
      </c>
      <c r="D58" s="297" t="inlineStr">
        <is>
          <t>-</t>
        </is>
      </c>
      <c r="E58" s="297" t="inlineStr">
        <is>
          <t>-</t>
        </is>
      </c>
      <c r="F58" s="297" t="inlineStr">
        <is>
          <t>-</t>
        </is>
      </c>
      <c r="G58" s="297" t="inlineStr">
        <is>
          <t>DESFASE DE NÓMINA</t>
        </is>
      </c>
    </row>
    <row r="59" ht="20" customHeight="1" s="254">
      <c r="A59" s="297" t="inlineStr">
        <is>
          <t>9AM</t>
        </is>
      </c>
      <c r="B59" s="297" t="inlineStr">
        <is>
          <t>TORRES LATA ADRIANA JAZU</t>
        </is>
      </c>
      <c r="C59" s="297" t="inlineStr">
        <is>
          <t>(NÓMINA)</t>
        </is>
      </c>
      <c r="D59" s="297" t="inlineStr">
        <is>
          <t>-</t>
        </is>
      </c>
      <c r="E59" s="297" t="inlineStr">
        <is>
          <t>-</t>
        </is>
      </c>
      <c r="F59" s="297" t="inlineStr">
        <is>
          <t>-</t>
        </is>
      </c>
      <c r="G59" s="297" t="inlineStr">
        <is>
          <t>DESFASE DE NÓMINA</t>
        </is>
      </c>
    </row>
    <row r="60" ht="20" customHeight="1" s="254">
      <c r="A60" s="297" t="inlineStr">
        <is>
          <t>9AM</t>
        </is>
      </c>
      <c r="B60" s="297" t="inlineStr">
        <is>
          <t>VACA GONZALEZ PAUL GEOVANNY</t>
        </is>
      </c>
      <c r="C60" s="297" t="inlineStr">
        <is>
          <t>(NÓMINA)</t>
        </is>
      </c>
      <c r="D60" s="297" t="inlineStr">
        <is>
          <t>-</t>
        </is>
      </c>
      <c r="E60" s="297" t="inlineStr">
        <is>
          <t>-</t>
        </is>
      </c>
      <c r="F60" s="297" t="inlineStr">
        <is>
          <t>-</t>
        </is>
      </c>
      <c r="G60" s="297" t="inlineStr">
        <is>
          <t>DESFASE DE NÓMINA</t>
        </is>
      </c>
    </row>
    <row r="61" ht="20" customHeight="1" s="254">
      <c r="A61" s="297" t="inlineStr">
        <is>
          <t>9AM</t>
        </is>
      </c>
      <c r="B61" s="297" t="inlineStr">
        <is>
          <t>VASQUEZ YUNGA JHOSUE DAMIAN</t>
        </is>
      </c>
      <c r="C61" s="297" t="inlineStr">
        <is>
          <t>(NÓMINA)</t>
        </is>
      </c>
      <c r="D61" s="297" t="inlineStr">
        <is>
          <t>-</t>
        </is>
      </c>
      <c r="E61" s="297" t="inlineStr">
        <is>
          <t>-</t>
        </is>
      </c>
      <c r="F61" s="297" t="inlineStr">
        <is>
          <t>-</t>
        </is>
      </c>
      <c r="G61" s="297" t="inlineStr">
        <is>
          <t>DESFASE DE NÓMINA</t>
        </is>
      </c>
    </row>
    <row r="62" ht="20" customHeight="1" s="254">
      <c r="A62" s="296" t="inlineStr">
        <is>
          <t>9AM</t>
        </is>
      </c>
      <c r="B62" s="296" t="inlineStr">
        <is>
          <t>VASQUEZ YUNGA JHOSUE DAMIAN</t>
        </is>
      </c>
      <c r="C62" s="296" t="inlineStr">
        <is>
          <t>Estudios Sociales</t>
        </is>
      </c>
      <c r="D62" s="296" t="n">
        <v>7.16</v>
      </c>
      <c r="E62" s="296" t="n">
        <v>7.47</v>
      </c>
      <c r="F62" s="296" t="n">
        <v>0.31</v>
      </c>
      <c r="G62" s="296" t="inlineStr">
        <is>
          <t>ERROR</t>
        </is>
      </c>
    </row>
    <row r="63" ht="20" customHeight="1" s="254">
      <c r="A63" s="296" t="inlineStr">
        <is>
          <t>9AM</t>
        </is>
      </c>
      <c r="B63" s="296" t="inlineStr">
        <is>
          <t>VASQUEZ YUNGA JHOSUE DAMIAN</t>
        </is>
      </c>
      <c r="C63" s="296" t="inlineStr">
        <is>
          <t>Inglés</t>
        </is>
      </c>
      <c r="D63" s="296" t="n">
        <v>7.1</v>
      </c>
      <c r="E63" s="296" t="n">
        <v>7.16</v>
      </c>
      <c r="F63" s="296" t="n">
        <v>0.06</v>
      </c>
      <c r="G63" s="296" t="inlineStr">
        <is>
          <t>ERROR</t>
        </is>
      </c>
    </row>
    <row r="64" ht="20" customHeight="1" s="254">
      <c r="A64" s="296" t="inlineStr">
        <is>
          <t>9AM</t>
        </is>
      </c>
      <c r="B64" s="296" t="inlineStr">
        <is>
          <t>VASQUEZ YUNGA JHOSUE DAMIAN</t>
        </is>
      </c>
      <c r="C64" s="296" t="inlineStr">
        <is>
          <t>Promedio Final / P. General</t>
        </is>
      </c>
      <c r="D64" s="296" t="n">
        <v>7.6</v>
      </c>
      <c r="E64" s="296" t="n">
        <v>7.65</v>
      </c>
      <c r="F64" s="296" t="n">
        <v>0.05</v>
      </c>
      <c r="G64" s="296" t="inlineStr">
        <is>
          <t>ERROR</t>
        </is>
      </c>
    </row>
    <row r="65" ht="20" customHeight="1" s="254">
      <c r="A65" s="296" t="inlineStr">
        <is>
          <t>9AM</t>
        </is>
      </c>
      <c r="B65" s="296" t="inlineStr">
        <is>
          <t>YADAICELA SAICO JHOSTIN MATEO</t>
        </is>
      </c>
      <c r="C65" s="296" t="inlineStr">
        <is>
          <t>Estudios Sociales</t>
        </is>
      </c>
      <c r="D65" s="296" t="n">
        <v>8.58</v>
      </c>
      <c r="E65" s="296" t="n">
        <v>8.199999999999999</v>
      </c>
      <c r="F65" s="296" t="n">
        <v>0.38</v>
      </c>
      <c r="G65" s="296" t="inlineStr">
        <is>
          <t>ERROR</t>
        </is>
      </c>
    </row>
    <row r="66" ht="20" customHeight="1" s="254">
      <c r="A66" s="296" t="inlineStr">
        <is>
          <t>9AM</t>
        </is>
      </c>
      <c r="B66" s="296" t="inlineStr">
        <is>
          <t>YADAICELA SAICO JHOSTIN MATEO</t>
        </is>
      </c>
      <c r="C66" s="296" t="inlineStr">
        <is>
          <t>Promedio Final / P. General</t>
        </is>
      </c>
      <c r="D66" s="296" t="n">
        <v>8.710000000000001</v>
      </c>
      <c r="E66" s="296" t="n">
        <v>8.65</v>
      </c>
      <c r="F66" s="296" t="n">
        <v>0.06</v>
      </c>
      <c r="G66" s="296" t="inlineStr">
        <is>
          <t>ERROR</t>
        </is>
      </c>
    </row>
    <row r="67" ht="20" customHeight="1" s="254">
      <c r="A67" s="296" t="inlineStr">
        <is>
          <t>9AM</t>
        </is>
      </c>
      <c r="B67" s="296" t="inlineStr">
        <is>
          <t>YANZA JARRIN JEFFREY ALBERTO</t>
        </is>
      </c>
      <c r="C67" s="296" t="inlineStr">
        <is>
          <t>Estudios Sociales</t>
        </is>
      </c>
      <c r="D67" s="296" t="n">
        <v>9.119999999999999</v>
      </c>
      <c r="E67" s="296" t="n">
        <v>8.92</v>
      </c>
      <c r="F67" s="296" t="n">
        <v>0.2</v>
      </c>
      <c r="G67" s="296" t="inlineStr">
        <is>
          <t>ERROR</t>
        </is>
      </c>
    </row>
    <row r="68" ht="20" customHeight="1" s="254">
      <c r="A68" s="296" t="inlineStr">
        <is>
          <t>9AM</t>
        </is>
      </c>
      <c r="B68" s="296" t="inlineStr">
        <is>
          <t>YANZA JARRIN JEFFREY ALBERTO</t>
        </is>
      </c>
      <c r="C68" s="296" t="inlineStr">
        <is>
          <t>Inglés</t>
        </is>
      </c>
      <c r="D68" s="296" t="n">
        <v>9.07</v>
      </c>
      <c r="E68" s="296" t="n">
        <v>9.119999999999999</v>
      </c>
      <c r="F68" s="296" t="n">
        <v>0.05</v>
      </c>
      <c r="G68" s="296" t="inlineStr">
        <is>
          <t>ERROR</t>
        </is>
      </c>
    </row>
    <row r="69" ht="20" customHeight="1" s="254">
      <c r="A69" s="297" t="inlineStr">
        <is>
          <t>9AM</t>
        </is>
      </c>
      <c r="B69" s="297" t="inlineStr">
        <is>
          <t>AGUDELO ARTAHONA ISAAC ALEXANDER</t>
        </is>
      </c>
      <c r="C69" s="297" t="inlineStr">
        <is>
          <t>SOLO EN SISTEMA</t>
        </is>
      </c>
      <c r="D69" s="297" t="inlineStr">
        <is>
          <t>-</t>
        </is>
      </c>
      <c r="E69" s="297" t="inlineStr">
        <is>
          <t>-</t>
        </is>
      </c>
      <c r="F69" s="297" t="inlineStr">
        <is>
          <t>-</t>
        </is>
      </c>
      <c r="G69" s="297" t="inlineStr">
        <is>
          <t>DESFASE DE NÓMINA</t>
        </is>
      </c>
    </row>
    <row r="70" ht="20" customHeight="1" s="254">
      <c r="A70" s="297" t="inlineStr">
        <is>
          <t>9AM</t>
        </is>
      </c>
      <c r="B70" s="297" t="inlineStr">
        <is>
          <t>BELDUMA BELDUMA MAYETSSI YULEYMY</t>
        </is>
      </c>
      <c r="C70" s="297" t="inlineStr">
        <is>
          <t>SOLO EN SISTEMA</t>
        </is>
      </c>
      <c r="D70" s="297" t="inlineStr">
        <is>
          <t>-</t>
        </is>
      </c>
      <c r="E70" s="297" t="inlineStr">
        <is>
          <t>-</t>
        </is>
      </c>
      <c r="F70" s="297" t="inlineStr">
        <is>
          <t>-</t>
        </is>
      </c>
      <c r="G70" s="297" t="inlineStr">
        <is>
          <t>DESFASE DE NÓMINA</t>
        </is>
      </c>
    </row>
    <row r="71" ht="20" customHeight="1" s="254">
      <c r="A71" s="297" t="inlineStr">
        <is>
          <t>9AM</t>
        </is>
      </c>
      <c r="B71" s="297" t="inlineStr">
        <is>
          <t>VILLAVICENCIO NAVARRO DARWIN ADRIAN</t>
        </is>
      </c>
      <c r="C71" s="297" t="inlineStr">
        <is>
          <t>SOLO EN SISTEMA</t>
        </is>
      </c>
      <c r="D71" s="297" t="inlineStr">
        <is>
          <t>-</t>
        </is>
      </c>
      <c r="E71" s="297" t="inlineStr">
        <is>
          <t>-</t>
        </is>
      </c>
      <c r="F71" s="297" t="inlineStr">
        <is>
          <t>-</t>
        </is>
      </c>
      <c r="G71" s="297" t="inlineStr">
        <is>
          <t>DESFASE DE NÓMINA</t>
        </is>
      </c>
    </row>
    <row r="72" ht="20" customHeight="1" s="254">
      <c r="A72" s="296" t="inlineStr">
        <is>
          <t>9BM</t>
        </is>
      </c>
      <c r="B72" s="296" t="inlineStr">
        <is>
          <t>CABRERA CANDO LIZBETH CAROLINA</t>
        </is>
      </c>
      <c r="C72" s="296" t="inlineStr">
        <is>
          <t>Educación Cultural y Artística</t>
        </is>
      </c>
      <c r="D72" s="296" t="n">
        <v>8.43</v>
      </c>
      <c r="E72" s="296" t="n">
        <v>8.699999999999999</v>
      </c>
      <c r="F72" s="296" t="n">
        <v>0.27</v>
      </c>
      <c r="G72" s="296" t="inlineStr">
        <is>
          <t>ERROR</t>
        </is>
      </c>
    </row>
    <row r="73" ht="20" customHeight="1" s="254">
      <c r="A73" s="296" t="inlineStr">
        <is>
          <t>9BM</t>
        </is>
      </c>
      <c r="B73" s="296" t="inlineStr">
        <is>
          <t>CABRERA CANDO LIZBETH CAROLINA</t>
        </is>
      </c>
      <c r="C73" s="296" t="inlineStr">
        <is>
          <t>Promedio Final / P. General</t>
        </is>
      </c>
      <c r="D73" s="296" t="n">
        <v>7.5</v>
      </c>
      <c r="E73" s="296" t="n">
        <v>7.54</v>
      </c>
      <c r="F73" s="296" t="n">
        <v>0.04</v>
      </c>
      <c r="G73" s="296" t="inlineStr">
        <is>
          <t>ERROR</t>
        </is>
      </c>
    </row>
    <row r="74" ht="20" customHeight="1" s="254">
      <c r="A74" s="296" t="inlineStr">
        <is>
          <t>9BM</t>
        </is>
      </c>
      <c r="B74" s="296" t="inlineStr">
        <is>
          <t>LONDA VIÑANZACA NATHALY DANIELA</t>
        </is>
      </c>
      <c r="C74" s="296" t="inlineStr">
        <is>
          <t>Educación Cultural y Artística</t>
        </is>
      </c>
      <c r="D74" s="296" t="n">
        <v>9.23</v>
      </c>
      <c r="E74" s="296" t="n">
        <v>9.41</v>
      </c>
      <c r="F74" s="296" t="n">
        <v>0.18</v>
      </c>
      <c r="G74" s="296" t="inlineStr">
        <is>
          <t>ERROR</t>
        </is>
      </c>
    </row>
    <row r="75" ht="20" customHeight="1" s="254">
      <c r="A75" s="297" t="inlineStr">
        <is>
          <t>9BM</t>
        </is>
      </c>
      <c r="B75" s="297" t="inlineStr">
        <is>
          <t>MARIN GOMEZ ANDREA BELEN</t>
        </is>
      </c>
      <c r="C75" s="297" t="inlineStr">
        <is>
          <t>(NÓMINA)</t>
        </is>
      </c>
      <c r="D75" s="297" t="inlineStr">
        <is>
          <t>-</t>
        </is>
      </c>
      <c r="E75" s="297" t="inlineStr">
        <is>
          <t>-</t>
        </is>
      </c>
      <c r="F75" s="297" t="inlineStr">
        <is>
          <t>-</t>
        </is>
      </c>
      <c r="G75" s="297" t="inlineStr">
        <is>
          <t>DESFASE DE NÓMINA</t>
        </is>
      </c>
    </row>
    <row r="76" ht="20" customHeight="1" s="254">
      <c r="A76" s="297" t="inlineStr">
        <is>
          <t>9BM</t>
        </is>
      </c>
      <c r="B76" s="297" t="inlineStr">
        <is>
          <t>MOROCHO PELAEZ DANIELA FERNANDA</t>
        </is>
      </c>
      <c r="C76" s="297" t="inlineStr">
        <is>
          <t>(NÓMINA)</t>
        </is>
      </c>
      <c r="D76" s="297" t="inlineStr">
        <is>
          <t>-</t>
        </is>
      </c>
      <c r="E76" s="297" t="inlineStr">
        <is>
          <t>-</t>
        </is>
      </c>
      <c r="F76" s="297" t="inlineStr">
        <is>
          <t>-</t>
        </is>
      </c>
      <c r="G76" s="297" t="inlineStr">
        <is>
          <t>DESFASE DE NÓMINA</t>
        </is>
      </c>
    </row>
    <row r="77" ht="20" customHeight="1" s="254">
      <c r="A77" s="297" t="inlineStr">
        <is>
          <t>9BM</t>
        </is>
      </c>
      <c r="B77" s="297" t="inlineStr">
        <is>
          <t>OVILLO GUALLPA JIMMY XAVIER</t>
        </is>
      </c>
      <c r="C77" s="297" t="inlineStr">
        <is>
          <t>(NÓMINA)</t>
        </is>
      </c>
      <c r="D77" s="297" t="inlineStr">
        <is>
          <t>-</t>
        </is>
      </c>
      <c r="E77" s="297" t="inlineStr">
        <is>
          <t>-</t>
        </is>
      </c>
      <c r="F77" s="297" t="inlineStr">
        <is>
          <t>-</t>
        </is>
      </c>
      <c r="G77" s="297" t="inlineStr">
        <is>
          <t>DESFASE DE NÓMINA</t>
        </is>
      </c>
    </row>
    <row r="78" ht="20" customHeight="1" s="254">
      <c r="A78" s="297" t="inlineStr">
        <is>
          <t>9BM</t>
        </is>
      </c>
      <c r="B78" s="297" t="inlineStr">
        <is>
          <t>PERALTA MENDEZ SAMUEL MATEO</t>
        </is>
      </c>
      <c r="C78" s="297" t="inlineStr">
        <is>
          <t>(NÓMINA)</t>
        </is>
      </c>
      <c r="D78" s="297" t="inlineStr">
        <is>
          <t>-</t>
        </is>
      </c>
      <c r="E78" s="297" t="inlineStr">
        <is>
          <t>-</t>
        </is>
      </c>
      <c r="F78" s="297" t="inlineStr">
        <is>
          <t>-</t>
        </is>
      </c>
      <c r="G78" s="297" t="inlineStr">
        <is>
          <t>DESFASE DE NÓMINA</t>
        </is>
      </c>
    </row>
    <row r="79" ht="20" customHeight="1" s="254">
      <c r="A79" s="297" t="inlineStr">
        <is>
          <t>9BM</t>
        </is>
      </c>
      <c r="B79" s="297" t="inlineStr">
        <is>
          <t>PEÑA ORELLANA MATEO ALEXANDER</t>
        </is>
      </c>
      <c r="C79" s="297" t="inlineStr">
        <is>
          <t>(NÓMINA)</t>
        </is>
      </c>
      <c r="D79" s="297" t="inlineStr">
        <is>
          <t>-</t>
        </is>
      </c>
      <c r="E79" s="297" t="inlineStr">
        <is>
          <t>-</t>
        </is>
      </c>
      <c r="F79" s="297" t="inlineStr">
        <is>
          <t>-</t>
        </is>
      </c>
      <c r="G79" s="297" t="inlineStr">
        <is>
          <t>DESFASE DE NÓMINA</t>
        </is>
      </c>
    </row>
    <row r="80" ht="20" customHeight="1" s="254">
      <c r="A80" s="297" t="inlineStr">
        <is>
          <t>9BM</t>
        </is>
      </c>
      <c r="B80" s="297" t="inlineStr">
        <is>
          <t>PINTADO ROBLES ADELA BELEN</t>
        </is>
      </c>
      <c r="C80" s="297" t="inlineStr">
        <is>
          <t>(NÓMINA)</t>
        </is>
      </c>
      <c r="D80" s="297" t="inlineStr">
        <is>
          <t>-</t>
        </is>
      </c>
      <c r="E80" s="297" t="inlineStr">
        <is>
          <t>-</t>
        </is>
      </c>
      <c r="F80" s="297" t="inlineStr">
        <is>
          <t>-</t>
        </is>
      </c>
      <c r="G80" s="297" t="inlineStr">
        <is>
          <t>DESFASE DE NÓMINA</t>
        </is>
      </c>
    </row>
    <row r="81" ht="20" customHeight="1" s="254">
      <c r="A81" s="297" t="inlineStr">
        <is>
          <t>9BM</t>
        </is>
      </c>
      <c r="B81" s="297" t="inlineStr">
        <is>
          <t>PONCE SANCHEZ NAOMI MADELEIN</t>
        </is>
      </c>
      <c r="C81" s="297" t="inlineStr">
        <is>
          <t>(NÓMINA)</t>
        </is>
      </c>
      <c r="D81" s="297" t="inlineStr">
        <is>
          <t>-</t>
        </is>
      </c>
      <c r="E81" s="297" t="inlineStr">
        <is>
          <t>-</t>
        </is>
      </c>
      <c r="F81" s="297" t="inlineStr">
        <is>
          <t>-</t>
        </is>
      </c>
      <c r="G81" s="297" t="inlineStr">
        <is>
          <t>DESFASE DE NÓMINA</t>
        </is>
      </c>
    </row>
    <row r="82" ht="20" customHeight="1" s="254">
      <c r="A82" s="296" t="inlineStr">
        <is>
          <t>9BM</t>
        </is>
      </c>
      <c r="B82" s="296" t="inlineStr">
        <is>
          <t>PONCE SANCHEZ NAOMI MADELEIN</t>
        </is>
      </c>
      <c r="C82" s="296" t="inlineStr">
        <is>
          <t>Ciencias Naturales</t>
        </is>
      </c>
      <c r="D82" s="296" t="n">
        <v>7.38</v>
      </c>
      <c r="E82" s="296" t="n">
        <v>7.44</v>
      </c>
      <c r="F82" s="296" t="n">
        <v>0.06</v>
      </c>
      <c r="G82" s="296" t="inlineStr">
        <is>
          <t>ERROR</t>
        </is>
      </c>
    </row>
    <row r="83" ht="20" customHeight="1" s="254">
      <c r="A83" s="297" t="inlineStr">
        <is>
          <t>9BM</t>
        </is>
      </c>
      <c r="B83" s="297" t="inlineStr">
        <is>
          <t>QUIZHPE MUÑOZ JHON ESTIVEN</t>
        </is>
      </c>
      <c r="C83" s="297" t="inlineStr">
        <is>
          <t>(NÓMINA)</t>
        </is>
      </c>
      <c r="D83" s="297" t="inlineStr">
        <is>
          <t>-</t>
        </is>
      </c>
      <c r="E83" s="297" t="inlineStr">
        <is>
          <t>-</t>
        </is>
      </c>
      <c r="F83" s="297" t="inlineStr">
        <is>
          <t>-</t>
        </is>
      </c>
      <c r="G83" s="297" t="inlineStr">
        <is>
          <t>DESFASE DE NÓMINA</t>
        </is>
      </c>
    </row>
    <row r="84" ht="20" customHeight="1" s="254">
      <c r="A84" s="297" t="inlineStr">
        <is>
          <t>9BM</t>
        </is>
      </c>
      <c r="B84" s="297" t="inlineStr">
        <is>
          <t>RIVERA GARCIA EMILY MICHELLE</t>
        </is>
      </c>
      <c r="C84" s="297" t="inlineStr">
        <is>
          <t>(NÓMINA)</t>
        </is>
      </c>
      <c r="D84" s="297" t="inlineStr">
        <is>
          <t>-</t>
        </is>
      </c>
      <c r="E84" s="297" t="inlineStr">
        <is>
          <t>-</t>
        </is>
      </c>
      <c r="F84" s="297" t="inlineStr">
        <is>
          <t>-</t>
        </is>
      </c>
      <c r="G84" s="297" t="inlineStr">
        <is>
          <t>DESFASE DE NÓMINA</t>
        </is>
      </c>
    </row>
    <row r="85" ht="20" customHeight="1" s="254">
      <c r="A85" s="297" t="inlineStr">
        <is>
          <t>9BM</t>
        </is>
      </c>
      <c r="B85" s="297" t="inlineStr">
        <is>
          <t>ROMERO ORELLANA AMILIS SOFIA</t>
        </is>
      </c>
      <c r="C85" s="297" t="inlineStr">
        <is>
          <t>(NÓMINA)</t>
        </is>
      </c>
      <c r="D85" s="297" t="inlineStr">
        <is>
          <t>-</t>
        </is>
      </c>
      <c r="E85" s="297" t="inlineStr">
        <is>
          <t>-</t>
        </is>
      </c>
      <c r="F85" s="297" t="inlineStr">
        <is>
          <t>-</t>
        </is>
      </c>
      <c r="G85" s="297" t="inlineStr">
        <is>
          <t>DESFASE DE NÓMINA</t>
        </is>
      </c>
    </row>
    <row r="86" ht="20" customHeight="1" s="254">
      <c r="A86" s="297" t="inlineStr">
        <is>
          <t>9BM</t>
        </is>
      </c>
      <c r="B86" s="297" t="inlineStr">
        <is>
          <t>SARAGURO CARCHIPULLA JOAN ALEXANDER</t>
        </is>
      </c>
      <c r="C86" s="297" t="inlineStr">
        <is>
          <t>(NÓMINA)</t>
        </is>
      </c>
      <c r="D86" s="297" t="inlineStr">
        <is>
          <t>-</t>
        </is>
      </c>
      <c r="E86" s="297" t="inlineStr">
        <is>
          <t>-</t>
        </is>
      </c>
      <c r="F86" s="297" t="inlineStr">
        <is>
          <t>-</t>
        </is>
      </c>
      <c r="G86" s="297" t="inlineStr">
        <is>
          <t>DESFASE DE NÓMINA</t>
        </is>
      </c>
    </row>
    <row r="87" ht="20" customHeight="1" s="254">
      <c r="A87" s="297" t="inlineStr">
        <is>
          <t>9BM</t>
        </is>
      </c>
      <c r="B87" s="297" t="inlineStr">
        <is>
          <t>SOLIZ GUZHÑAY MATEO ISMAEL</t>
        </is>
      </c>
      <c r="C87" s="297" t="inlineStr">
        <is>
          <t>(NÓMINA)</t>
        </is>
      </c>
      <c r="D87" s="297" t="inlineStr">
        <is>
          <t>-</t>
        </is>
      </c>
      <c r="E87" s="297" t="inlineStr">
        <is>
          <t>-</t>
        </is>
      </c>
      <c r="F87" s="297" t="inlineStr">
        <is>
          <t>-</t>
        </is>
      </c>
      <c r="G87" s="297" t="inlineStr">
        <is>
          <t>DESFASE DE NÓMINA</t>
        </is>
      </c>
    </row>
    <row r="88" ht="20" customHeight="1" s="254">
      <c r="A88" s="296" t="inlineStr">
        <is>
          <t>9BM</t>
        </is>
      </c>
      <c r="B88" s="296" t="inlineStr">
        <is>
          <t>SOLIZ GUZHÑAY MATEO ISMAEL</t>
        </is>
      </c>
      <c r="C88" s="296" t="inlineStr">
        <is>
          <t>Educación Física</t>
        </is>
      </c>
      <c r="D88" s="296" t="n">
        <v>8.4</v>
      </c>
      <c r="E88" s="296" t="n">
        <v>8.43</v>
      </c>
      <c r="F88" s="296" t="n">
        <v>0.03</v>
      </c>
      <c r="G88" s="296" t="inlineStr">
        <is>
          <t>ERROR</t>
        </is>
      </c>
    </row>
    <row r="89" ht="20" customHeight="1" s="254">
      <c r="A89" s="297" t="inlineStr">
        <is>
          <t>9BM</t>
        </is>
      </c>
      <c r="B89" s="297" t="inlineStr">
        <is>
          <t>SONGOR LLIVISACA DAYANNA DEL CISNE</t>
        </is>
      </c>
      <c r="C89" s="297" t="inlineStr">
        <is>
          <t>(NÓMINA)</t>
        </is>
      </c>
      <c r="D89" s="297" t="inlineStr">
        <is>
          <t>-</t>
        </is>
      </c>
      <c r="E89" s="297" t="inlineStr">
        <is>
          <t>-</t>
        </is>
      </c>
      <c r="F89" s="297" t="inlineStr">
        <is>
          <t>-</t>
        </is>
      </c>
      <c r="G89" s="297" t="inlineStr">
        <is>
          <t>DESFASE DE NÓMINA</t>
        </is>
      </c>
    </row>
    <row r="90" ht="20" customHeight="1" s="254">
      <c r="A90" s="297" t="inlineStr">
        <is>
          <t>9BM</t>
        </is>
      </c>
      <c r="B90" s="297" t="inlineStr">
        <is>
          <t>TENEZACA JARRIN JEYKING NICOLAS</t>
        </is>
      </c>
      <c r="C90" s="297" t="inlineStr">
        <is>
          <t>(NÓMINA)</t>
        </is>
      </c>
      <c r="D90" s="297" t="inlineStr">
        <is>
          <t>-</t>
        </is>
      </c>
      <c r="E90" s="297" t="inlineStr">
        <is>
          <t>-</t>
        </is>
      </c>
      <c r="F90" s="297" t="inlineStr">
        <is>
          <t>-</t>
        </is>
      </c>
      <c r="G90" s="297" t="inlineStr">
        <is>
          <t>DESFASE DE NÓMINA</t>
        </is>
      </c>
    </row>
    <row r="91" ht="20" customHeight="1" s="254">
      <c r="A91" s="297" t="inlineStr">
        <is>
          <t>9BM</t>
        </is>
      </c>
      <c r="B91" s="297" t="inlineStr">
        <is>
          <t>TOCTE CORRALES JORDY ALEXANDER</t>
        </is>
      </c>
      <c r="C91" s="297" t="inlineStr">
        <is>
          <t>(NÓMINA)</t>
        </is>
      </c>
      <c r="D91" s="297" t="inlineStr">
        <is>
          <t>-</t>
        </is>
      </c>
      <c r="E91" s="297" t="inlineStr">
        <is>
          <t>-</t>
        </is>
      </c>
      <c r="F91" s="297" t="inlineStr">
        <is>
          <t>-</t>
        </is>
      </c>
      <c r="G91" s="297" t="inlineStr">
        <is>
          <t>DESFASE DE NÓMINA</t>
        </is>
      </c>
    </row>
    <row r="92" ht="20" customHeight="1" s="254">
      <c r="A92" s="297" t="inlineStr">
        <is>
          <t>9BM</t>
        </is>
      </c>
      <c r="B92" s="297" t="inlineStr">
        <is>
          <t>TORRES SARMIENTO DANIEL MAXIMILIANO</t>
        </is>
      </c>
      <c r="C92" s="297" t="inlineStr">
        <is>
          <t>(NÓMINA)</t>
        </is>
      </c>
      <c r="D92" s="297" t="inlineStr">
        <is>
          <t>-</t>
        </is>
      </c>
      <c r="E92" s="297" t="inlineStr">
        <is>
          <t>-</t>
        </is>
      </c>
      <c r="F92" s="297" t="inlineStr">
        <is>
          <t>-</t>
        </is>
      </c>
      <c r="G92" s="297" t="inlineStr">
        <is>
          <t>DESFASE DE NÓMINA</t>
        </is>
      </c>
    </row>
    <row r="93" ht="20" customHeight="1" s="254">
      <c r="A93" s="297" t="inlineStr">
        <is>
          <t>9BM</t>
        </is>
      </c>
      <c r="B93" s="297" t="inlineStr">
        <is>
          <t>VILLAVICENCIO NAVARRO DARWIN ADRIAN</t>
        </is>
      </c>
      <c r="C93" s="297" t="inlineStr">
        <is>
          <t>SOLO EN DOCENTES</t>
        </is>
      </c>
      <c r="D93" s="297" t="inlineStr">
        <is>
          <t>-</t>
        </is>
      </c>
      <c r="E93" s="297" t="inlineStr">
        <is>
          <t>-</t>
        </is>
      </c>
      <c r="F93" s="297" t="inlineStr">
        <is>
          <t>-</t>
        </is>
      </c>
      <c r="G93" s="297" t="inlineStr">
        <is>
          <t>DESFASE DE NÓMINA</t>
        </is>
      </c>
    </row>
    <row r="94" ht="20" customHeight="1" s="254">
      <c r="A94" s="297" t="inlineStr">
        <is>
          <t>9BM</t>
        </is>
      </c>
      <c r="B94" s="297" t="inlineStr">
        <is>
          <t>LOPEZ DELGADO DANNY LEONEL</t>
        </is>
      </c>
      <c r="C94" s="297" t="inlineStr">
        <is>
          <t>SOLO EN SISTEMA</t>
        </is>
      </c>
      <c r="D94" s="297" t="inlineStr">
        <is>
          <t>-</t>
        </is>
      </c>
      <c r="E94" s="297" t="inlineStr">
        <is>
          <t>-</t>
        </is>
      </c>
      <c r="F94" s="297" t="inlineStr">
        <is>
          <t>-</t>
        </is>
      </c>
      <c r="G94" s="297" t="inlineStr">
        <is>
          <t>DESFASE DE NÓMINA</t>
        </is>
      </c>
    </row>
    <row r="95" ht="20" customHeight="1" s="254">
      <c r="A95" s="296" t="inlineStr">
        <is>
          <t>10AM</t>
        </is>
      </c>
      <c r="B95" s="296" t="inlineStr">
        <is>
          <t>BARROS VELESACA EMILIO NICOLAS</t>
        </is>
      </c>
      <c r="C95" s="296" t="inlineStr">
        <is>
          <t>Educación Cultural y Artística</t>
        </is>
      </c>
      <c r="D95" s="296" t="n">
        <v>8.390000000000001</v>
      </c>
      <c r="E95" s="296" t="n">
        <v>8.77</v>
      </c>
      <c r="F95" s="296" t="n">
        <v>0.38</v>
      </c>
      <c r="G95" s="296" t="inlineStr">
        <is>
          <t>ERROR</t>
        </is>
      </c>
    </row>
    <row r="96" ht="20" customHeight="1" s="254">
      <c r="A96" s="296" t="inlineStr">
        <is>
          <t>10AM</t>
        </is>
      </c>
      <c r="B96" s="296" t="inlineStr">
        <is>
          <t>BARROS VELESACA EMILIO NICOLAS</t>
        </is>
      </c>
      <c r="C96" s="296" t="inlineStr">
        <is>
          <t>Promedio Final / P. General</t>
        </is>
      </c>
      <c r="D96" s="296" t="n">
        <v>7.97</v>
      </c>
      <c r="E96" s="296" t="n">
        <v>8.029999999999999</v>
      </c>
      <c r="F96" s="296" t="n">
        <v>0.06</v>
      </c>
      <c r="G96" s="296" t="inlineStr">
        <is>
          <t>ERROR</t>
        </is>
      </c>
    </row>
    <row r="97" ht="20" customHeight="1" s="254">
      <c r="A97" s="296" t="inlineStr">
        <is>
          <t>10AM</t>
        </is>
      </c>
      <c r="B97" s="296" t="inlineStr">
        <is>
          <t>GONZALEZ VALDES ANTHONY JHULIAN</t>
        </is>
      </c>
      <c r="C97" s="296" t="inlineStr">
        <is>
          <t>Ciencias Naturales</t>
        </is>
      </c>
      <c r="D97" s="296" t="n">
        <v>7</v>
      </c>
      <c r="E97" s="296" t="n">
        <v>7.35</v>
      </c>
      <c r="F97" s="296" t="n">
        <v>0.35</v>
      </c>
      <c r="G97" s="296" t="inlineStr">
        <is>
          <t>ERROR</t>
        </is>
      </c>
    </row>
    <row r="98" ht="20" customHeight="1" s="254">
      <c r="A98" s="296" t="inlineStr">
        <is>
          <t>10AM</t>
        </is>
      </c>
      <c r="B98" s="296" t="inlineStr">
        <is>
          <t>GONZALEZ VALDES ANTHONY JHULIAN</t>
        </is>
      </c>
      <c r="C98" s="296" t="inlineStr">
        <is>
          <t>Promedio Final / P. General</t>
        </is>
      </c>
      <c r="D98" s="296" t="n">
        <v>7.78</v>
      </c>
      <c r="E98" s="296" t="n">
        <v>7.83</v>
      </c>
      <c r="F98" s="296" t="n">
        <v>0.05</v>
      </c>
      <c r="G98" s="296" t="inlineStr">
        <is>
          <t>ERROR</t>
        </is>
      </c>
    </row>
    <row r="99" ht="20" customHeight="1" s="254">
      <c r="A99" s="296" t="inlineStr">
        <is>
          <t>10AM</t>
        </is>
      </c>
      <c r="B99" s="296" t="inlineStr">
        <is>
          <t>GUALLPA QUITUISACA SANTIAGO NICOLAS</t>
        </is>
      </c>
      <c r="C99" s="296" t="inlineStr">
        <is>
          <t>Ciencias Naturales</t>
        </is>
      </c>
      <c r="D99" s="296" t="n">
        <v>8.33</v>
      </c>
      <c r="E99" s="296" t="n">
        <v>8.48</v>
      </c>
      <c r="F99" s="296" t="n">
        <v>0.15</v>
      </c>
      <c r="G99" s="296" t="inlineStr">
        <is>
          <t>ERROR</t>
        </is>
      </c>
    </row>
    <row r="100" ht="20" customHeight="1" s="254">
      <c r="A100" s="296" t="inlineStr">
        <is>
          <t>10AM</t>
        </is>
      </c>
      <c r="B100" s="296" t="inlineStr">
        <is>
          <t>GUALPA DELGADO EVELYN TATIANA</t>
        </is>
      </c>
      <c r="C100" s="296" t="inlineStr">
        <is>
          <t>Ciencias Naturales</t>
        </is>
      </c>
      <c r="D100" s="296" t="n">
        <v>8.51</v>
      </c>
      <c r="E100" s="296" t="n">
        <v>8.359999999999999</v>
      </c>
      <c r="F100" s="296" t="n">
        <v>0.15</v>
      </c>
      <c r="G100" s="296" t="inlineStr">
        <is>
          <t>ERROR</t>
        </is>
      </c>
    </row>
    <row r="101" ht="20" customHeight="1" s="254">
      <c r="A101" s="296" t="inlineStr">
        <is>
          <t>10AM</t>
        </is>
      </c>
      <c r="B101" s="296" t="inlineStr">
        <is>
          <t>GUALPA DELGADO EVELYN TATIANA</t>
        </is>
      </c>
      <c r="C101" s="296" t="inlineStr">
        <is>
          <t>Inglés</t>
        </is>
      </c>
      <c r="D101" s="296" t="n">
        <v>8.09</v>
      </c>
      <c r="E101" s="296" t="n">
        <v>8.9</v>
      </c>
      <c r="F101" s="296" t="n">
        <v>0.8100000000000001</v>
      </c>
      <c r="G101" s="296" t="inlineStr">
        <is>
          <t>ERROR</t>
        </is>
      </c>
    </row>
    <row r="102" ht="20" customHeight="1" s="254">
      <c r="A102" s="296" t="inlineStr">
        <is>
          <t>10AM</t>
        </is>
      </c>
      <c r="B102" s="296" t="inlineStr">
        <is>
          <t>GUALPA DELGADO EVELYN TATIANA</t>
        </is>
      </c>
      <c r="C102" s="296" t="inlineStr">
        <is>
          <t>Promedio Final / P. General</t>
        </is>
      </c>
      <c r="D102" s="296" t="n">
        <v>9.15</v>
      </c>
      <c r="E102" s="296" t="n">
        <v>9.24</v>
      </c>
      <c r="F102" s="296" t="n">
        <v>0.09</v>
      </c>
      <c r="G102" s="296" t="inlineStr">
        <is>
          <t>ERROR</t>
        </is>
      </c>
    </row>
    <row r="103" ht="20" customHeight="1" s="254">
      <c r="A103" s="296" t="inlineStr">
        <is>
          <t>10AM</t>
        </is>
      </c>
      <c r="B103" s="296" t="inlineStr">
        <is>
          <t>ROMERO NARVAEZ KATHERINE ANAHI</t>
        </is>
      </c>
      <c r="C103" s="296" t="inlineStr">
        <is>
          <t>Ciencias Naturales</t>
        </is>
      </c>
      <c r="D103" s="296" t="n">
        <v>8.199999999999999</v>
      </c>
      <c r="E103" s="296" t="n">
        <v>8.48</v>
      </c>
      <c r="F103" s="296" t="n">
        <v>0.28</v>
      </c>
      <c r="G103" s="296" t="inlineStr">
        <is>
          <t>ERROR</t>
        </is>
      </c>
    </row>
    <row r="104" ht="20" customHeight="1" s="254">
      <c r="A104" s="296" t="inlineStr">
        <is>
          <t>10AM</t>
        </is>
      </c>
      <c r="B104" s="296" t="inlineStr">
        <is>
          <t>ROMERO NARVAEZ KATHERINE ANAHI</t>
        </is>
      </c>
      <c r="C104" s="296" t="inlineStr">
        <is>
          <t>Promedio Final / P. General</t>
        </is>
      </c>
      <c r="D104" s="296" t="n">
        <v>9.18</v>
      </c>
      <c r="E104" s="296" t="n">
        <v>9.220000000000001</v>
      </c>
      <c r="F104" s="296" t="n">
        <v>0.04</v>
      </c>
      <c r="G104" s="296" t="inlineStr">
        <is>
          <t>ERROR</t>
        </is>
      </c>
    </row>
    <row r="105" ht="20" customHeight="1" s="254">
      <c r="A105" s="296" t="inlineStr">
        <is>
          <t>10BM</t>
        </is>
      </c>
      <c r="B105" s="296" t="inlineStr">
        <is>
          <t>APOLO GUZMAN ANTHONY IVAN</t>
        </is>
      </c>
      <c r="C105" s="296" t="inlineStr">
        <is>
          <t>Educación Cultural y Artística</t>
        </is>
      </c>
      <c r="D105" s="296" t="n">
        <v>9.67</v>
      </c>
      <c r="E105" s="296" t="n">
        <v>9.75</v>
      </c>
      <c r="F105" s="296" t="n">
        <v>0.08</v>
      </c>
      <c r="G105" s="296" t="inlineStr">
        <is>
          <t>ERROR</t>
        </is>
      </c>
    </row>
  </sheetData>
  <autoFilter ref="A1:G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254" min="1" max="1"/>
    <col width="31.29" customWidth="1" style="254" min="2" max="2"/>
    <col width="13.86" customWidth="1" style="254" min="3" max="3"/>
    <col width="6.29" customWidth="1" style="254" min="4" max="13"/>
    <col width="10.71" customWidth="1" style="254" min="14" max="14"/>
    <col width="7.57" customWidth="1" style="254" min="15" max="15"/>
    <col width="13.71" customWidth="1" style="254" min="16" max="16"/>
    <col width="19.29" customWidth="1" style="254" min="17" max="17"/>
    <col width="10.71" customWidth="1" style="254" min="18" max="21"/>
  </cols>
  <sheetData>
    <row r="1" ht="72.75" customHeight="1" s="254">
      <c r="A1" s="1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2" t="n"/>
      <c r="B2" s="3" t="inlineStr">
        <is>
          <t>AÑO LECTIVO: 2025-2026</t>
        </is>
      </c>
    </row>
    <row r="3" ht="14.25" customHeight="1" s="254">
      <c r="B3" s="4" t="inlineStr">
        <is>
          <t>Docente: Lcda. Marcia Siavichay</t>
        </is>
      </c>
      <c r="C3" s="5" t="n"/>
      <c r="F3" s="6" t="n"/>
      <c r="G3" s="6" t="n"/>
      <c r="H3" s="6" t="n"/>
      <c r="I3" s="7" t="inlineStr">
        <is>
          <t xml:space="preserve">JORNADA: </t>
        </is>
      </c>
      <c r="K3" s="8" t="inlineStr">
        <is>
          <t>MATUTINA</t>
        </is>
      </c>
    </row>
    <row r="4" ht="14.25" customHeight="1" s="254">
      <c r="B4" s="9" t="inlineStr">
        <is>
          <t xml:space="preserve">AÑO DE EGB:        </t>
        </is>
      </c>
      <c r="C4" s="10" t="inlineStr">
        <is>
          <t>OCTAVO A</t>
        </is>
      </c>
      <c r="D4" s="11" t="n"/>
      <c r="E4" s="6" t="n"/>
      <c r="F4" s="6" t="n"/>
      <c r="G4" s="6" t="n"/>
      <c r="H4" s="6" t="n"/>
      <c r="I4" s="7" t="n"/>
      <c r="K4" s="12" t="n"/>
      <c r="M4" s="6" t="n"/>
    </row>
    <row r="5" ht="6" customHeight="1" s="254">
      <c r="B5" s="13" t="n"/>
      <c r="C5" s="13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U5" s="14" t="n"/>
    </row>
    <row r="6" ht="14.25" customHeight="1" s="254">
      <c r="B6" s="255" t="inlineStr">
        <is>
          <t>CONSOLIDADO FINAL</t>
        </is>
      </c>
    </row>
    <row r="7" ht="157.5" customHeight="1" s="254">
      <c r="A7" s="18" t="inlineStr">
        <is>
          <t>No</t>
        </is>
      </c>
      <c r="B7" s="19" t="inlineStr">
        <is>
          <t>NOMINA</t>
        </is>
      </c>
      <c r="C7" s="20" t="n"/>
      <c r="D7" s="21" t="inlineStr">
        <is>
          <t>LENGUA Y LITERATURA</t>
        </is>
      </c>
      <c r="E7" s="22" t="inlineStr">
        <is>
          <t>MATEMÁTICA</t>
        </is>
      </c>
      <c r="F7" s="23" t="inlineStr">
        <is>
          <t>CIENCIAS NATURALES</t>
        </is>
      </c>
      <c r="G7" s="24" t="inlineStr">
        <is>
          <t>ESTUDIOS SOCIALES</t>
        </is>
      </c>
      <c r="H7" s="25" t="inlineStr">
        <is>
          <t>INGLÉS</t>
        </is>
      </c>
      <c r="I7" s="26" t="inlineStr">
        <is>
          <t>EDUCACIÓN CULTURAL Y ARTISTICA</t>
        </is>
      </c>
      <c r="J7" s="27" t="inlineStr">
        <is>
          <t>EDUCACIÓN FÍSICA</t>
        </is>
      </c>
      <c r="K7" s="28" t="inlineStr">
        <is>
          <t>ANIMACIÓN A LA LECTURA</t>
        </is>
      </c>
      <c r="L7" s="29" t="inlineStr">
        <is>
          <t>ACOMPAÑAMIENTO INTEGRAL EN EL AULA</t>
        </is>
      </c>
      <c r="M7" s="30" t="inlineStr">
        <is>
          <t>ORIENTACIÓN VOCACIONAL</t>
        </is>
      </c>
      <c r="N7" s="31" t="inlineStr">
        <is>
          <t>PROMEDIO FINAL</t>
        </is>
      </c>
      <c r="O7" s="32" t="inlineStr">
        <is>
          <t>CCOMPORTAMIENTO</t>
        </is>
      </c>
      <c r="P7" s="33" t="inlineStr">
        <is>
          <t>OBSERVACIONES</t>
        </is>
      </c>
      <c r="U7" s="12" t="inlineStr">
        <is>
          <t>-</t>
        </is>
      </c>
    </row>
    <row r="8" ht="14.25" customHeight="1" s="254">
      <c r="A8" s="34" t="n">
        <v>1</v>
      </c>
      <c r="B8" s="157" t="inlineStr">
        <is>
          <t>APOLO CACAY EMILY ANALIA</t>
        </is>
      </c>
      <c r="C8" s="256" t="n"/>
      <c r="D8" s="37" t="n">
        <v>7.97</v>
      </c>
      <c r="E8" s="160" t="n">
        <v>7.45</v>
      </c>
      <c r="F8" s="126" t="n">
        <v>7.02</v>
      </c>
      <c r="G8" s="40" t="n">
        <v>7.67</v>
      </c>
      <c r="H8" s="114" t="n">
        <v>7.57</v>
      </c>
      <c r="I8" s="42" t="n">
        <v>7.38</v>
      </c>
      <c r="J8" s="43" t="n">
        <v>8.449999999999999</v>
      </c>
      <c r="K8" s="44" t="inlineStr">
        <is>
          <t>A-</t>
        </is>
      </c>
      <c r="L8" s="164" t="inlineStr">
        <is>
          <t>A+</t>
        </is>
      </c>
      <c r="M8" s="228" t="inlineStr">
        <is>
          <t>A+</t>
        </is>
      </c>
      <c r="N8" s="47">
        <f>TRUNC(AVERAGE(D8:J8),2)</f>
        <v/>
      </c>
      <c r="O8" s="48" t="inlineStr">
        <is>
          <t>S</t>
        </is>
      </c>
      <c r="P8" s="49" t="inlineStr">
        <is>
          <t>PROMOVIDO</t>
        </is>
      </c>
    </row>
    <row r="9" ht="15" customHeight="1" s="254">
      <c r="A9" s="34" t="n">
        <v>2</v>
      </c>
      <c r="B9" s="257" t="inlineStr">
        <is>
          <t>ARCE ORELLANA DARWIN FERNANDO</t>
        </is>
      </c>
      <c r="C9" s="258" t="n"/>
      <c r="D9" s="52" t="n">
        <v>9.779999999999999</v>
      </c>
      <c r="E9" s="53" t="n">
        <v>9.94</v>
      </c>
      <c r="F9" s="126" t="n">
        <v>9.84</v>
      </c>
      <c r="G9" s="54" t="n">
        <v>9.949999999999999</v>
      </c>
      <c r="H9" s="114" t="n">
        <v>9.98</v>
      </c>
      <c r="I9" s="55" t="n">
        <v>9.779999999999999</v>
      </c>
      <c r="J9" s="43" t="n">
        <v>10</v>
      </c>
      <c r="K9" s="44" t="inlineStr">
        <is>
          <t>A+</t>
        </is>
      </c>
      <c r="L9" s="164" t="inlineStr">
        <is>
          <t>A+</t>
        </is>
      </c>
      <c r="M9" s="228" t="inlineStr">
        <is>
          <t>A+</t>
        </is>
      </c>
      <c r="N9" s="47">
        <f>TRUNC(AVERAGE(D9:J9),2)</f>
        <v/>
      </c>
      <c r="O9" s="48" t="inlineStr">
        <is>
          <t>S</t>
        </is>
      </c>
      <c r="P9" s="49" t="inlineStr">
        <is>
          <t>PROMOVIDO</t>
        </is>
      </c>
      <c r="Q9" s="56" t="inlineStr">
        <is>
          <t>PRIMER LUGAR</t>
        </is>
      </c>
      <c r="R9" s="57">
        <f>LARGE(N8:N45,1)</f>
        <v/>
      </c>
      <c r="S9" s="62" t="inlineStr">
        <is>
          <t>ARCE</t>
        </is>
      </c>
    </row>
    <row r="10" ht="15" customHeight="1" s="254">
      <c r="A10" s="34" t="n">
        <v>3</v>
      </c>
      <c r="B10" s="257" t="inlineStr">
        <is>
          <t>ARIAS CALLE ANTHONY ALEXANDER</t>
        </is>
      </c>
      <c r="C10" s="258" t="n"/>
      <c r="D10" s="52" t="n">
        <v>7.37</v>
      </c>
      <c r="E10" s="53" t="n">
        <v>7.1</v>
      </c>
      <c r="F10" s="126" t="n">
        <v>7</v>
      </c>
      <c r="G10" s="40" t="n">
        <v>7</v>
      </c>
      <c r="H10" s="114" t="n">
        <v>7</v>
      </c>
      <c r="I10" s="55" t="n">
        <v>7.67</v>
      </c>
      <c r="J10" s="43" t="n">
        <v>8.119999999999999</v>
      </c>
      <c r="K10" s="44" t="inlineStr">
        <is>
          <t>B-</t>
        </is>
      </c>
      <c r="L10" s="164" t="inlineStr">
        <is>
          <t>A-</t>
        </is>
      </c>
      <c r="M10" s="228" t="inlineStr">
        <is>
          <t>A+</t>
        </is>
      </c>
      <c r="N10" s="47">
        <f>TRUNC(AVERAGE(D10:J10),2)</f>
        <v/>
      </c>
      <c r="O10" s="48" t="inlineStr">
        <is>
          <t>F</t>
        </is>
      </c>
      <c r="P10" s="49" t="inlineStr">
        <is>
          <t>PROMOVIDO</t>
        </is>
      </c>
      <c r="Q10" s="56" t="inlineStr">
        <is>
          <t>SEGUNDO LUGAR</t>
        </is>
      </c>
      <c r="R10" s="59">
        <f>LARGE(N8:N45,2)</f>
        <v/>
      </c>
      <c r="S10" s="62" t="inlineStr">
        <is>
          <t>PIÑA</t>
        </is>
      </c>
    </row>
    <row r="11" ht="15" customHeight="1" s="254">
      <c r="A11" s="34" t="n">
        <v>4</v>
      </c>
      <c r="B11" s="257" t="inlineStr">
        <is>
          <t>ATANCURI LOPEZ CHELSEA ABIGAIL</t>
        </is>
      </c>
      <c r="C11" s="258" t="n"/>
      <c r="D11" s="52" t="n">
        <v>9.949999999999999</v>
      </c>
      <c r="E11" s="53" t="n">
        <v>9.6</v>
      </c>
      <c r="F11" s="126" t="n">
        <v>9.5</v>
      </c>
      <c r="G11" s="54" t="n">
        <v>9.59</v>
      </c>
      <c r="H11" s="114" t="n">
        <v>9.68</v>
      </c>
      <c r="I11" s="55" t="n">
        <v>9.74</v>
      </c>
      <c r="J11" s="43" t="n">
        <v>9.76</v>
      </c>
      <c r="K11" s="44" t="inlineStr">
        <is>
          <t>A+</t>
        </is>
      </c>
      <c r="L11" s="164" t="inlineStr">
        <is>
          <t>A+</t>
        </is>
      </c>
      <c r="M11" s="228" t="inlineStr">
        <is>
          <t>A+</t>
        </is>
      </c>
      <c r="N11" s="47">
        <f>TRUNC(AVERAGE(D11:J11),2)</f>
        <v/>
      </c>
      <c r="O11" s="48" t="inlineStr">
        <is>
          <t>S</t>
        </is>
      </c>
      <c r="P11" s="49" t="inlineStr">
        <is>
          <t>PROMOVIDO</t>
        </is>
      </c>
      <c r="Q11" s="56" t="inlineStr">
        <is>
          <t>TERCER LUGAR</t>
        </is>
      </c>
      <c r="R11" s="59">
        <f>LARGE(N8:N45,3)</f>
        <v/>
      </c>
      <c r="S11" s="62" t="inlineStr">
        <is>
          <t>CASTRO</t>
        </is>
      </c>
    </row>
    <row r="12" ht="15" customHeight="1" s="254">
      <c r="A12" s="34" t="n">
        <v>5</v>
      </c>
      <c r="B12" s="259" t="inlineStr">
        <is>
          <t>AVILA CORTE MARIA GRACIA</t>
        </is>
      </c>
      <c r="C12" s="258" t="n"/>
      <c r="D12" s="52" t="n">
        <v>9.789999999999999</v>
      </c>
      <c r="E12" s="53" t="n">
        <v>9.35</v>
      </c>
      <c r="F12" s="126" t="n">
        <v>9.5</v>
      </c>
      <c r="G12" s="54" t="n">
        <v>9.76</v>
      </c>
      <c r="H12" s="114" t="n">
        <v>9.5</v>
      </c>
      <c r="I12" s="55" t="n">
        <v>9.76</v>
      </c>
      <c r="J12" s="43" t="n">
        <v>9.77</v>
      </c>
      <c r="K12" s="44" t="inlineStr">
        <is>
          <t>A-</t>
        </is>
      </c>
      <c r="L12" s="164" t="inlineStr">
        <is>
          <t>A+</t>
        </is>
      </c>
      <c r="M12" s="228" t="inlineStr">
        <is>
          <t>A+</t>
        </is>
      </c>
      <c r="N12" s="47">
        <f>TRUNC(AVERAGE(D12:J12),2)</f>
        <v/>
      </c>
      <c r="O12" s="48" t="inlineStr">
        <is>
          <t>S</t>
        </is>
      </c>
      <c r="P12" s="49" t="inlineStr">
        <is>
          <t>PROMOVIDO</t>
        </is>
      </c>
      <c r="Q12" s="62" t="inlineStr">
        <is>
          <t>TERCER LUGAR</t>
        </is>
      </c>
      <c r="R12" s="62">
        <f>LARGE(N8:N45,4)</f>
        <v/>
      </c>
    </row>
    <row r="13" ht="15" customHeight="1" s="254">
      <c r="A13" s="34" t="n">
        <v>6</v>
      </c>
      <c r="B13" s="257" t="inlineStr">
        <is>
          <t>AVILA NAREA MELISA GISSELLE</t>
        </is>
      </c>
      <c r="C13" s="258" t="n"/>
      <c r="D13" s="52" t="n">
        <v>9.77</v>
      </c>
      <c r="E13" s="63" t="n">
        <v>8.84</v>
      </c>
      <c r="F13" s="126" t="n">
        <v>9.67</v>
      </c>
      <c r="G13" s="54" t="n">
        <v>9.720000000000001</v>
      </c>
      <c r="H13" s="114" t="n">
        <v>9.470000000000001</v>
      </c>
      <c r="I13" s="55" t="n">
        <v>9.27</v>
      </c>
      <c r="J13" s="43" t="n">
        <v>9.01</v>
      </c>
      <c r="K13" s="44" t="inlineStr">
        <is>
          <t>A+</t>
        </is>
      </c>
      <c r="L13" s="164" t="inlineStr">
        <is>
          <t>A+</t>
        </is>
      </c>
      <c r="M13" s="228" t="inlineStr">
        <is>
          <t>A+</t>
        </is>
      </c>
      <c r="N13" s="47">
        <f>TRUNC(AVERAGE(D13:J13),2)</f>
        <v/>
      </c>
      <c r="O13" s="48" t="inlineStr">
        <is>
          <t>S</t>
        </is>
      </c>
      <c r="P13" s="49" t="inlineStr">
        <is>
          <t>PROMOVIDO</t>
        </is>
      </c>
    </row>
    <row r="14" ht="15" customHeight="1" s="254">
      <c r="A14" s="34" t="n">
        <v>7</v>
      </c>
      <c r="B14" s="257" t="inlineStr">
        <is>
          <t>BARROS CARDENAS DAVID ALEXANDER</t>
        </is>
      </c>
      <c r="C14" s="258" t="n"/>
      <c r="D14" s="52" t="n">
        <v>8.99</v>
      </c>
      <c r="E14" s="53" t="n">
        <v>9.07</v>
      </c>
      <c r="F14" s="126" t="n">
        <v>8.130000000000001</v>
      </c>
      <c r="G14" s="54" t="n">
        <v>8.56</v>
      </c>
      <c r="H14" s="114" t="n">
        <v>8.9</v>
      </c>
      <c r="I14" s="55" t="n">
        <v>9.109999999999999</v>
      </c>
      <c r="J14" s="43" t="n">
        <v>8.539999999999999</v>
      </c>
      <c r="K14" s="44" t="inlineStr">
        <is>
          <t>A-</t>
        </is>
      </c>
      <c r="L14" s="164" t="inlineStr">
        <is>
          <t>A+</t>
        </is>
      </c>
      <c r="M14" s="226" t="inlineStr">
        <is>
          <t>A+</t>
        </is>
      </c>
      <c r="N14" s="47">
        <f>TRUNC(AVERAGE(D14:J14),2)</f>
        <v/>
      </c>
      <c r="O14" s="48" t="inlineStr">
        <is>
          <t>S</t>
        </is>
      </c>
      <c r="P14" s="49" t="inlineStr">
        <is>
          <t>PROMOVIDO</t>
        </is>
      </c>
    </row>
    <row r="15" ht="15" customHeight="1" s="254">
      <c r="A15" s="34" t="n">
        <v>8</v>
      </c>
      <c r="B15" s="257" t="inlineStr">
        <is>
          <t>BARROS VELESACA JUANA DANIELA</t>
        </is>
      </c>
      <c r="C15" s="258" t="n"/>
      <c r="D15" s="52" t="n">
        <v>9.52</v>
      </c>
      <c r="E15" s="53" t="n">
        <v>9.050000000000001</v>
      </c>
      <c r="F15" s="126" t="n">
        <v>9.279999999999999</v>
      </c>
      <c r="G15" s="54" t="n">
        <v>9.85</v>
      </c>
      <c r="H15" s="114" t="n">
        <v>9.390000000000001</v>
      </c>
      <c r="I15" s="55" t="n">
        <v>9.19</v>
      </c>
      <c r="J15" s="43" t="n">
        <v>9.279999999999999</v>
      </c>
      <c r="K15" s="44" t="inlineStr">
        <is>
          <t>A+</t>
        </is>
      </c>
      <c r="L15" s="164" t="inlineStr">
        <is>
          <t>A+</t>
        </is>
      </c>
      <c r="M15" s="228" t="inlineStr">
        <is>
          <t>A+</t>
        </is>
      </c>
      <c r="N15" s="47">
        <f>TRUNC(AVERAGE(D15:J15),2)</f>
        <v/>
      </c>
      <c r="O15" s="48" t="inlineStr">
        <is>
          <t>S</t>
        </is>
      </c>
      <c r="P15" s="49" t="inlineStr">
        <is>
          <t>PROMOVIDO</t>
        </is>
      </c>
    </row>
    <row r="16" ht="15" customHeight="1" s="254">
      <c r="A16" s="34" t="n">
        <v>9</v>
      </c>
      <c r="B16" s="257" t="inlineStr">
        <is>
          <t>BARSALLO CORAISACA FRANKLIN JESUS</t>
        </is>
      </c>
      <c r="C16" s="258" t="n"/>
      <c r="D16" s="52" t="n">
        <v>7.89</v>
      </c>
      <c r="E16" s="53" t="n">
        <v>7</v>
      </c>
      <c r="F16" s="126" t="n">
        <v>7.21</v>
      </c>
      <c r="G16" s="65" t="n">
        <v>7.13</v>
      </c>
      <c r="H16" s="114" t="n">
        <v>7</v>
      </c>
      <c r="I16" s="55" t="n">
        <v>7.58</v>
      </c>
      <c r="J16" s="43" t="n">
        <v>8.800000000000001</v>
      </c>
      <c r="K16" s="44" t="inlineStr">
        <is>
          <t>A-</t>
        </is>
      </c>
      <c r="L16" s="164" t="inlineStr">
        <is>
          <t>A+</t>
        </is>
      </c>
      <c r="M16" s="228" t="inlineStr">
        <is>
          <t>A+</t>
        </is>
      </c>
      <c r="N16" s="47">
        <f>TRUNC(AVERAGE(D16:J16),2)</f>
        <v/>
      </c>
      <c r="O16" s="48" t="inlineStr">
        <is>
          <t>S</t>
        </is>
      </c>
      <c r="P16" s="49" t="inlineStr">
        <is>
          <t>PROMOVIDO</t>
        </is>
      </c>
      <c r="U16" s="1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-+++++++</t>
        </is>
      </c>
    </row>
    <row r="17" ht="15" customHeight="1" s="254">
      <c r="A17" s="34" t="n">
        <v>10</v>
      </c>
      <c r="B17" s="257" t="inlineStr">
        <is>
          <t>CABRERA SOTO ANDERSON PAUL</t>
        </is>
      </c>
      <c r="C17" s="258" t="n"/>
      <c r="D17" s="52" t="n">
        <v>9.77</v>
      </c>
      <c r="E17" s="53" t="n">
        <v>9.300000000000001</v>
      </c>
      <c r="F17" s="126" t="n">
        <v>9.609999999999999</v>
      </c>
      <c r="G17" s="54" t="n">
        <v>9.880000000000001</v>
      </c>
      <c r="H17" s="114" t="n">
        <v>9.41</v>
      </c>
      <c r="I17" s="55" t="n">
        <v>9.640000000000001</v>
      </c>
      <c r="J17" s="43" t="n">
        <v>9.460000000000001</v>
      </c>
      <c r="K17" s="44" t="inlineStr">
        <is>
          <t>A+</t>
        </is>
      </c>
      <c r="L17" s="164" t="inlineStr">
        <is>
          <t>A+</t>
        </is>
      </c>
      <c r="M17" s="228" t="inlineStr">
        <is>
          <t>A+</t>
        </is>
      </c>
      <c r="N17" s="47">
        <f>TRUNC(AVERAGE(D17:J17),2)</f>
        <v/>
      </c>
      <c r="O17" s="48" t="inlineStr">
        <is>
          <t>S</t>
        </is>
      </c>
      <c r="P17" s="49" t="inlineStr">
        <is>
          <t>PROMOVIDO</t>
        </is>
      </c>
    </row>
    <row r="18" ht="15" customHeight="1" s="254">
      <c r="A18" s="34" t="n">
        <v>11</v>
      </c>
      <c r="B18" s="259" t="inlineStr">
        <is>
          <t>CABRERA VIÑANSACA ARIEL SEBASTIAN</t>
        </is>
      </c>
      <c r="C18" s="258" t="n"/>
      <c r="D18" s="52" t="n">
        <v>9.76</v>
      </c>
      <c r="E18" s="53" t="n">
        <v>9.58</v>
      </c>
      <c r="F18" s="126" t="n">
        <v>9.470000000000001</v>
      </c>
      <c r="G18" s="54" t="n">
        <v>9.300000000000001</v>
      </c>
      <c r="H18" s="114" t="n">
        <v>9.300000000000001</v>
      </c>
      <c r="I18" s="55" t="n">
        <v>9.08</v>
      </c>
      <c r="J18" s="43" t="n">
        <v>9.859999999999999</v>
      </c>
      <c r="K18" s="44" t="inlineStr">
        <is>
          <t>A-</t>
        </is>
      </c>
      <c r="L18" s="164" t="inlineStr">
        <is>
          <t>A+</t>
        </is>
      </c>
      <c r="M18" s="228" t="inlineStr">
        <is>
          <t>A+</t>
        </is>
      </c>
      <c r="N18" s="47">
        <f>TRUNC(AVERAGE(D18:J18),2)</f>
        <v/>
      </c>
      <c r="O18" s="48" t="inlineStr">
        <is>
          <t>S</t>
        </is>
      </c>
      <c r="P18" s="49" t="inlineStr">
        <is>
          <t>PROMOVIDO</t>
        </is>
      </c>
    </row>
    <row r="19" ht="15" customHeight="1" s="254">
      <c r="A19" s="34" t="n">
        <v>12</v>
      </c>
      <c r="B19" s="257" t="inlineStr">
        <is>
          <t>CAGUANA UZHCA ELIANA VALENTINA</t>
        </is>
      </c>
      <c r="C19" s="258" t="n"/>
      <c r="D19" s="52" t="n">
        <v>9.26</v>
      </c>
      <c r="E19" s="53" t="n">
        <v>8.529999999999999</v>
      </c>
      <c r="F19" s="126" t="n">
        <v>8.890000000000001</v>
      </c>
      <c r="G19" s="54" t="n">
        <v>8.470000000000001</v>
      </c>
      <c r="H19" s="114" t="n">
        <v>8.359999999999999</v>
      </c>
      <c r="I19" s="55" t="n">
        <v>8.73</v>
      </c>
      <c r="J19" s="43" t="n">
        <v>9.470000000000001</v>
      </c>
      <c r="K19" s="44" t="inlineStr">
        <is>
          <t>A+</t>
        </is>
      </c>
      <c r="L19" s="164" t="inlineStr">
        <is>
          <t>A+</t>
        </is>
      </c>
      <c r="M19" s="228" t="inlineStr">
        <is>
          <t>A+</t>
        </is>
      </c>
      <c r="N19" s="47">
        <f>TRUNC(AVERAGE(D19:J19),2)</f>
        <v/>
      </c>
      <c r="O19" s="48" t="inlineStr">
        <is>
          <t>S</t>
        </is>
      </c>
      <c r="P19" s="49" t="inlineStr">
        <is>
          <t>PROMOVIDO</t>
        </is>
      </c>
    </row>
    <row r="20" ht="15" customHeight="1" s="254">
      <c r="A20" s="34" t="n">
        <v>13</v>
      </c>
      <c r="B20" s="259" t="inlineStr">
        <is>
          <t>CALLE SIMBAÑA DOMENICA GUADALUPE</t>
        </is>
      </c>
      <c r="C20" s="258" t="n"/>
      <c r="D20" s="52" t="n">
        <v>9.800000000000001</v>
      </c>
      <c r="E20" s="53" t="n">
        <v>9.279999999999999</v>
      </c>
      <c r="F20" s="126" t="n">
        <v>9.369999999999999</v>
      </c>
      <c r="G20" s="54" t="n">
        <v>9.699999999999999</v>
      </c>
      <c r="H20" s="114" t="n">
        <v>9.44</v>
      </c>
      <c r="I20" s="55" t="n">
        <v>9.4</v>
      </c>
      <c r="J20" s="43" t="n">
        <v>9.19</v>
      </c>
      <c r="K20" s="44" t="inlineStr">
        <is>
          <t>A+</t>
        </is>
      </c>
      <c r="L20" s="164" t="inlineStr">
        <is>
          <t>A+</t>
        </is>
      </c>
      <c r="M20" s="228" t="inlineStr">
        <is>
          <t>A+</t>
        </is>
      </c>
      <c r="N20" s="47">
        <f>TRUNC(AVERAGE(D20:J20),2)</f>
        <v/>
      </c>
      <c r="O20" s="48" t="inlineStr">
        <is>
          <t>S</t>
        </is>
      </c>
      <c r="P20" s="49" t="inlineStr">
        <is>
          <t>PROMOVIDO</t>
        </is>
      </c>
    </row>
    <row r="21" ht="15" customHeight="1" s="254">
      <c r="A21" s="34" t="n">
        <v>14</v>
      </c>
      <c r="B21" s="259" t="inlineStr">
        <is>
          <t>CASTRO USHCA LESLY SAMANTA</t>
        </is>
      </c>
      <c r="C21" s="258" t="n"/>
      <c r="D21" s="52" t="n">
        <v>9.94</v>
      </c>
      <c r="E21" s="53" t="n">
        <v>9.550000000000001</v>
      </c>
      <c r="F21" s="126" t="n">
        <v>9.85</v>
      </c>
      <c r="G21" s="54" t="n">
        <v>9.77</v>
      </c>
      <c r="H21" s="114" t="n">
        <v>9.960000000000001</v>
      </c>
      <c r="I21" s="55" t="n">
        <v>9.67</v>
      </c>
      <c r="J21" s="43" t="n">
        <v>9.9</v>
      </c>
      <c r="K21" s="44" t="inlineStr">
        <is>
          <t>A+</t>
        </is>
      </c>
      <c r="L21" s="164" t="inlineStr">
        <is>
          <t>A+</t>
        </is>
      </c>
      <c r="M21" s="228" t="inlineStr">
        <is>
          <t>A+</t>
        </is>
      </c>
      <c r="N21" s="47">
        <f>TRUNC(AVERAGE(D21:J21),2)</f>
        <v/>
      </c>
      <c r="O21" s="48" t="inlineStr">
        <is>
          <t>S</t>
        </is>
      </c>
      <c r="P21" s="49" t="inlineStr">
        <is>
          <t>PROMOVIDO</t>
        </is>
      </c>
    </row>
    <row r="22" ht="15" customHeight="1" s="254">
      <c r="A22" s="34" t="n">
        <v>15</v>
      </c>
      <c r="B22" s="259" t="inlineStr">
        <is>
          <t>CORONEL ROMERO HERNAN MATEO</t>
        </is>
      </c>
      <c r="C22" s="258" t="n"/>
      <c r="D22" s="52" t="n">
        <v>8.02</v>
      </c>
      <c r="E22" s="53" t="n">
        <v>7.65</v>
      </c>
      <c r="F22" s="126" t="n">
        <v>7.51</v>
      </c>
      <c r="G22" s="54" t="n">
        <v>7.75</v>
      </c>
      <c r="H22" s="114" t="n">
        <v>7.44</v>
      </c>
      <c r="I22" s="42" t="n">
        <v>8.07</v>
      </c>
      <c r="J22" s="43" t="n">
        <v>8.109999999999999</v>
      </c>
      <c r="K22" s="44" t="inlineStr">
        <is>
          <t>B+</t>
        </is>
      </c>
      <c r="L22" s="164" t="inlineStr">
        <is>
          <t>A+</t>
        </is>
      </c>
      <c r="M22" s="228" t="inlineStr">
        <is>
          <t>A+</t>
        </is>
      </c>
      <c r="N22" s="47">
        <f>TRUNC(AVERAGE(D22:J22),2)</f>
        <v/>
      </c>
      <c r="O22" s="48" t="inlineStr">
        <is>
          <t>S</t>
        </is>
      </c>
      <c r="P22" s="49" t="inlineStr">
        <is>
          <t>PROMOVIDO</t>
        </is>
      </c>
    </row>
    <row r="23" ht="15" customHeight="1" s="254">
      <c r="A23" s="66" t="n">
        <v>16</v>
      </c>
      <c r="B23" s="257" t="inlineStr">
        <is>
          <t>CORREA SUMBA ALISSON KARELIS</t>
        </is>
      </c>
      <c r="C23" s="258" t="n"/>
      <c r="D23" s="52" t="n">
        <v>9.01</v>
      </c>
      <c r="E23" s="53" t="n">
        <v>8</v>
      </c>
      <c r="F23" s="126" t="n">
        <v>8.99</v>
      </c>
      <c r="G23" s="54" t="n">
        <v>8.220000000000001</v>
      </c>
      <c r="H23" s="114" t="n">
        <v>8.039999999999999</v>
      </c>
      <c r="I23" s="55" t="n">
        <v>8.99</v>
      </c>
      <c r="J23" s="43" t="n">
        <v>8.800000000000001</v>
      </c>
      <c r="K23" s="44" t="inlineStr">
        <is>
          <t>A+</t>
        </is>
      </c>
      <c r="L23" s="164" t="inlineStr">
        <is>
          <t>A+</t>
        </is>
      </c>
      <c r="M23" s="226" t="inlineStr">
        <is>
          <t>A+</t>
        </is>
      </c>
      <c r="N23" s="47">
        <f>TRUNC(AVERAGE(D23:J23),2)</f>
        <v/>
      </c>
      <c r="O23" s="48" t="inlineStr">
        <is>
          <t>S</t>
        </is>
      </c>
      <c r="P23" s="49" t="inlineStr">
        <is>
          <t>PROMOVIDO</t>
        </is>
      </c>
    </row>
    <row r="24" ht="15" customHeight="1" s="254">
      <c r="A24" s="34" t="n">
        <v>17</v>
      </c>
      <c r="B24" s="257" t="inlineStr">
        <is>
          <t>CORTE PAREDES ALEX FERNANDO</t>
        </is>
      </c>
      <c r="C24" s="258" t="n"/>
      <c r="D24" s="52" t="n">
        <v>9.31</v>
      </c>
      <c r="E24" s="53" t="n">
        <v>8.66</v>
      </c>
      <c r="F24" s="126" t="n">
        <v>9.33</v>
      </c>
      <c r="G24" s="54" t="n">
        <v>9.220000000000001</v>
      </c>
      <c r="H24" s="114" t="n">
        <v>7.86</v>
      </c>
      <c r="I24" s="55" t="n">
        <v>8.75</v>
      </c>
      <c r="J24" s="43" t="n">
        <v>9.619999999999999</v>
      </c>
      <c r="K24" s="44" t="inlineStr">
        <is>
          <t>A+</t>
        </is>
      </c>
      <c r="L24" s="164" t="inlineStr">
        <is>
          <t>A+</t>
        </is>
      </c>
      <c r="M24" s="228" t="inlineStr">
        <is>
          <t>A+</t>
        </is>
      </c>
      <c r="N24" s="47">
        <f>TRUNC(AVERAGE(D24:J24),2)</f>
        <v/>
      </c>
      <c r="O24" s="48" t="inlineStr">
        <is>
          <t>S</t>
        </is>
      </c>
      <c r="P24" s="49" t="inlineStr">
        <is>
          <t>PROMOVIDO</t>
        </is>
      </c>
    </row>
    <row r="25" ht="15" customHeight="1" s="254">
      <c r="A25" s="34" t="n">
        <v>18</v>
      </c>
      <c r="B25" s="257" t="inlineStr">
        <is>
          <t>DOMINGUEZ LANDI VANESA NICOL</t>
        </is>
      </c>
      <c r="C25" s="258" t="n"/>
      <c r="D25" s="52" t="n">
        <v>9.81</v>
      </c>
      <c r="E25" s="53" t="n">
        <v>8.99</v>
      </c>
      <c r="F25" s="126" t="n">
        <v>9.49</v>
      </c>
      <c r="G25" s="54" t="n">
        <v>9.65</v>
      </c>
      <c r="H25" s="114" t="n">
        <v>9.6</v>
      </c>
      <c r="I25" s="55" t="n">
        <v>9.220000000000001</v>
      </c>
      <c r="J25" s="43" t="n">
        <v>9.640000000000001</v>
      </c>
      <c r="K25" s="44" t="inlineStr">
        <is>
          <t>A+</t>
        </is>
      </c>
      <c r="L25" s="164" t="inlineStr">
        <is>
          <t>A+</t>
        </is>
      </c>
      <c r="M25" s="226" t="inlineStr">
        <is>
          <t>A+</t>
        </is>
      </c>
      <c r="N25" s="47">
        <f>TRUNC(AVERAGE(D25:J25),2)</f>
        <v/>
      </c>
      <c r="O25" s="48" t="inlineStr">
        <is>
          <t>S</t>
        </is>
      </c>
      <c r="P25" s="49" t="inlineStr">
        <is>
          <t>PROMOVIDO</t>
        </is>
      </c>
    </row>
    <row r="26" ht="15" customHeight="1" s="254">
      <c r="A26" s="34" t="n">
        <v>19</v>
      </c>
      <c r="B26" s="257" t="inlineStr">
        <is>
          <t>FERNANDEZ PATIÑO BRYAN ALEXIS</t>
        </is>
      </c>
      <c r="C26" s="258" t="n"/>
      <c r="D26" s="52" t="n">
        <v>9.26</v>
      </c>
      <c r="E26" s="53" t="n">
        <v>8.99</v>
      </c>
      <c r="F26" s="126" t="n">
        <v>8.859999999999999</v>
      </c>
      <c r="G26" s="54" t="n">
        <v>9.109999999999999</v>
      </c>
      <c r="H26" s="114" t="n">
        <v>8.6</v>
      </c>
      <c r="I26" s="55" t="n">
        <v>9.09</v>
      </c>
      <c r="J26" s="43" t="n">
        <v>9.76</v>
      </c>
      <c r="K26" s="44" t="inlineStr">
        <is>
          <t>A+</t>
        </is>
      </c>
      <c r="L26" s="164" t="inlineStr">
        <is>
          <t>A+</t>
        </is>
      </c>
      <c r="M26" s="228" t="inlineStr">
        <is>
          <t>A+</t>
        </is>
      </c>
      <c r="N26" s="47">
        <f>TRUNC(AVERAGE(D26:J26),2)</f>
        <v/>
      </c>
      <c r="O26" s="48" t="inlineStr">
        <is>
          <t>S</t>
        </is>
      </c>
      <c r="P26" s="49" t="inlineStr">
        <is>
          <t>PROMOVIDO</t>
        </is>
      </c>
    </row>
    <row r="27" ht="15" customHeight="1" s="254">
      <c r="A27" s="34" t="n">
        <v>20</v>
      </c>
      <c r="B27" s="257" t="inlineStr">
        <is>
          <t>GOMEZ JUELA BIANCA CAMILA</t>
        </is>
      </c>
      <c r="C27" s="258" t="n"/>
      <c r="D27" s="52" t="n">
        <v>8.73</v>
      </c>
      <c r="E27" s="63" t="n">
        <v>7.41</v>
      </c>
      <c r="F27" s="126" t="n">
        <v>8.630000000000001</v>
      </c>
      <c r="G27" s="54" t="n">
        <v>8.279999999999999</v>
      </c>
      <c r="H27" s="114" t="n">
        <v>8.380000000000001</v>
      </c>
      <c r="I27" s="55" t="n">
        <v>9.02</v>
      </c>
      <c r="J27" s="43" t="n">
        <v>8.869999999999999</v>
      </c>
      <c r="K27" s="44" t="inlineStr">
        <is>
          <t>A-</t>
        </is>
      </c>
      <c r="L27" s="164" t="inlineStr">
        <is>
          <t>A+</t>
        </is>
      </c>
      <c r="M27" s="228" t="inlineStr">
        <is>
          <t>A+</t>
        </is>
      </c>
      <c r="N27" s="47">
        <f>TRUNC(AVERAGE(D27:J27),2)</f>
        <v/>
      </c>
      <c r="O27" s="48" t="inlineStr">
        <is>
          <t>S</t>
        </is>
      </c>
      <c r="P27" s="49" t="inlineStr">
        <is>
          <t>PROMOVIDO</t>
        </is>
      </c>
    </row>
    <row r="28" ht="15" customHeight="1" s="254">
      <c r="A28" s="34" t="n">
        <v>21</v>
      </c>
      <c r="B28" s="257" t="inlineStr">
        <is>
          <t>GUERRA ROMÁN DYLAN ALEXANDER</t>
        </is>
      </c>
      <c r="C28" s="258" t="n"/>
      <c r="D28" s="52" t="n">
        <v>8.51</v>
      </c>
      <c r="E28" s="53" t="n">
        <v>7.75</v>
      </c>
      <c r="F28" s="126" t="n">
        <v>8.02</v>
      </c>
      <c r="G28" s="54" t="n">
        <v>7.98</v>
      </c>
      <c r="H28" s="114" t="n">
        <v>7.67</v>
      </c>
      <c r="I28" s="55" t="n">
        <v>8.449999999999999</v>
      </c>
      <c r="J28" s="43" t="n">
        <v>9.42</v>
      </c>
      <c r="K28" s="44" t="inlineStr">
        <is>
          <t>B+</t>
        </is>
      </c>
      <c r="L28" s="164" t="inlineStr">
        <is>
          <t>A+</t>
        </is>
      </c>
      <c r="M28" s="226" t="inlineStr">
        <is>
          <t>A+</t>
        </is>
      </c>
      <c r="N28" s="47">
        <f>TRUNC(AVERAGE(D28:J28),2)</f>
        <v/>
      </c>
      <c r="O28" s="48" t="inlineStr">
        <is>
          <t>F</t>
        </is>
      </c>
      <c r="P28" s="49" t="inlineStr">
        <is>
          <t>PROMOVIDO</t>
        </is>
      </c>
    </row>
    <row r="29" ht="18" customHeight="1" s="254">
      <c r="A29" s="34" t="n">
        <v>22</v>
      </c>
      <c r="B29" s="257" t="inlineStr">
        <is>
          <t>GUZHÑAY OLAYA IKER ARIEL</t>
        </is>
      </c>
      <c r="C29" s="258" t="n"/>
      <c r="D29" s="52" t="n">
        <v>8.52</v>
      </c>
      <c r="E29" s="53" t="n">
        <v>7.31</v>
      </c>
      <c r="F29" s="126" t="n">
        <v>7.81</v>
      </c>
      <c r="G29" s="54" t="n">
        <v>7.81</v>
      </c>
      <c r="H29" s="114" t="n">
        <v>8.130000000000001</v>
      </c>
      <c r="I29" s="55" t="n">
        <v>8.51</v>
      </c>
      <c r="J29" s="43" t="n">
        <v>8.34</v>
      </c>
      <c r="K29" s="44" t="inlineStr">
        <is>
          <t>B+</t>
        </is>
      </c>
      <c r="L29" s="164" t="inlineStr">
        <is>
          <t>A+</t>
        </is>
      </c>
      <c r="M29" s="228" t="inlineStr">
        <is>
          <t>A+</t>
        </is>
      </c>
      <c r="N29" s="47">
        <f>TRUNC(AVERAGE(D29:J29),2)</f>
        <v/>
      </c>
      <c r="O29" s="48" t="inlineStr">
        <is>
          <t>S</t>
        </is>
      </c>
      <c r="P29" s="49" t="inlineStr">
        <is>
          <t>PROMOVIDO</t>
        </is>
      </c>
    </row>
    <row r="30" ht="15" customHeight="1" s="254">
      <c r="A30" s="34" t="n">
        <v>23</v>
      </c>
      <c r="B30" s="257" t="inlineStr">
        <is>
          <t>LALVAY PALTA SHIRLEY VALENTINA</t>
        </is>
      </c>
      <c r="C30" s="258" t="n"/>
      <c r="D30" s="52" t="n">
        <v>9.869999999999999</v>
      </c>
      <c r="E30" s="53" t="n">
        <v>9.49</v>
      </c>
      <c r="F30" s="126" t="n">
        <v>9.81</v>
      </c>
      <c r="G30" s="54" t="n">
        <v>9.92</v>
      </c>
      <c r="H30" s="114" t="n">
        <v>9.640000000000001</v>
      </c>
      <c r="I30" s="55" t="n">
        <v>9.779999999999999</v>
      </c>
      <c r="J30" s="43" t="n">
        <v>9.93</v>
      </c>
      <c r="K30" s="44" t="inlineStr">
        <is>
          <t>A+</t>
        </is>
      </c>
      <c r="L30" s="164" t="inlineStr">
        <is>
          <t>A+</t>
        </is>
      </c>
      <c r="M30" s="228" t="inlineStr">
        <is>
          <t>A+</t>
        </is>
      </c>
      <c r="N30" s="67">
        <f>TRUNC(AVERAGE(D30:J30),2)</f>
        <v/>
      </c>
      <c r="O30" s="48" t="inlineStr">
        <is>
          <t>S</t>
        </is>
      </c>
      <c r="P30" s="49" t="inlineStr">
        <is>
          <t>PROMOVIDO</t>
        </is>
      </c>
    </row>
    <row r="31" ht="18" customHeight="1" s="254">
      <c r="A31" s="34" t="n">
        <v>24</v>
      </c>
      <c r="B31" s="260" t="inlineStr">
        <is>
          <t>MAILA CUZCO JOSUE DAVID</t>
        </is>
      </c>
      <c r="C31" s="258" t="n"/>
      <c r="D31" s="52" t="n">
        <v>9.18</v>
      </c>
      <c r="E31" s="261" t="n">
        <v>9.199999999999999</v>
      </c>
      <c r="F31" s="126" t="n">
        <v>9.35</v>
      </c>
      <c r="G31" s="54" t="n">
        <v>9.09</v>
      </c>
      <c r="H31" s="114" t="n">
        <v>8.359999999999999</v>
      </c>
      <c r="I31" s="55" t="n">
        <v>9.050000000000001</v>
      </c>
      <c r="J31" s="43" t="n">
        <v>9.73</v>
      </c>
      <c r="K31" s="44" t="inlineStr">
        <is>
          <t>A+</t>
        </is>
      </c>
      <c r="L31" s="164" t="inlineStr">
        <is>
          <t>A+</t>
        </is>
      </c>
      <c r="M31" s="226" t="inlineStr">
        <is>
          <t>A+</t>
        </is>
      </c>
      <c r="N31" s="47">
        <f>TRUNC(AVERAGE(D31:J31),2)</f>
        <v/>
      </c>
      <c r="O31" s="48" t="inlineStr">
        <is>
          <t>S</t>
        </is>
      </c>
      <c r="P31" s="49" t="inlineStr">
        <is>
          <t>PROMOVIDO</t>
        </is>
      </c>
    </row>
    <row r="32" ht="15" customHeight="1" s="254">
      <c r="A32" s="34" t="n">
        <v>25</v>
      </c>
      <c r="B32" s="257" t="inlineStr">
        <is>
          <t>MALLA CHIMBO ERIKA TATIANA</t>
        </is>
      </c>
      <c r="C32" s="258" t="n"/>
      <c r="D32" s="52" t="n">
        <v>8.960000000000001</v>
      </c>
      <c r="E32" s="63" t="n">
        <v>8.460000000000001</v>
      </c>
      <c r="F32" s="126" t="n">
        <v>9.24</v>
      </c>
      <c r="G32" s="54" t="n">
        <v>9.25</v>
      </c>
      <c r="H32" s="114" t="n">
        <v>8.66</v>
      </c>
      <c r="I32" s="55" t="n">
        <v>8.99</v>
      </c>
      <c r="J32" s="43" t="n">
        <v>8.93</v>
      </c>
      <c r="K32" s="44" t="inlineStr">
        <is>
          <t>A+</t>
        </is>
      </c>
      <c r="L32" s="164" t="inlineStr">
        <is>
          <t>A+</t>
        </is>
      </c>
      <c r="M32" s="228" t="inlineStr">
        <is>
          <t>A+</t>
        </is>
      </c>
      <c r="N32" s="47">
        <f>TRUNC(AVERAGE(D32:J32),2)</f>
        <v/>
      </c>
      <c r="O32" s="48" t="inlineStr">
        <is>
          <t>S</t>
        </is>
      </c>
      <c r="P32" s="49" t="inlineStr">
        <is>
          <t>PROMOVIDO</t>
        </is>
      </c>
    </row>
    <row r="33" ht="15" customHeight="1" s="254">
      <c r="A33" s="34" t="n">
        <v>26</v>
      </c>
      <c r="B33" s="257" t="inlineStr">
        <is>
          <t>MARTINEZ ORELLANA JEYMI ISAAC</t>
        </is>
      </c>
      <c r="C33" s="258" t="n"/>
      <c r="D33" s="52" t="n">
        <v>9.210000000000001</v>
      </c>
      <c r="E33" s="53" t="n">
        <v>9.09</v>
      </c>
      <c r="F33" s="126" t="n">
        <v>9.19</v>
      </c>
      <c r="G33" s="54" t="n">
        <v>8.970000000000001</v>
      </c>
      <c r="H33" s="114" t="n">
        <v>9.6</v>
      </c>
      <c r="I33" s="55" t="n">
        <v>8.83</v>
      </c>
      <c r="J33" s="43" t="n">
        <v>9.02</v>
      </c>
      <c r="K33" s="44" t="inlineStr">
        <is>
          <t>A-</t>
        </is>
      </c>
      <c r="L33" s="164" t="inlineStr">
        <is>
          <t>A+</t>
        </is>
      </c>
      <c r="M33" s="228" t="inlineStr">
        <is>
          <t>A+</t>
        </is>
      </c>
      <c r="N33" s="47">
        <f>TRUNC(AVERAGE(D33:J33),2)</f>
        <v/>
      </c>
      <c r="O33" s="48" t="inlineStr">
        <is>
          <t>S</t>
        </is>
      </c>
      <c r="P33" s="49" t="inlineStr">
        <is>
          <t>PROMOVIDO</t>
        </is>
      </c>
    </row>
    <row r="34" ht="15" customHeight="1" s="254">
      <c r="A34" s="34" t="n">
        <v>27</v>
      </c>
      <c r="B34" s="257" t="inlineStr">
        <is>
          <t>MENDEZ CALLE CHRISTOPHER SEBASTIAN</t>
        </is>
      </c>
      <c r="C34" s="258" t="n"/>
      <c r="D34" s="52" t="n">
        <v>9.67</v>
      </c>
      <c r="E34" s="63" t="n">
        <v>9.539999999999999</v>
      </c>
      <c r="F34" s="126" t="n">
        <v>9.58</v>
      </c>
      <c r="G34" s="54" t="n">
        <v>9.35</v>
      </c>
      <c r="H34" s="114" t="n">
        <v>8.880000000000001</v>
      </c>
      <c r="I34" s="55" t="n">
        <v>9.34</v>
      </c>
      <c r="J34" s="43" t="n">
        <v>9.390000000000001</v>
      </c>
      <c r="K34" s="44" t="inlineStr">
        <is>
          <t>A+</t>
        </is>
      </c>
      <c r="L34" s="164" t="inlineStr">
        <is>
          <t>A+</t>
        </is>
      </c>
      <c r="M34" s="228" t="inlineStr">
        <is>
          <t>A+</t>
        </is>
      </c>
      <c r="N34" s="47">
        <f>TRUNC(AVERAGE(D34:J34),2)</f>
        <v/>
      </c>
      <c r="O34" s="48" t="inlineStr">
        <is>
          <t>S</t>
        </is>
      </c>
      <c r="P34" s="49" t="inlineStr">
        <is>
          <t>PROMOVIDO</t>
        </is>
      </c>
    </row>
    <row r="35" ht="15" customHeight="1" s="254">
      <c r="A35" s="66" t="n">
        <v>28</v>
      </c>
      <c r="B35" s="68" t="inlineStr">
        <is>
          <t>MOROCHO CHILLOGALLI DENISSE ALEJANDRA</t>
        </is>
      </c>
      <c r="C35" s="69" t="n"/>
      <c r="D35" s="52" t="n">
        <v>8.92</v>
      </c>
      <c r="E35" s="53" t="n">
        <v>7.8</v>
      </c>
      <c r="F35" s="126" t="n">
        <v>8.789999999999999</v>
      </c>
      <c r="G35" s="54" t="n">
        <v>8.5</v>
      </c>
      <c r="H35" s="114" t="n">
        <v>7.88</v>
      </c>
      <c r="I35" s="55" t="n">
        <v>8.289999999999999</v>
      </c>
      <c r="J35" s="43" t="n">
        <v>8.609999999999999</v>
      </c>
      <c r="K35" s="44" t="inlineStr">
        <is>
          <t>A+</t>
        </is>
      </c>
      <c r="L35" s="164" t="inlineStr">
        <is>
          <t>A+</t>
        </is>
      </c>
      <c r="M35" s="228" t="inlineStr">
        <is>
          <t>A+</t>
        </is>
      </c>
      <c r="N35" s="47">
        <f>TRUNC(AVERAGE(D35:J35),2)</f>
        <v/>
      </c>
      <c r="O35" s="48" t="inlineStr">
        <is>
          <t>S</t>
        </is>
      </c>
      <c r="P35" s="49" t="inlineStr">
        <is>
          <t>PROMOVIDO</t>
        </is>
      </c>
    </row>
    <row r="36" ht="15" customHeight="1" s="254">
      <c r="A36" s="34" t="n">
        <v>29</v>
      </c>
      <c r="B36" s="259" t="inlineStr">
        <is>
          <t>NAULA GARZON ANDERSON JHOSUE</t>
        </is>
      </c>
      <c r="C36" s="258" t="n"/>
      <c r="D36" s="52" t="n">
        <v>8.41</v>
      </c>
      <c r="E36" s="53" t="n">
        <v>8.06</v>
      </c>
      <c r="F36" s="126" t="n">
        <v>8.460000000000001</v>
      </c>
      <c r="G36" s="40" t="n">
        <v>8.109999999999999</v>
      </c>
      <c r="H36" s="114" t="n">
        <v>7.96</v>
      </c>
      <c r="I36" s="55" t="n">
        <v>7.86</v>
      </c>
      <c r="J36" s="43" t="n">
        <v>8.699999999999999</v>
      </c>
      <c r="K36" s="44" t="inlineStr">
        <is>
          <t>A-</t>
        </is>
      </c>
      <c r="L36" s="164" t="inlineStr">
        <is>
          <t>A+</t>
        </is>
      </c>
      <c r="M36" s="228" t="inlineStr">
        <is>
          <t>A+</t>
        </is>
      </c>
      <c r="N36" s="47">
        <f>TRUNC(AVERAGE(D36:J36),2)</f>
        <v/>
      </c>
      <c r="O36" s="48" t="inlineStr">
        <is>
          <t>S</t>
        </is>
      </c>
      <c r="P36" s="49" t="inlineStr">
        <is>
          <t>PROMOVIDO</t>
        </is>
      </c>
    </row>
    <row r="37" ht="15" customHeight="1" s="254">
      <c r="A37" s="34" t="n">
        <v>30</v>
      </c>
      <c r="B37" s="259" t="inlineStr">
        <is>
          <t>PANDO CARVAJAL JUAN FRANCISCO</t>
        </is>
      </c>
      <c r="C37" s="258" t="n"/>
      <c r="D37" s="52" t="n">
        <v>7.53</v>
      </c>
      <c r="E37" s="63" t="n">
        <v>7.2</v>
      </c>
      <c r="F37" s="126" t="n">
        <v>7</v>
      </c>
      <c r="G37" s="54" t="n">
        <v>7.1</v>
      </c>
      <c r="H37" s="114" t="n">
        <v>7.14</v>
      </c>
      <c r="I37" s="55" t="n">
        <v>7.48</v>
      </c>
      <c r="J37" s="43" t="n">
        <v>8.02</v>
      </c>
      <c r="K37" s="44" t="inlineStr">
        <is>
          <t>B+</t>
        </is>
      </c>
      <c r="L37" s="164" t="inlineStr">
        <is>
          <t>A+</t>
        </is>
      </c>
      <c r="M37" s="226" t="inlineStr">
        <is>
          <t>A+</t>
        </is>
      </c>
      <c r="N37" s="47">
        <f>TRUNC(AVERAGE(D37:J37),2)</f>
        <v/>
      </c>
      <c r="O37" s="48" t="inlineStr">
        <is>
          <t>S</t>
        </is>
      </c>
      <c r="P37" s="49" t="inlineStr">
        <is>
          <t>PROMOVIDO</t>
        </is>
      </c>
    </row>
    <row r="38" ht="15" customHeight="1" s="254">
      <c r="A38" s="34" t="n">
        <v>31</v>
      </c>
      <c r="B38" s="259" t="inlineStr">
        <is>
          <t>PERALTA DELGADO ALIXON JAIR</t>
        </is>
      </c>
      <c r="C38" s="258" t="n"/>
      <c r="D38" s="52" t="n">
        <v>6.96</v>
      </c>
      <c r="E38" s="53" t="n">
        <v>7.26</v>
      </c>
      <c r="F38" s="126" t="n">
        <v>5.98</v>
      </c>
      <c r="G38" s="70" t="n">
        <v>6.52</v>
      </c>
      <c r="H38" s="114" t="n">
        <v>6.48</v>
      </c>
      <c r="I38" s="55" t="n">
        <v>7.56</v>
      </c>
      <c r="J38" s="43" t="n">
        <v>8.26</v>
      </c>
      <c r="K38" s="44" t="inlineStr">
        <is>
          <t>B+</t>
        </is>
      </c>
      <c r="L38" s="164" t="inlineStr">
        <is>
          <t>A-</t>
        </is>
      </c>
      <c r="M38" s="228" t="inlineStr">
        <is>
          <t>A+</t>
        </is>
      </c>
      <c r="N38" s="47">
        <f>TRUNC(AVERAGE(D38:J38),2)</f>
        <v/>
      </c>
      <c r="O38" s="48" t="inlineStr">
        <is>
          <t>O</t>
        </is>
      </c>
      <c r="P38" s="71" t="inlineStr">
        <is>
          <t>NO PROMOVIDO</t>
        </is>
      </c>
    </row>
    <row r="39" ht="15" customHeight="1" s="254">
      <c r="A39" s="34" t="n">
        <v>32</v>
      </c>
      <c r="B39" s="262" t="inlineStr">
        <is>
          <t>PIÑA GUARQUILA JARED ISMAEL</t>
        </is>
      </c>
      <c r="C39" s="258" t="n"/>
      <c r="D39" s="52" t="n">
        <v>9.94</v>
      </c>
      <c r="E39" s="53" t="n">
        <v>9.859999999999999</v>
      </c>
      <c r="F39" s="126" t="n">
        <v>9.75</v>
      </c>
      <c r="G39" s="54" t="n">
        <v>9.970000000000001</v>
      </c>
      <c r="H39" s="114" t="n">
        <v>9.880000000000001</v>
      </c>
      <c r="I39" s="55" t="n">
        <v>9.49</v>
      </c>
      <c r="J39" s="43" t="n">
        <v>9.880000000000001</v>
      </c>
      <c r="K39" s="44" t="inlineStr">
        <is>
          <t>A+</t>
        </is>
      </c>
      <c r="L39" s="164" t="inlineStr">
        <is>
          <t>A+</t>
        </is>
      </c>
      <c r="M39" s="228" t="inlineStr">
        <is>
          <t>A+</t>
        </is>
      </c>
      <c r="N39" s="73">
        <f>TRUNC(AVERAGE(D39:J39),2)</f>
        <v/>
      </c>
      <c r="O39" s="48" t="inlineStr">
        <is>
          <t>S</t>
        </is>
      </c>
      <c r="P39" s="49" t="inlineStr">
        <is>
          <t>PROMOVIDO</t>
        </is>
      </c>
    </row>
    <row r="40" ht="15" customHeight="1" s="254">
      <c r="A40" s="34" t="n">
        <v>33</v>
      </c>
      <c r="B40" s="257" t="inlineStr">
        <is>
          <t>POZO ZHAÑAY MILENA ANAHI</t>
        </is>
      </c>
      <c r="C40" s="258" t="n"/>
      <c r="D40" s="52" t="n">
        <v>7.83</v>
      </c>
      <c r="E40" s="63" t="n">
        <v>7.7</v>
      </c>
      <c r="F40" s="126" t="n">
        <v>7.33</v>
      </c>
      <c r="G40" s="65" t="n">
        <v>7.22</v>
      </c>
      <c r="H40" s="114" t="n">
        <v>7.38</v>
      </c>
      <c r="I40" s="55" t="n">
        <v>7.59</v>
      </c>
      <c r="J40" s="43" t="n">
        <v>7.99</v>
      </c>
      <c r="K40" s="44" t="inlineStr">
        <is>
          <t>A-</t>
        </is>
      </c>
      <c r="L40" s="164" t="inlineStr">
        <is>
          <t>A+</t>
        </is>
      </c>
      <c r="M40" s="228" t="inlineStr">
        <is>
          <t>A+</t>
        </is>
      </c>
      <c r="N40" s="47">
        <f>TRUNC(AVERAGE(D40:J40),2)</f>
        <v/>
      </c>
      <c r="O40" s="48" t="inlineStr">
        <is>
          <t>S</t>
        </is>
      </c>
      <c r="P40" s="49" t="inlineStr">
        <is>
          <t>PROMOVIDO</t>
        </is>
      </c>
    </row>
    <row r="41" ht="14.25" customHeight="1" s="254">
      <c r="A41" s="34" t="n">
        <v>34</v>
      </c>
      <c r="B41" s="257" t="inlineStr">
        <is>
          <t>PULGARIN CUENCA CAMILA ELIZABETH</t>
        </is>
      </c>
      <c r="C41" s="258" t="n"/>
      <c r="D41" s="52" t="n">
        <v>9.539999999999999</v>
      </c>
      <c r="E41" s="63" t="n">
        <v>9.09</v>
      </c>
      <c r="F41" s="126" t="n">
        <v>9.119999999999999</v>
      </c>
      <c r="G41" s="54" t="n">
        <v>9.039999999999999</v>
      </c>
      <c r="H41" s="114" t="n">
        <v>9</v>
      </c>
      <c r="I41" s="55" t="n">
        <v>9.35</v>
      </c>
      <c r="J41" s="43" t="n">
        <v>9.16</v>
      </c>
      <c r="K41" s="44" t="inlineStr">
        <is>
          <t>A+</t>
        </is>
      </c>
      <c r="L41" s="164" t="inlineStr">
        <is>
          <t>A+</t>
        </is>
      </c>
      <c r="M41" s="228" t="inlineStr">
        <is>
          <t>A+</t>
        </is>
      </c>
      <c r="N41" s="47">
        <f>TRUNC(AVERAGE(D41:J41),2)</f>
        <v/>
      </c>
      <c r="O41" s="48" t="inlineStr">
        <is>
          <t>S</t>
        </is>
      </c>
      <c r="P41" s="49" t="inlineStr">
        <is>
          <t>PROMOVIDO</t>
        </is>
      </c>
    </row>
    <row r="42" ht="15" customHeight="1" s="254">
      <c r="A42" s="34" t="n">
        <v>35</v>
      </c>
      <c r="B42" s="259" t="inlineStr">
        <is>
          <t>ROMAN BELDUMA DAYRON JAEL</t>
        </is>
      </c>
      <c r="C42" s="258" t="n"/>
      <c r="D42" s="52" t="n">
        <v>9.5</v>
      </c>
      <c r="E42" s="53" t="n">
        <v>9.31</v>
      </c>
      <c r="F42" s="126" t="n">
        <v>9.26</v>
      </c>
      <c r="G42" s="54" t="n">
        <v>9.35</v>
      </c>
      <c r="H42" s="114" t="n">
        <v>9.09</v>
      </c>
      <c r="I42" s="55" t="n">
        <v>9.140000000000001</v>
      </c>
      <c r="J42" s="43" t="n">
        <v>9.640000000000001</v>
      </c>
      <c r="K42" s="44" t="inlineStr">
        <is>
          <t>A+</t>
        </is>
      </c>
      <c r="L42" s="164" t="inlineStr">
        <is>
          <t>A+</t>
        </is>
      </c>
      <c r="M42" s="228" t="inlineStr">
        <is>
          <t>A+</t>
        </is>
      </c>
      <c r="N42" s="47">
        <f>TRUNC(AVERAGE(D42:J42),2)</f>
        <v/>
      </c>
      <c r="O42" s="48" t="inlineStr">
        <is>
          <t>S</t>
        </is>
      </c>
      <c r="P42" s="49" t="inlineStr">
        <is>
          <t>PROMOVIDO</t>
        </is>
      </c>
    </row>
    <row r="43" ht="14.25" customHeight="1" s="254">
      <c r="A43" s="74" t="n">
        <v>36</v>
      </c>
      <c r="B43" s="259" t="inlineStr">
        <is>
          <t>ROMERO NARVAEZ PAOLA FERNANDA</t>
        </is>
      </c>
      <c r="C43" s="258" t="n"/>
      <c r="D43" s="52" t="n">
        <v>8.94</v>
      </c>
      <c r="E43" s="53" t="n">
        <v>7.11</v>
      </c>
      <c r="F43" s="126" t="n">
        <v>7.04</v>
      </c>
      <c r="G43" s="54" t="n">
        <v>7</v>
      </c>
      <c r="H43" s="114" t="n">
        <v>7.98</v>
      </c>
      <c r="I43" s="55" t="n">
        <v>7.27</v>
      </c>
      <c r="J43" s="43" t="n">
        <v>7.92</v>
      </c>
      <c r="K43" s="44" t="inlineStr">
        <is>
          <t>B+</t>
        </is>
      </c>
      <c r="L43" s="164" t="inlineStr">
        <is>
          <t>A+</t>
        </is>
      </c>
      <c r="M43" s="228" t="inlineStr">
        <is>
          <t>A+</t>
        </is>
      </c>
      <c r="N43" s="47">
        <f>TRUNC(AVERAGE(D43:J43),2)</f>
        <v/>
      </c>
      <c r="O43" s="48" t="inlineStr">
        <is>
          <t>F</t>
        </is>
      </c>
      <c r="P43" s="49" t="inlineStr">
        <is>
          <t>PROMOVIDO</t>
        </is>
      </c>
    </row>
    <row r="44" ht="15" customHeight="1" s="254">
      <c r="A44" s="75" t="n">
        <v>37</v>
      </c>
      <c r="B44" s="157" t="inlineStr">
        <is>
          <t>SEGARRA GUERRERO JORDY NICOLAS</t>
        </is>
      </c>
      <c r="C44" s="256" t="n"/>
      <c r="D44" s="52" t="n">
        <v>7</v>
      </c>
      <c r="E44" s="53" t="n">
        <v>7</v>
      </c>
      <c r="F44" s="126" t="n">
        <v>7</v>
      </c>
      <c r="G44" s="40" t="n">
        <v>7</v>
      </c>
      <c r="H44" s="114" t="n">
        <v>7.07</v>
      </c>
      <c r="I44" s="55" t="n">
        <v>7.42</v>
      </c>
      <c r="J44" s="43" t="n">
        <v>7.41</v>
      </c>
      <c r="K44" s="44" t="inlineStr">
        <is>
          <t>B+</t>
        </is>
      </c>
      <c r="L44" s="164" t="inlineStr">
        <is>
          <t>A+</t>
        </is>
      </c>
      <c r="M44" s="228" t="inlineStr">
        <is>
          <t>A+</t>
        </is>
      </c>
      <c r="N44" s="47">
        <f>TRUNC(AVERAGE(D44:J44),2)</f>
        <v/>
      </c>
      <c r="O44" s="48" t="inlineStr">
        <is>
          <t>F</t>
        </is>
      </c>
      <c r="P44" s="76" t="inlineStr">
        <is>
          <t>PROMOVIDO</t>
        </is>
      </c>
    </row>
    <row r="45" ht="15" customHeight="1" s="254">
      <c r="A45" s="75" t="n">
        <v>38</v>
      </c>
      <c r="B45" s="157" t="inlineStr">
        <is>
          <t>SIMBAÑA ESPADERO KEVIN ANDRÉS</t>
        </is>
      </c>
      <c r="C45" s="256" t="n"/>
      <c r="D45" s="52" t="n">
        <v>9.09</v>
      </c>
      <c r="E45" s="63" t="n">
        <v>8.65</v>
      </c>
      <c r="F45" s="126" t="n">
        <v>8.56</v>
      </c>
      <c r="G45" s="54" t="n">
        <v>8.41</v>
      </c>
      <c r="H45" s="114" t="n">
        <v>8.529999999999999</v>
      </c>
      <c r="I45" s="55" t="n">
        <v>8.640000000000001</v>
      </c>
      <c r="J45" s="43" t="n">
        <v>9.33</v>
      </c>
      <c r="K45" s="44" t="inlineStr">
        <is>
          <t>A-</t>
        </is>
      </c>
      <c r="L45" s="164" t="inlineStr">
        <is>
          <t>A+</t>
        </is>
      </c>
      <c r="M45" s="228" t="inlineStr">
        <is>
          <t>A+</t>
        </is>
      </c>
      <c r="N45" s="47">
        <f>TRUNC(AVERAGE(D45:J45),2)</f>
        <v/>
      </c>
      <c r="O45" s="48" t="inlineStr">
        <is>
          <t>S</t>
        </is>
      </c>
      <c r="P45" s="77" t="inlineStr">
        <is>
          <t>PROMOVIDO</t>
        </is>
      </c>
    </row>
    <row r="46" ht="15" customHeight="1" s="254">
      <c r="A46" s="75" t="n"/>
      <c r="B46" s="69" t="inlineStr">
        <is>
          <t>Promedio</t>
        </is>
      </c>
      <c r="C46" s="256" t="n"/>
      <c r="D46" s="135">
        <f>AVERAGE(D8:D45)</f>
        <v/>
      </c>
      <c r="E46" s="80">
        <f>AVERAGE(E8:E45)</f>
        <v/>
      </c>
      <c r="F46" s="81">
        <f>AVERAGE(F8:F45)</f>
        <v/>
      </c>
      <c r="G46" s="82">
        <f>AVERAGE(G8:G45)</f>
        <v/>
      </c>
      <c r="H46" s="83">
        <f>AVERAGE(H8:H45)</f>
        <v/>
      </c>
      <c r="I46" s="84">
        <f>AVERAGE(I8:I45)</f>
        <v/>
      </c>
      <c r="J46" s="85">
        <f>AVERAGE(J8:J45)</f>
        <v/>
      </c>
      <c r="K46" s="86" t="n"/>
      <c r="L46" s="86" t="n"/>
      <c r="M46" s="87" t="n"/>
      <c r="N46" s="47">
        <f>AVERAGE(N8:N45)</f>
        <v/>
      </c>
      <c r="O46" s="88" t="n"/>
      <c r="P46" s="89" t="n"/>
    </row>
    <row r="47" ht="15" customHeight="1" s="254">
      <c r="A47" s="90" t="n"/>
      <c r="B47" s="91" t="n"/>
      <c r="C47" s="91" t="n"/>
      <c r="D47" s="92" t="n"/>
      <c r="E47" s="92" t="n"/>
      <c r="F47" s="93" t="n"/>
      <c r="G47" s="92" t="n"/>
      <c r="H47" s="94" t="n"/>
      <c r="I47" s="94" t="n"/>
      <c r="J47" s="95" t="n"/>
      <c r="K47" s="94" t="n"/>
      <c r="L47" s="96" t="n"/>
      <c r="M47" s="97" t="n"/>
      <c r="N47" s="92" t="n"/>
      <c r="O47" s="96" t="n"/>
      <c r="P47" s="92" t="n"/>
      <c r="Q47" s="12" t="n"/>
    </row>
    <row r="48" ht="15" customHeight="1" s="254">
      <c r="A48" s="98" t="n"/>
      <c r="B48" s="263" t="n"/>
      <c r="D48" s="92" t="n"/>
      <c r="E48" s="92" t="n"/>
      <c r="F48" s="93" t="n"/>
      <c r="G48" s="92" t="n"/>
      <c r="H48" s="94" t="n"/>
      <c r="I48" s="94" t="n"/>
      <c r="J48" s="95" t="n"/>
      <c r="K48" s="94" t="n"/>
      <c r="L48" s="96" t="n"/>
      <c r="M48" s="97" t="n"/>
      <c r="N48" s="92" t="n"/>
      <c r="O48" s="96" t="n"/>
      <c r="P48" s="92" t="n"/>
      <c r="Q48" s="12" t="n"/>
    </row>
    <row r="49" ht="15" customHeight="1" s="254">
      <c r="A49" s="98" t="n"/>
      <c r="B49" s="264" t="inlineStr">
        <is>
          <t xml:space="preserve">Ing. Sonia Chicaiza Mgtr. </t>
        </is>
      </c>
      <c r="D49" s="265" t="inlineStr">
        <is>
          <t xml:space="preserve">Lcda. Isabel Carpio Mgtr. </t>
        </is>
      </c>
      <c r="E49" s="266" t="n"/>
      <c r="F49" s="266" t="n"/>
      <c r="G49" s="267" t="n"/>
      <c r="H49" s="104" t="n"/>
      <c r="I49" s="265" t="inlineStr">
        <is>
          <t>Lcda. Marcia Siavichay</t>
        </is>
      </c>
      <c r="J49" s="266" t="n"/>
      <c r="K49" s="266" t="n"/>
      <c r="L49" s="267" t="n"/>
      <c r="M49" s="93" t="n"/>
      <c r="N49" s="92" t="n"/>
      <c r="O49" s="96" t="n"/>
      <c r="P49" s="105" t="n"/>
      <c r="Q49" s="12" t="n"/>
    </row>
    <row r="50" ht="14.25" customHeight="1" s="254">
      <c r="A50" s="98" t="n"/>
      <c r="B50" s="264" t="inlineStr">
        <is>
          <t>Rectora (e)</t>
        </is>
      </c>
      <c r="D50" s="265" t="inlineStr">
        <is>
          <t>Vicerrectora (e)Matutina</t>
        </is>
      </c>
      <c r="E50" s="266" t="n"/>
      <c r="F50" s="266" t="n"/>
      <c r="G50" s="267" t="n"/>
      <c r="H50" s="104" t="n"/>
      <c r="I50" s="265" t="inlineStr">
        <is>
          <t>Docente Tutora</t>
        </is>
      </c>
      <c r="J50" s="266" t="n"/>
      <c r="K50" s="266" t="n"/>
      <c r="L50" s="267" t="n"/>
      <c r="M50" s="93" t="n"/>
      <c r="N50" s="106" t="n"/>
      <c r="O50" s="96" t="n"/>
      <c r="P50" s="105" t="n"/>
      <c r="Q50" s="12" t="n"/>
    </row>
    <row r="51" ht="14.25" customHeight="1" s="254">
      <c r="A51" s="98" t="n"/>
      <c r="B51" s="268">
        <f>IFERROR(IF(AND($C$4="OCTAVO A",$K$3="MATUTINA"),VLOOKUP(A51,OCTAVO_A_MAT,2,FALSE),IF(AND($C$4="OCTAVO B",$K$3="MATUTINA"),VLOOKUP(A51,OCTAVO_B_MAT,2,FALSE),IF(AND($C$4="NOVENO A",$K$3="MATUTINA"),VLOOKUP(A51,NOVENO_A_MAT,2,FALSE),IF(AND($C$4="NOVENO B",$K$3="MATUTINA"),VLOOKUP(A51,NOVENO_B_MAT,2,FALSE),IF(AND($C$4="DÉCIMO A",$K$3="MATUTINA"),VLOOKUP(A51,DECIMO_A_MAT,2,FALSE),IF(AND($C$4="DÉCIMO B",$K$3="MATUTINA"),VLOOKUP(A51,DECIMO_B_MAT,2,FALSE),IF(AND($C$4="OCTAVO A",$K$3="VESPERTINA"),VLOOKUP(A51,OCTAVO_A_VESP,2,FALSE),IF(AND($C$4="OCTAVO B",$K$3="VESPERTINA"),VLOOKUP(A51,OCTAVO_B_VESP,2,FALSE),IF(AND($C$4="NOVENO A",$K$3="VESPERTINA"),VLOOKUP(A51,NOVENO_A_VESP,2,FALSE),IF(AND($C$4="NOVENO B",$K$3="VESPERTINA"),VLOOKUP(A51,NOVENO_B_VESP,2,FALSE),IF(AND($C$4="DÉCIMO A",$K$3="VESPERTINA"),VLOOKUP(A51,DECIMO_A_VESP,2,FALSE),IF(AND($C$4="DÉCIMO B",$K$3="VESPERTINA"),VLOOKUP(A51,DECIMO_B_VESP,2,FALSE),IF(AND($C$4="QUINTO A",$K$3="MATUTINA"),VLOOKUP(A51,QUINTO_A_MAT,2,FALSE),IF(AND($C$4="QUINTO B",$K$3="MATUTINA"),VLOOKUP(A51,QUINTO_B_MAT,2,FALSE),IF(AND($C$4="SEXTO A",$K$3="MATUTINA"),VLOOKUP(A51,SEXTO_A_MAT,2,FALSE),IF(AND($C$4="SEXTO B",$K$3="MATUTINA"),VLOOKUP(A51,SEXTO_B_MAT,2,FALSE),IF(AND($C$4="SÉPTIMO A",$K$3="MATUTINA"),VLOOKUP(A51,SEPTIMO_A_MATU,2,FALSE),IF(AND($C$4="SÉPTIMO B",$K$3="MATUTINA"),VLOOKUP(A51,SEPTIMO_B_MAT,2,FALSE),IF(AND($C$4="QUINTO A",$K$3="VESPERTINA"),VLOOKUP(A51,QUINTO_A_VES,2,FALSE),IF(AND($C$4="QUINTO B",$K$3="VESPERTINA"),VLOOKUP(A51,QUINTO_B_VES,2,FALSE),IF(AND($C$4="SEXTO A",$K$3="VESPERTINA"),VLOOKUP(A51,SEXTO_A_VES,2,FALSE),IF(AND($C$4="SEXTO B",$K$3="VESPERTINA"),VLOOKUP(A51,SEXTO_B_VES,2,FALSE),IF(AND($C$4="SÉPTIMO A",$K$3="VESPERTINA"),VLOOKUP(A51,SEPTIMO_A_VES,2,FALSE),IF(AND($C$4="SÉPTIMO B",$K$3="VESPERTINA"),VLOOKUP(A51,SEPTIMO_B_VES,2,FALSE),"")))))))))))))))))))))))),"")</f>
        <v/>
      </c>
      <c r="D51" s="92" t="n"/>
      <c r="E51" s="92" t="n"/>
      <c r="F51" s="269" t="n"/>
      <c r="N51" s="106" t="n"/>
      <c r="O51" s="95" t="n"/>
      <c r="P51" s="105" t="n"/>
      <c r="Q51" s="12" t="n"/>
    </row>
    <row r="52" ht="14.25" customHeight="1" s="254">
      <c r="A52" s="98" t="n"/>
      <c r="B52" s="268">
        <f>IFERROR(IF(AND($C$4="OCTAVO A",$K$3="MATUTINA"),VLOOKUP(A52,OCTAVO_A_MAT,2,FALSE),IF(AND($C$4="OCTAVO B",$K$3="MATUTINA"),VLOOKUP(A52,OCTAVO_B_MAT,2,FALSE),IF(AND($C$4="NOVENO A",$K$3="MATUTINA"),VLOOKUP(A52,NOVENO_A_MAT,2,FALSE),IF(AND($C$4="NOVENO B",$K$3="MATUTINA"),VLOOKUP(A52,NOVENO_B_MAT,2,FALSE),IF(AND($C$4="DÉCIMO A",$K$3="MATUTINA"),VLOOKUP(A52,DECIMO_A_MAT,2,FALSE),IF(AND($C$4="DÉCIMO B",$K$3="MATUTINA"),VLOOKUP(A52,DECIMO_B_MAT,2,FALSE),IF(AND($C$4="OCTAVO A",$K$3="VESPERTINA"),VLOOKUP(A52,OCTAVO_A_VESP,2,FALSE),IF(AND($C$4="OCTAVO B",$K$3="VESPERTINA"),VLOOKUP(A52,OCTAVO_B_VESP,2,FALSE),IF(AND($C$4="NOVENO A",$K$3="VESPERTINA"),VLOOKUP(A52,NOVENO_A_VESP,2,FALSE),IF(AND($C$4="NOVENO B",$K$3="VESPERTINA"),VLOOKUP(A52,NOVENO_B_VESP,2,FALSE),IF(AND($C$4="DÉCIMO A",$K$3="VESPERTINA"),VLOOKUP(A52,DECIMO_A_VESP,2,FALSE),IF(AND($C$4="DÉCIMO B",$K$3="VESPERTINA"),VLOOKUP(A52,DECIMO_B_VESP,2,FALSE),IF(AND($C$4="QUINTO A",$K$3="MATUTINA"),VLOOKUP(A52,QUINTO_A_MAT,2,FALSE),IF(AND($C$4="QUINTO B",$K$3="MATUTINA"),VLOOKUP(A52,QUINTO_B_MAT,2,FALSE),IF(AND($C$4="SEXTO A",$K$3="MATUTINA"),VLOOKUP(A52,SEXTO_A_MAT,2,FALSE),IF(AND($C$4="SEXTO B",$K$3="MATUTINA"),VLOOKUP(A52,SEXTO_B_MAT,2,FALSE),IF(AND($C$4="SÉPTIMO A",$K$3="MATUTINA"),VLOOKUP(A52,SEPTIMO_A_MATU,2,FALSE),IF(AND($C$4="SÉPTIMO B",$K$3="MATUTINA"),VLOOKUP(A52,SEPTIMO_B_MAT,2,FALSE),IF(AND($C$4="QUINTO A",$K$3="VESPERTINA"),VLOOKUP(A52,QUINTO_A_VES,2,FALSE),IF(AND($C$4="QUINTO B",$K$3="VESPERTINA"),VLOOKUP(A52,QUINTO_B_VES,2,FALSE),IF(AND($C$4="SEXTO A",$K$3="VESPERTINA"),VLOOKUP(A52,SEXTO_A_VES,2,FALSE),IF(AND($C$4="SEXTO B",$K$3="VESPERTINA"),VLOOKUP(A52,SEXTO_B_VES,2,FALSE),IF(AND($C$4="SÉPTIMO A",$K$3="VESPERTINA"),VLOOKUP(A52,SEPTIMO_A_VES,2,FALSE),IF(AND($C$4="SÉPTIMO B",$K$3="VESPERTINA"),VLOOKUP(A52,SEPTIMO_B_VES,2,FALSE),"")))))))))))))))))))))))),"")</f>
        <v/>
      </c>
      <c r="D52" s="92" t="n"/>
      <c r="E52" s="92" t="n"/>
      <c r="F52" s="92" t="n"/>
      <c r="G52" s="92" t="n"/>
      <c r="H52" s="92" t="n"/>
      <c r="I52" s="92" t="n"/>
      <c r="J52" s="95" t="n"/>
      <c r="K52" s="95" t="n"/>
      <c r="L52" s="95" t="n"/>
      <c r="M52" s="95" t="n"/>
      <c r="N52" s="92" t="n"/>
      <c r="O52" s="95" t="n"/>
      <c r="P52" s="105" t="n"/>
      <c r="Q52" s="12" t="n"/>
    </row>
    <row r="53" ht="14.25" customHeight="1" s="254">
      <c r="P53" s="12" t="n"/>
    </row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4.25" customHeight="1" s="254"/>
    <row r="249" ht="14.25" customHeight="1" s="254"/>
    <row r="250" ht="14.25" customHeight="1" s="254"/>
    <row r="251" ht="14.25" customHeight="1" s="254"/>
    <row r="252" ht="14.2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mergeCells count="55">
    <mergeCell ref="B16:C16"/>
    <mergeCell ref="B2:P2"/>
    <mergeCell ref="B25:C25"/>
    <mergeCell ref="B46:C46"/>
    <mergeCell ref="B22:C22"/>
    <mergeCell ref="B31:C31"/>
    <mergeCell ref="B27:C27"/>
    <mergeCell ref="B18:C18"/>
    <mergeCell ref="B43:C43"/>
    <mergeCell ref="B12:C12"/>
    <mergeCell ref="B39:C39"/>
    <mergeCell ref="I50:L50"/>
    <mergeCell ref="B52:C52"/>
    <mergeCell ref="B21:C21"/>
    <mergeCell ref="B48:C48"/>
    <mergeCell ref="B11:C11"/>
    <mergeCell ref="K3:N3"/>
    <mergeCell ref="D50:G50"/>
    <mergeCell ref="F51:M51"/>
    <mergeCell ref="B42:C42"/>
    <mergeCell ref="B23:C23"/>
    <mergeCell ref="B14:C14"/>
    <mergeCell ref="B17:C17"/>
    <mergeCell ref="B8:C8"/>
    <mergeCell ref="I49:L49"/>
    <mergeCell ref="I3:J3"/>
    <mergeCell ref="B13:C13"/>
    <mergeCell ref="B38:C38"/>
    <mergeCell ref="B6:P6"/>
    <mergeCell ref="B44:C44"/>
    <mergeCell ref="B29:C29"/>
    <mergeCell ref="A1:P1"/>
    <mergeCell ref="B19:C19"/>
    <mergeCell ref="B34:C34"/>
    <mergeCell ref="B37:C37"/>
    <mergeCell ref="B10:C10"/>
    <mergeCell ref="B28:C28"/>
    <mergeCell ref="C3:E3"/>
    <mergeCell ref="D49:G49"/>
    <mergeCell ref="B40:C40"/>
    <mergeCell ref="B9:C9"/>
    <mergeCell ref="B49:C49"/>
    <mergeCell ref="B24:C24"/>
    <mergeCell ref="I4:J4"/>
    <mergeCell ref="B30:C30"/>
    <mergeCell ref="B15:C15"/>
    <mergeCell ref="B33:C33"/>
    <mergeCell ref="B51:C51"/>
    <mergeCell ref="B20:C20"/>
    <mergeCell ref="B45:C45"/>
    <mergeCell ref="B36:C36"/>
    <mergeCell ref="B32:C32"/>
    <mergeCell ref="B50:C50"/>
    <mergeCell ref="B26:C26"/>
    <mergeCell ref="B41:C41"/>
  </mergeCells>
  <conditionalFormatting sqref="D8:J52 K49:K50 N46">
    <cfRule type="cellIs" priority="1" operator="lessThan" dxfId="0">
      <formula>7</formula>
    </cfRule>
    <cfRule type="cellIs" priority="2" operator="lessThan" dxfId="0">
      <formula>6.29</formula>
    </cfRule>
  </conditionalFormatting>
  <conditionalFormatting sqref="N8:N52">
    <cfRule type="cellIs" priority="3" operator="lessThan" dxfId="1">
      <formula>7</formula>
    </cfRule>
  </conditionalFormatting>
  <dataValidations count="2">
    <dataValidation sqref="K3" showDropDown="0" showInputMessage="0" showErrorMessage="1" allowBlank="1" type="list">
      <formula1>"MATUTINA,VESPERTINA"</formula1>
    </dataValidation>
    <dataValidation sqref="C4" showDropDown="0" showInputMessage="0" showErrorMessage="1" allowBlank="1" type="list">
      <formula1>"QUINTO A,QUINTO B,SEXTO A,SEXTO B,SÉPTIMO A,SÉPTIMO B,OCTAVO A,OCTAVO B,NOVENO A,NOVENO B,DÉCIMO A,DÉCIMO B"</formula1>
    </dataValidation>
  </dataValidations>
  <pageMargins left="0.7" right="0.7" top="0.75" bottom="0.75" header="0" footer="0"/>
  <pageSetup orientation="landscape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2.14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5.14" customWidth="1" style="254" min="16" max="16"/>
    <col width="21.43" customWidth="1" style="254" min="17" max="17"/>
    <col width="6.29" customWidth="1" style="254" min="18" max="18"/>
  </cols>
  <sheetData>
    <row r="1" ht="72.75" customHeight="1" s="254">
      <c r="A1" s="1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2" t="n"/>
      <c r="B2" s="3" t="inlineStr">
        <is>
          <t>AÑO LECTIVO: 2025-2026</t>
        </is>
      </c>
    </row>
    <row r="3" ht="14.25" customHeight="1" s="254">
      <c r="B3" s="4" t="inlineStr">
        <is>
          <t xml:space="preserve">DOCENTE:             </t>
        </is>
      </c>
      <c r="C3" s="265" t="inlineStr">
        <is>
          <t>Lcda. Nancy Quiranza</t>
        </is>
      </c>
      <c r="D3" s="266" t="n"/>
      <c r="E3" s="267" t="n"/>
      <c r="F3" s="6" t="n"/>
      <c r="G3" s="6" t="n"/>
      <c r="H3" s="6" t="n"/>
      <c r="I3" s="7" t="inlineStr">
        <is>
          <t xml:space="preserve">JORNADA: </t>
        </is>
      </c>
      <c r="K3" s="8" t="inlineStr">
        <is>
          <t>MATUTINA</t>
        </is>
      </c>
    </row>
    <row r="4" ht="12" customHeight="1" s="254">
      <c r="B4" s="9" t="inlineStr">
        <is>
          <t xml:space="preserve">AÑO DE EGB:        </t>
        </is>
      </c>
      <c r="C4" s="10" t="inlineStr">
        <is>
          <t>OCTAVO B</t>
        </is>
      </c>
      <c r="D4" s="11" t="inlineStr">
        <is>
          <t>B</t>
        </is>
      </c>
      <c r="E4" s="6" t="n"/>
      <c r="F4" s="6" t="n"/>
      <c r="G4" s="6" t="n"/>
      <c r="H4" s="6" t="n"/>
      <c r="I4" s="7" t="n"/>
      <c r="K4" s="12" t="n"/>
      <c r="M4" s="6" t="n"/>
    </row>
    <row r="5" ht="14.25" customHeight="1" s="254">
      <c r="B5" s="255" t="inlineStr">
        <is>
          <t>CONSOLIDADO FINAL</t>
        </is>
      </c>
    </row>
    <row r="6" ht="130.5" customHeight="1" s="254">
      <c r="A6" s="155" t="inlineStr">
        <is>
          <t> </t>
        </is>
      </c>
      <c r="B6" s="19" t="inlineStr">
        <is>
          <t>NOMINA</t>
        </is>
      </c>
      <c r="C6" s="20" t="n"/>
      <c r="D6" s="21" t="inlineStr">
        <is>
          <t>LENGUA Y LITERATURA</t>
        </is>
      </c>
      <c r="E6" s="22" t="inlineStr">
        <is>
          <t>MATEMÁTICA</t>
        </is>
      </c>
      <c r="F6" s="23" t="inlineStr">
        <is>
          <t>CIENCIAS NATURALES</t>
        </is>
      </c>
      <c r="G6" s="24" t="inlineStr">
        <is>
          <t>ESTUDIOS SOCIALES</t>
        </is>
      </c>
      <c r="H6" s="25" t="inlineStr">
        <is>
          <t>INGLÉS</t>
        </is>
      </c>
      <c r="I6" s="26" t="inlineStr">
        <is>
          <t>EDUCACIÓN CULTURAL Y ARTISTICA</t>
        </is>
      </c>
      <c r="J6" s="27" t="inlineStr">
        <is>
          <t>EDUCACIÓN FÍSICA</t>
        </is>
      </c>
      <c r="K6" s="28" t="inlineStr">
        <is>
          <t>ANIMACIÓN A LA LECTURA</t>
        </is>
      </c>
      <c r="L6" s="29" t="inlineStr">
        <is>
          <t>ACOMPAÑAMIENTO INTEGRAL EN EL AULA</t>
        </is>
      </c>
      <c r="M6" s="30" t="inlineStr">
        <is>
          <t>ORIENTACIÓN VOCACIONAL</t>
        </is>
      </c>
      <c r="N6" s="31" t="inlineStr">
        <is>
          <t>PROMEDIO FINAL</t>
        </is>
      </c>
      <c r="O6" s="32" t="inlineStr">
        <is>
          <t>CCOMPORTAMIENTO</t>
        </is>
      </c>
      <c r="P6" s="33" t="inlineStr">
        <is>
          <t>OBSERVACIONES</t>
        </is>
      </c>
    </row>
    <row r="7" ht="14.25" customHeight="1" s="254">
      <c r="A7" s="75" t="n">
        <v>1</v>
      </c>
      <c r="B7" s="286" t="inlineStr">
        <is>
          <t>ARIAS CUZCO JOSUE DAVID</t>
        </is>
      </c>
      <c r="C7" s="111" t="n"/>
      <c r="D7" s="37" t="inlineStr">
        <is>
          <t>8,93</t>
        </is>
      </c>
      <c r="E7" s="112" t="n">
        <v>8.619999999999999</v>
      </c>
      <c r="F7" s="126" t="n">
        <v>8.19</v>
      </c>
      <c r="G7" s="113" t="n">
        <v>7.95</v>
      </c>
      <c r="H7" s="114" t="n">
        <v>8.470000000000001</v>
      </c>
      <c r="I7" s="115" t="n">
        <v>8</v>
      </c>
      <c r="J7" s="43" t="n">
        <v>8.970000000000001</v>
      </c>
      <c r="K7" s="44" t="inlineStr">
        <is>
          <t>A-</t>
        </is>
      </c>
      <c r="L7" s="116" t="inlineStr">
        <is>
          <t>A+</t>
        </is>
      </c>
      <c r="M7" s="43" t="inlineStr">
        <is>
          <t>A+</t>
        </is>
      </c>
      <c r="N7" s="287">
        <f>TRUNC(AVERAGE(D7:J7),2)</f>
        <v/>
      </c>
      <c r="O7" s="117" t="inlineStr">
        <is>
          <t>S</t>
        </is>
      </c>
      <c r="P7" s="118" t="inlineStr">
        <is>
          <t>PROMOVIDO</t>
        </is>
      </c>
    </row>
    <row r="8" ht="15" customHeight="1" s="254">
      <c r="A8" s="75" t="n">
        <v>2</v>
      </c>
      <c r="B8" s="288" t="inlineStr">
        <is>
          <t>ATANCURI LALVAY JOEL MATIAS</t>
        </is>
      </c>
      <c r="C8" s="271" t="n"/>
      <c r="D8" s="52" t="inlineStr">
        <is>
          <t>9,09</t>
        </is>
      </c>
      <c r="E8" s="112" t="n">
        <v>9.16</v>
      </c>
      <c r="F8" s="126" t="n">
        <v>8.779999999999999</v>
      </c>
      <c r="G8" s="121" t="n">
        <v>8.619999999999999</v>
      </c>
      <c r="H8" s="114" t="n">
        <v>8.25</v>
      </c>
      <c r="I8" s="122" t="n">
        <v>8.720000000000001</v>
      </c>
      <c r="J8" s="43" t="n">
        <v>9.31</v>
      </c>
      <c r="K8" s="44" t="inlineStr">
        <is>
          <t>A+</t>
        </is>
      </c>
      <c r="L8" s="116" t="inlineStr">
        <is>
          <t>A+</t>
        </is>
      </c>
      <c r="M8" s="123" t="inlineStr">
        <is>
          <t>B+</t>
        </is>
      </c>
      <c r="N8" s="287">
        <f>TRUNC(AVERAGE(D8:J8),2)</f>
        <v/>
      </c>
      <c r="O8" s="117" t="inlineStr">
        <is>
          <t>S</t>
        </is>
      </c>
      <c r="P8" s="118" t="inlineStr">
        <is>
          <t>PROMOVIDO</t>
        </is>
      </c>
      <c r="Q8" s="56" t="inlineStr">
        <is>
          <t>PRIMER LUGAR</t>
        </is>
      </c>
      <c r="R8" s="57">
        <f>LARGE(N7:N46,1)</f>
        <v/>
      </c>
      <c r="S8" s="272" t="inlineStr">
        <is>
          <t>QUINDE ZUMBA DANIEL ANDRES</t>
        </is>
      </c>
      <c r="T8" s="273" t="n"/>
    </row>
    <row r="9" ht="15" customHeight="1" s="254">
      <c r="A9" s="75" t="n">
        <v>3</v>
      </c>
      <c r="B9" s="289" t="inlineStr">
        <is>
          <t>BARBECHO TELLO EMILY BRIGITTE</t>
        </is>
      </c>
      <c r="C9" s="273" t="n"/>
      <c r="D9" s="52" t="inlineStr">
        <is>
          <t>9,94</t>
        </is>
      </c>
      <c r="E9" s="112" t="n">
        <v>9.76</v>
      </c>
      <c r="F9" s="126" t="n">
        <v>9.279999999999999</v>
      </c>
      <c r="G9" s="121" t="n">
        <v>9.75</v>
      </c>
      <c r="H9" s="114" t="n">
        <v>8.880000000000001</v>
      </c>
      <c r="I9" s="122" t="n">
        <v>9.42</v>
      </c>
      <c r="J9" s="43" t="n">
        <v>9.93</v>
      </c>
      <c r="K9" s="44" t="inlineStr">
        <is>
          <t>A+</t>
        </is>
      </c>
      <c r="L9" s="116" t="inlineStr">
        <is>
          <t>A+</t>
        </is>
      </c>
      <c r="M9" s="123" t="inlineStr">
        <is>
          <t>A+</t>
        </is>
      </c>
      <c r="N9" s="287">
        <f>TRUNC(AVERAGE(D9:J9),2)</f>
        <v/>
      </c>
      <c r="O9" s="117" t="inlineStr">
        <is>
          <t>S</t>
        </is>
      </c>
      <c r="P9" s="118" t="inlineStr">
        <is>
          <t>PROMOVIDO</t>
        </is>
      </c>
      <c r="Q9" s="56" t="inlineStr">
        <is>
          <t>SEGUNDO LUGAR</t>
        </is>
      </c>
      <c r="R9" s="59">
        <f>LARGE(N7:N46,2)</f>
        <v/>
      </c>
      <c r="S9" s="272" t="inlineStr">
        <is>
          <t>MAXI SIAVICHAY ANTHONY ALEXIS</t>
        </is>
      </c>
      <c r="T9" s="273" t="n"/>
    </row>
    <row r="10" ht="15" customHeight="1" s="254">
      <c r="A10" s="75" t="n">
        <v>4</v>
      </c>
      <c r="B10" s="289" t="inlineStr">
        <is>
          <t>BELTRAN CARDENAS CRISTEL ALEJANDRA</t>
        </is>
      </c>
      <c r="C10" s="273" t="n"/>
      <c r="D10" s="52" t="inlineStr">
        <is>
          <t>9,76</t>
        </is>
      </c>
      <c r="E10" s="112" t="n">
        <v>9.24</v>
      </c>
      <c r="F10" s="126" t="n">
        <v>9.4</v>
      </c>
      <c r="G10" s="121" t="n">
        <v>9.17</v>
      </c>
      <c r="H10" s="114" t="n">
        <v>9.359999999999999</v>
      </c>
      <c r="I10" s="122" t="n">
        <v>9.109999999999999</v>
      </c>
      <c r="J10" s="43" t="n">
        <v>9.640000000000001</v>
      </c>
      <c r="K10" s="44" t="inlineStr">
        <is>
          <t>A+</t>
        </is>
      </c>
      <c r="L10" s="116" t="inlineStr">
        <is>
          <t>A+</t>
        </is>
      </c>
      <c r="M10" s="123" t="inlineStr">
        <is>
          <t>A+</t>
        </is>
      </c>
      <c r="N10" s="287">
        <f>TRUNC(AVERAGE(D10:J10),2)</f>
        <v/>
      </c>
      <c r="O10" s="117" t="inlineStr">
        <is>
          <t>S</t>
        </is>
      </c>
      <c r="P10" s="118" t="inlineStr">
        <is>
          <t>PROMOVIDO</t>
        </is>
      </c>
      <c r="Q10" s="56" t="inlineStr">
        <is>
          <t>TERCER LUGAR</t>
        </is>
      </c>
      <c r="R10" s="59">
        <f>LARGE(N7:N46,3)</f>
        <v/>
      </c>
      <c r="S10" s="272" t="inlineStr">
        <is>
          <t>SUCUZHAÑAY FERNANDEZ JENNIFER MISHELL</t>
        </is>
      </c>
      <c r="T10" s="273" t="n"/>
    </row>
    <row r="11" ht="15" customHeight="1" s="254">
      <c r="A11" s="75" t="n">
        <v>5</v>
      </c>
      <c r="B11" s="272" t="inlineStr">
        <is>
          <t>BRAVO FERNANDEZ LUIS ANTHONY</t>
        </is>
      </c>
      <c r="C11" s="273" t="n"/>
      <c r="D11" s="52" t="inlineStr">
        <is>
          <t>7,82</t>
        </is>
      </c>
      <c r="E11" s="112" t="n">
        <v>7</v>
      </c>
      <c r="F11" s="126" t="n">
        <v>7.84</v>
      </c>
      <c r="G11" s="121" t="n">
        <v>7.41</v>
      </c>
      <c r="H11" s="114" t="n">
        <v>7.59</v>
      </c>
      <c r="I11" s="122" t="n">
        <v>8.220000000000001</v>
      </c>
      <c r="J11" s="43" t="n">
        <v>8.5</v>
      </c>
      <c r="K11" s="44" t="inlineStr">
        <is>
          <t>B+</t>
        </is>
      </c>
      <c r="L11" s="116" t="inlineStr">
        <is>
          <t>B+</t>
        </is>
      </c>
      <c r="M11" s="123" t="inlineStr">
        <is>
          <t>B+</t>
        </is>
      </c>
      <c r="N11" s="47">
        <f>TRUNC(AVERAGE(D11:J11),2)</f>
        <v/>
      </c>
      <c r="O11" s="117" t="inlineStr">
        <is>
          <t>F</t>
        </is>
      </c>
      <c r="P11" s="118" t="inlineStr">
        <is>
          <t>PROMOVIDO</t>
        </is>
      </c>
    </row>
    <row r="12" ht="15" customHeight="1" s="254">
      <c r="A12" s="75" t="n">
        <v>6</v>
      </c>
      <c r="B12" s="289" t="inlineStr">
        <is>
          <t>CHAPA MARIN ANTHONY TOMAS</t>
        </is>
      </c>
      <c r="C12" s="273" t="n"/>
      <c r="D12" s="52" t="inlineStr">
        <is>
          <t>7,56</t>
        </is>
      </c>
      <c r="E12" s="112" t="n">
        <v>8.08</v>
      </c>
      <c r="F12" s="126" t="n">
        <v>7</v>
      </c>
      <c r="G12" s="121" t="n">
        <v>7.13</v>
      </c>
      <c r="H12" s="114" t="n">
        <v>8.17</v>
      </c>
      <c r="I12" s="122" t="n">
        <v>7.42</v>
      </c>
      <c r="J12" s="290" t="n">
        <v>8.539999999999999</v>
      </c>
      <c r="K12" s="44" t="inlineStr">
        <is>
          <t>A-</t>
        </is>
      </c>
      <c r="L12" s="116" t="inlineStr">
        <is>
          <t>A-</t>
        </is>
      </c>
      <c r="M12" s="123" t="inlineStr">
        <is>
          <t>A+</t>
        </is>
      </c>
      <c r="N12" s="287">
        <f>TRUNC(AVERAGE(D12:J12),2)</f>
        <v/>
      </c>
      <c r="O12" s="117" t="inlineStr">
        <is>
          <t>O</t>
        </is>
      </c>
      <c r="P12" s="118" t="inlineStr">
        <is>
          <t>PROMOVIDO</t>
        </is>
      </c>
    </row>
    <row r="13" ht="15" customHeight="1" s="254">
      <c r="A13" s="75" t="n">
        <v>7</v>
      </c>
      <c r="B13" s="289" t="inlineStr">
        <is>
          <t>CHIMBOLEMA AREVALO WILLIAM ELIAS</t>
        </is>
      </c>
      <c r="C13" s="273" t="n"/>
      <c r="D13" s="52" t="inlineStr">
        <is>
          <t>9,03</t>
        </is>
      </c>
      <c r="E13" s="112" t="n">
        <v>9.109999999999999</v>
      </c>
      <c r="F13" s="126" t="n">
        <v>8.65</v>
      </c>
      <c r="G13" s="121" t="n">
        <v>8.25</v>
      </c>
      <c r="H13" s="114" t="n">
        <v>8</v>
      </c>
      <c r="I13" s="122" t="n">
        <v>8.74</v>
      </c>
      <c r="J13" s="43" t="n">
        <v>9.23</v>
      </c>
      <c r="K13" s="44" t="inlineStr">
        <is>
          <t>A-</t>
        </is>
      </c>
      <c r="L13" s="116" t="inlineStr">
        <is>
          <t>A+</t>
        </is>
      </c>
      <c r="M13" s="123" t="inlineStr">
        <is>
          <t>A+</t>
        </is>
      </c>
      <c r="N13" s="287">
        <f>TRUNC(AVERAGE(D13:J13),2)</f>
        <v/>
      </c>
      <c r="O13" s="117" t="inlineStr">
        <is>
          <t>S</t>
        </is>
      </c>
      <c r="P13" s="118" t="inlineStr">
        <is>
          <t>PROMOVIDO</t>
        </is>
      </c>
    </row>
    <row r="14" ht="15" customHeight="1" s="254">
      <c r="A14" s="75" t="n">
        <v>8</v>
      </c>
      <c r="B14" s="289" t="inlineStr">
        <is>
          <t>CRESPO BARROS DAVID SEBASTIAN</t>
        </is>
      </c>
      <c r="C14" s="273" t="n"/>
      <c r="D14" s="52" t="inlineStr">
        <is>
          <t>8,70</t>
        </is>
      </c>
      <c r="E14" s="112" t="n">
        <v>8.800000000000001</v>
      </c>
      <c r="F14" s="126" t="n">
        <v>7.66</v>
      </c>
      <c r="G14" s="121" t="n">
        <v>7.58</v>
      </c>
      <c r="H14" s="114" t="n">
        <v>8.279999999999999</v>
      </c>
      <c r="I14" s="122" t="n">
        <v>8.18</v>
      </c>
      <c r="J14" s="43" t="n">
        <v>8.65</v>
      </c>
      <c r="K14" s="44" t="inlineStr">
        <is>
          <t>A-</t>
        </is>
      </c>
      <c r="L14" s="116" t="inlineStr">
        <is>
          <t>A+</t>
        </is>
      </c>
      <c r="M14" s="123" t="inlineStr">
        <is>
          <t>A+</t>
        </is>
      </c>
      <c r="N14" s="287">
        <f>TRUNC(AVERAGE(D14:J14),2)</f>
        <v/>
      </c>
      <c r="O14" s="117" t="inlineStr">
        <is>
          <t>S</t>
        </is>
      </c>
      <c r="P14" s="118" t="inlineStr">
        <is>
          <t>PROMOVIDO</t>
        </is>
      </c>
    </row>
    <row r="15" ht="15" customHeight="1" s="254">
      <c r="A15" s="75" t="n">
        <v>9</v>
      </c>
      <c r="B15" s="289" t="inlineStr">
        <is>
          <t>FARFAN ALVARADO MAYKEL YAHIR</t>
        </is>
      </c>
      <c r="C15" s="273" t="n"/>
      <c r="D15" s="52" t="inlineStr">
        <is>
          <t>9,53</t>
        </is>
      </c>
      <c r="E15" s="112" t="n">
        <v>9.380000000000001</v>
      </c>
      <c r="F15" s="126" t="n">
        <v>8.699999999999999</v>
      </c>
      <c r="G15" s="121" t="n">
        <v>9.31</v>
      </c>
      <c r="H15" s="114" t="n">
        <v>8.76</v>
      </c>
      <c r="I15" s="122" t="n">
        <v>8.98</v>
      </c>
      <c r="J15" s="43" t="n">
        <v>9.17</v>
      </c>
      <c r="K15" s="44" t="inlineStr">
        <is>
          <t>A-</t>
        </is>
      </c>
      <c r="L15" s="116" t="inlineStr">
        <is>
          <t>A+</t>
        </is>
      </c>
      <c r="M15" s="123" t="inlineStr">
        <is>
          <t>A+</t>
        </is>
      </c>
      <c r="N15" s="287">
        <f>TRUNC(AVERAGE(D15:J15),2)</f>
        <v/>
      </c>
      <c r="O15" s="117" t="inlineStr">
        <is>
          <t>S</t>
        </is>
      </c>
      <c r="P15" s="118" t="inlineStr">
        <is>
          <t>PROMOVIDO</t>
        </is>
      </c>
    </row>
    <row r="16" ht="15" customHeight="1" s="254">
      <c r="A16" s="75" t="n">
        <v>10</v>
      </c>
      <c r="B16" s="289" t="inlineStr">
        <is>
          <t>GUALLPA JARA NATHALY GABRIELA</t>
        </is>
      </c>
      <c r="C16" s="273" t="n"/>
      <c r="D16" s="52" t="inlineStr">
        <is>
          <t>8,33</t>
        </is>
      </c>
      <c r="E16" s="112" t="n">
        <v>7.86</v>
      </c>
      <c r="F16" s="126" t="n">
        <v>7.97</v>
      </c>
      <c r="G16" s="121" t="n">
        <v>7.91</v>
      </c>
      <c r="H16" s="114" t="n">
        <v>7.77</v>
      </c>
      <c r="I16" s="122" t="n">
        <v>8.279999999999999</v>
      </c>
      <c r="J16" s="43" t="n">
        <v>8.33</v>
      </c>
      <c r="K16" s="44" t="inlineStr">
        <is>
          <t>A+</t>
        </is>
      </c>
      <c r="L16" s="116" t="inlineStr">
        <is>
          <t>A-</t>
        </is>
      </c>
      <c r="M16" s="123" t="inlineStr">
        <is>
          <t>A+</t>
        </is>
      </c>
      <c r="N16" s="287">
        <f>TRUNC(AVERAGE(D16:J16),2)</f>
        <v/>
      </c>
      <c r="O16" s="117" t="inlineStr">
        <is>
          <t>S</t>
        </is>
      </c>
      <c r="P16" s="118" t="inlineStr">
        <is>
          <t>PROMOVIDO</t>
        </is>
      </c>
    </row>
    <row r="17" ht="15" customHeight="1" s="254">
      <c r="A17" s="75" t="n">
        <v>11</v>
      </c>
      <c r="B17" s="272" t="inlineStr">
        <is>
          <t>JARA GUZHÑAY SAMANTHA ABIGAIL</t>
        </is>
      </c>
      <c r="C17" s="273" t="n"/>
      <c r="D17" s="52" t="inlineStr">
        <is>
          <t>9,06</t>
        </is>
      </c>
      <c r="E17" s="112" t="n">
        <v>8.49</v>
      </c>
      <c r="F17" s="126" t="n">
        <v>8.949999999999999</v>
      </c>
      <c r="G17" s="121" t="n">
        <v>9.18</v>
      </c>
      <c r="H17" s="114" t="n">
        <v>8.92</v>
      </c>
      <c r="I17" s="122" t="n">
        <v>8.85</v>
      </c>
      <c r="J17" s="43" t="n">
        <v>9.710000000000001</v>
      </c>
      <c r="K17" s="44" t="inlineStr">
        <is>
          <t>A+</t>
        </is>
      </c>
      <c r="L17" s="116" t="inlineStr">
        <is>
          <t>A+</t>
        </is>
      </c>
      <c r="M17" s="123" t="inlineStr">
        <is>
          <t>A+</t>
        </is>
      </c>
      <c r="N17" s="47">
        <f>TRUNC(AVERAGE(D17:J17),2)</f>
        <v/>
      </c>
      <c r="O17" s="117" t="inlineStr">
        <is>
          <t>S</t>
        </is>
      </c>
      <c r="P17" s="118" t="inlineStr">
        <is>
          <t>PROMOVIDO</t>
        </is>
      </c>
    </row>
    <row r="18" ht="15" customHeight="1" s="254">
      <c r="A18" s="75" t="n">
        <v>12</v>
      </c>
      <c r="B18" s="288" t="inlineStr">
        <is>
          <t>JUELA GOMEZ DOMENICA VALENTINA</t>
        </is>
      </c>
      <c r="C18" s="271" t="n"/>
      <c r="D18" s="52" t="inlineStr">
        <is>
          <t>9,52</t>
        </is>
      </c>
      <c r="E18" s="112" t="n">
        <v>9.130000000000001</v>
      </c>
      <c r="F18" s="126" t="n">
        <v>8.85</v>
      </c>
      <c r="G18" s="121" t="n">
        <v>9.119999999999999</v>
      </c>
      <c r="H18" s="114" t="n">
        <v>8.279999999999999</v>
      </c>
      <c r="I18" s="122" t="n">
        <v>8.85</v>
      </c>
      <c r="J18" s="43" t="n">
        <v>9.449999999999999</v>
      </c>
      <c r="K18" s="44" t="inlineStr">
        <is>
          <t>A+</t>
        </is>
      </c>
      <c r="L18" s="116" t="inlineStr">
        <is>
          <t>A+</t>
        </is>
      </c>
      <c r="M18" s="123" t="inlineStr">
        <is>
          <t>A+</t>
        </is>
      </c>
      <c r="N18" s="287">
        <f>TRUNC(AVERAGE(D18:J18),2)</f>
        <v/>
      </c>
      <c r="O18" s="117" t="inlineStr">
        <is>
          <t>S</t>
        </is>
      </c>
      <c r="P18" s="118" t="inlineStr">
        <is>
          <t>PROMOVIDO</t>
        </is>
      </c>
    </row>
    <row r="19" ht="15" customHeight="1" s="254">
      <c r="A19" s="75" t="n">
        <v>13</v>
      </c>
      <c r="B19" s="289" t="inlineStr">
        <is>
          <t>LONDA ASMAL ANDERSON JULIAN</t>
        </is>
      </c>
      <c r="C19" s="273" t="n"/>
      <c r="D19" s="52" t="inlineStr">
        <is>
          <t>8,03</t>
        </is>
      </c>
      <c r="E19" s="112" t="n">
        <v>7</v>
      </c>
      <c r="F19" s="126" t="n">
        <v>7</v>
      </c>
      <c r="G19" s="121" t="n">
        <v>7.15</v>
      </c>
      <c r="H19" s="114" t="n">
        <v>7</v>
      </c>
      <c r="I19" s="122" t="n">
        <v>7.72</v>
      </c>
      <c r="J19" s="290" t="n">
        <v>7.57</v>
      </c>
      <c r="K19" s="44" t="inlineStr">
        <is>
          <t>B+</t>
        </is>
      </c>
      <c r="L19" s="116" t="inlineStr">
        <is>
          <t>A-</t>
        </is>
      </c>
      <c r="M19" s="123" t="inlineStr">
        <is>
          <t>A+</t>
        </is>
      </c>
      <c r="N19" s="287">
        <f>TRUNC(AVERAGE(D19:J19),2)</f>
        <v/>
      </c>
      <c r="O19" s="117" t="inlineStr">
        <is>
          <t>S</t>
        </is>
      </c>
      <c r="P19" s="118" t="inlineStr">
        <is>
          <t>PROMOVIDO</t>
        </is>
      </c>
    </row>
    <row r="20" ht="15" customHeight="1" s="254">
      <c r="A20" s="75" t="n">
        <v>14</v>
      </c>
      <c r="B20" s="289" t="inlineStr">
        <is>
          <t>LONDA PASTUIZACA ANTONY MATEO</t>
        </is>
      </c>
      <c r="C20" s="273" t="n"/>
      <c r="D20" s="52" t="inlineStr">
        <is>
          <t>9,02</t>
        </is>
      </c>
      <c r="E20" s="112" t="n">
        <v>7.18</v>
      </c>
      <c r="F20" s="126" t="n">
        <v>8.220000000000001</v>
      </c>
      <c r="G20" s="121" t="n">
        <v>7.99</v>
      </c>
      <c r="H20" s="114" t="n">
        <v>7.95</v>
      </c>
      <c r="I20" s="122" t="n">
        <v>7.98</v>
      </c>
      <c r="J20" s="43" t="n">
        <v>8.84</v>
      </c>
      <c r="K20" s="44" t="inlineStr">
        <is>
          <t>A-</t>
        </is>
      </c>
      <c r="L20" s="116" t="inlineStr">
        <is>
          <t>A-</t>
        </is>
      </c>
      <c r="M20" s="123" t="inlineStr">
        <is>
          <t>B+</t>
        </is>
      </c>
      <c r="N20" s="287">
        <f>TRUNC(AVERAGE(D20:J20),2)</f>
        <v/>
      </c>
      <c r="O20" s="117" t="inlineStr">
        <is>
          <t>S</t>
        </is>
      </c>
      <c r="P20" s="118" t="inlineStr">
        <is>
          <t>PROMOVIDO</t>
        </is>
      </c>
    </row>
    <row r="21" ht="15" customHeight="1" s="254">
      <c r="A21" s="75" t="n">
        <v>15</v>
      </c>
      <c r="B21" s="272" t="inlineStr">
        <is>
          <t xml:space="preserve">LOZADA FAJARDO JUSTIN SEBASTIAN </t>
        </is>
      </c>
      <c r="C21" s="273" t="n"/>
      <c r="D21" s="52" t="inlineStr">
        <is>
          <t>7,80</t>
        </is>
      </c>
      <c r="E21" s="112" t="n">
        <v>7.29</v>
      </c>
      <c r="F21" s="126" t="n">
        <v>7.4</v>
      </c>
      <c r="G21" s="121" t="n">
        <v>7.66</v>
      </c>
      <c r="H21" s="114" t="n">
        <v>7.76</v>
      </c>
      <c r="I21" s="122" t="n">
        <v>8.08</v>
      </c>
      <c r="J21" s="43" t="n">
        <v>8.720000000000001</v>
      </c>
      <c r="K21" s="44" t="inlineStr">
        <is>
          <t>A-</t>
        </is>
      </c>
      <c r="L21" s="116" t="inlineStr">
        <is>
          <t>A+</t>
        </is>
      </c>
      <c r="M21" s="123" t="inlineStr">
        <is>
          <t>A-</t>
        </is>
      </c>
      <c r="N21" s="47">
        <f>TRUNC(AVERAGE(D21:J21),2)</f>
        <v/>
      </c>
      <c r="O21" s="117" t="inlineStr">
        <is>
          <t>S</t>
        </is>
      </c>
      <c r="P21" s="118" t="inlineStr">
        <is>
          <t>PROMOVIDO</t>
        </is>
      </c>
    </row>
    <row r="22" ht="15" customHeight="1" s="254">
      <c r="A22" s="75" t="n">
        <v>16</v>
      </c>
      <c r="B22" s="272" t="inlineStr">
        <is>
          <t>MAXI SIAVICHAY ANTHONY ALEXIS</t>
        </is>
      </c>
      <c r="C22" s="273" t="n"/>
      <c r="D22" s="52" t="inlineStr">
        <is>
          <t>9,96</t>
        </is>
      </c>
      <c r="E22" s="112" t="n">
        <v>9.859999999999999</v>
      </c>
      <c r="F22" s="126" t="n">
        <v>9.800000000000001</v>
      </c>
      <c r="G22" s="121" t="n">
        <v>9.869999999999999</v>
      </c>
      <c r="H22" s="114" t="n">
        <v>9.640000000000001</v>
      </c>
      <c r="I22" s="122" t="n">
        <v>9.880000000000001</v>
      </c>
      <c r="J22" s="43" t="n">
        <v>9.98</v>
      </c>
      <c r="K22" s="44" t="inlineStr">
        <is>
          <t>A+</t>
        </is>
      </c>
      <c r="L22" s="116" t="inlineStr">
        <is>
          <t>A+</t>
        </is>
      </c>
      <c r="M22" s="123" t="inlineStr">
        <is>
          <t>A+</t>
        </is>
      </c>
      <c r="N22" s="47">
        <f>TRUNC(AVERAGE(D22:J22),2)</f>
        <v/>
      </c>
      <c r="O22" s="117" t="inlineStr">
        <is>
          <t>S</t>
        </is>
      </c>
      <c r="P22" s="118" t="inlineStr">
        <is>
          <t>PROMOVIDO</t>
        </is>
      </c>
    </row>
    <row r="23" ht="15" customHeight="1" s="254">
      <c r="A23" s="75" t="n">
        <v>17</v>
      </c>
      <c r="B23" s="289" t="inlineStr">
        <is>
          <t>MAYORGA JIMBO CHRISTOFER STALIN</t>
        </is>
      </c>
      <c r="C23" s="273" t="n"/>
      <c r="D23" s="52" t="inlineStr">
        <is>
          <t>7,12</t>
        </is>
      </c>
      <c r="E23" s="125" t="n">
        <v>7.58</v>
      </c>
      <c r="F23" s="126" t="n">
        <v>7.06</v>
      </c>
      <c r="G23" s="121" t="n">
        <v>7.07</v>
      </c>
      <c r="H23" s="114" t="n">
        <v>7.09</v>
      </c>
      <c r="I23" s="122" t="n">
        <v>7.5</v>
      </c>
      <c r="J23" s="43" t="n">
        <v>7.97</v>
      </c>
      <c r="K23" s="44" t="inlineStr">
        <is>
          <t>B+</t>
        </is>
      </c>
      <c r="L23" s="116" t="inlineStr">
        <is>
          <t>A-</t>
        </is>
      </c>
      <c r="M23" s="123" t="inlineStr">
        <is>
          <t>A+</t>
        </is>
      </c>
      <c r="N23" s="287">
        <f>TRUNC(AVERAGE(D23:J23),2)</f>
        <v/>
      </c>
      <c r="O23" s="117" t="inlineStr">
        <is>
          <t>F</t>
        </is>
      </c>
      <c r="P23" s="118" t="inlineStr">
        <is>
          <t>PROMOVIDO</t>
        </is>
      </c>
    </row>
    <row r="24" ht="15" customHeight="1" s="254">
      <c r="A24" s="75" t="n">
        <v>18</v>
      </c>
      <c r="B24" s="272" t="inlineStr">
        <is>
          <t>MENDOZA ROMAN MATIAS ALEJANDRO</t>
        </is>
      </c>
      <c r="C24" s="273" t="n"/>
      <c r="D24" s="52" t="inlineStr">
        <is>
          <t>9,78</t>
        </is>
      </c>
      <c r="E24" s="112" t="n">
        <v>9.869999999999999</v>
      </c>
      <c r="F24" s="126" t="n">
        <v>9.609999999999999</v>
      </c>
      <c r="G24" s="121" t="n">
        <v>9.720000000000001</v>
      </c>
      <c r="H24" s="114" t="n">
        <v>9.69</v>
      </c>
      <c r="I24" s="122" t="n">
        <v>9.34</v>
      </c>
      <c r="J24" s="43" t="n">
        <v>9.869999999999999</v>
      </c>
      <c r="K24" s="44" t="inlineStr">
        <is>
          <t>A+</t>
        </is>
      </c>
      <c r="L24" s="116" t="inlineStr">
        <is>
          <t>A+</t>
        </is>
      </c>
      <c r="M24" s="123" t="inlineStr">
        <is>
          <t>B+</t>
        </is>
      </c>
      <c r="N24" s="47">
        <f>TRUNC(AVERAGE(D24:J24),2)</f>
        <v/>
      </c>
      <c r="O24" s="117" t="inlineStr">
        <is>
          <t>S</t>
        </is>
      </c>
      <c r="P24" s="118" t="inlineStr">
        <is>
          <t>PROMOVIDO</t>
        </is>
      </c>
    </row>
    <row r="25" ht="15" customHeight="1" s="254">
      <c r="A25" s="75" t="n">
        <v>19</v>
      </c>
      <c r="B25" s="289" t="inlineStr">
        <is>
          <t>MOROCHO HERNANDEZ KIMBERLY IVANA</t>
        </is>
      </c>
      <c r="C25" s="273" t="n"/>
      <c r="D25" s="52" t="inlineStr">
        <is>
          <t>8,39</t>
        </is>
      </c>
      <c r="E25" s="112" t="n">
        <v>7.31</v>
      </c>
      <c r="F25" s="126" t="n">
        <v>8.539999999999999</v>
      </c>
      <c r="G25" s="121" t="n">
        <v>7.98</v>
      </c>
      <c r="H25" s="114" t="n">
        <v>7.35</v>
      </c>
      <c r="I25" s="122" t="n">
        <v>8.050000000000001</v>
      </c>
      <c r="J25" s="43" t="n">
        <v>8.01</v>
      </c>
      <c r="K25" s="44" t="inlineStr">
        <is>
          <t>A-</t>
        </is>
      </c>
      <c r="L25" s="116" t="inlineStr">
        <is>
          <t>A-</t>
        </is>
      </c>
      <c r="M25" s="123" t="inlineStr">
        <is>
          <t>B+</t>
        </is>
      </c>
      <c r="N25" s="287">
        <f>TRUNC(AVERAGE(D25:J25),2)</f>
        <v/>
      </c>
      <c r="O25" s="117" t="inlineStr">
        <is>
          <t>S</t>
        </is>
      </c>
      <c r="P25" s="118" t="inlineStr">
        <is>
          <t>PROMOVIDO</t>
        </is>
      </c>
    </row>
    <row r="26" ht="15" customHeight="1" s="254">
      <c r="A26" s="75" t="n">
        <v>20</v>
      </c>
      <c r="B26" s="289" t="inlineStr">
        <is>
          <t>NACIPUCHA NACIPUCHA EDWIN ANDRES</t>
        </is>
      </c>
      <c r="C26" s="273" t="n"/>
      <c r="D26" s="52" t="inlineStr">
        <is>
          <t>9,09</t>
        </is>
      </c>
      <c r="E26" s="112" t="n">
        <v>8.960000000000001</v>
      </c>
      <c r="F26" s="126" t="n">
        <v>8.24</v>
      </c>
      <c r="G26" s="261" t="n">
        <v>8.15</v>
      </c>
      <c r="H26" s="114" t="n">
        <v>8.65</v>
      </c>
      <c r="I26" s="122" t="n">
        <v>8.699999999999999</v>
      </c>
      <c r="J26" s="43" t="n">
        <v>9.140000000000001</v>
      </c>
      <c r="K26" s="44" t="inlineStr">
        <is>
          <t>A+</t>
        </is>
      </c>
      <c r="L26" s="116" t="inlineStr">
        <is>
          <t>A-</t>
        </is>
      </c>
      <c r="M26" s="123" t="inlineStr">
        <is>
          <t>A+</t>
        </is>
      </c>
      <c r="N26" s="287">
        <f>TRUNC(AVERAGE(D26:J26),2)</f>
        <v/>
      </c>
      <c r="O26" s="117" t="inlineStr">
        <is>
          <t>S</t>
        </is>
      </c>
      <c r="P26" s="118" t="inlineStr">
        <is>
          <t>PROMOVIDO</t>
        </is>
      </c>
    </row>
    <row r="27" ht="15" customHeight="1" s="254">
      <c r="A27" s="75" t="n">
        <v>21</v>
      </c>
      <c r="B27" s="272" t="inlineStr">
        <is>
          <t>NIVICELA ESPINOZA OSCAR AARON</t>
        </is>
      </c>
      <c r="C27" s="273" t="n"/>
      <c r="D27" s="52" t="n">
        <v>7.01</v>
      </c>
      <c r="E27" s="112" t="n">
        <v>7.04</v>
      </c>
      <c r="F27" s="126" t="n">
        <v>7.02</v>
      </c>
      <c r="G27" s="121" t="n">
        <v>7.06</v>
      </c>
      <c r="H27" s="114" t="n">
        <v>7.06</v>
      </c>
      <c r="I27" s="122" t="n">
        <v>7.08</v>
      </c>
      <c r="J27" s="43" t="n">
        <v>7.45</v>
      </c>
      <c r="K27" s="44" t="inlineStr">
        <is>
          <t>B+</t>
        </is>
      </c>
      <c r="L27" s="116" t="inlineStr">
        <is>
          <t>B+</t>
        </is>
      </c>
      <c r="M27" s="123" t="inlineStr">
        <is>
          <t>A-</t>
        </is>
      </c>
      <c r="N27" s="47">
        <f>TRUNC(AVERAGE(D27:J27),2)</f>
        <v/>
      </c>
      <c r="O27" s="117" t="inlineStr">
        <is>
          <t>O</t>
        </is>
      </c>
      <c r="P27" s="118" t="inlineStr">
        <is>
          <t>PROMOVIDO</t>
        </is>
      </c>
    </row>
    <row r="28" ht="18" customHeight="1" s="254">
      <c r="A28" s="75" t="n">
        <v>22</v>
      </c>
      <c r="B28" s="272" t="inlineStr">
        <is>
          <t>PACHECO BARBECHO NIQUEL ALEXANDER</t>
        </is>
      </c>
      <c r="C28" s="273" t="n"/>
      <c r="D28" s="52" t="inlineStr">
        <is>
          <t>7,83</t>
        </is>
      </c>
      <c r="E28" s="125" t="n">
        <v>8.140000000000001</v>
      </c>
      <c r="F28" s="126" t="n">
        <v>7.08</v>
      </c>
      <c r="G28" s="121" t="n">
        <v>7.54</v>
      </c>
      <c r="H28" s="114" t="n">
        <v>8.130000000000001</v>
      </c>
      <c r="I28" s="122" t="n">
        <v>8.18</v>
      </c>
      <c r="J28" s="43" t="n">
        <v>8.5</v>
      </c>
      <c r="K28" s="44" t="inlineStr">
        <is>
          <t>A+</t>
        </is>
      </c>
      <c r="L28" s="116" t="inlineStr">
        <is>
          <t>A-</t>
        </is>
      </c>
      <c r="M28" s="123" t="inlineStr">
        <is>
          <t>A-</t>
        </is>
      </c>
      <c r="N28" s="47">
        <f>TRUNC(AVERAGE(D28:J28),2)</f>
        <v/>
      </c>
      <c r="O28" s="117" t="inlineStr">
        <is>
          <t>S</t>
        </is>
      </c>
      <c r="P28" s="118" t="inlineStr">
        <is>
          <t>PROMOVIDO</t>
        </is>
      </c>
    </row>
    <row r="29" ht="15" customHeight="1" s="254">
      <c r="A29" s="75" t="n">
        <v>23</v>
      </c>
      <c r="B29" s="289" t="inlineStr">
        <is>
          <t>PERALTA PUCHA JORDAN EDUARDO</t>
        </is>
      </c>
      <c r="C29" s="273" t="n"/>
      <c r="D29" s="52" t="n">
        <v>5.24</v>
      </c>
      <c r="E29" s="112" t="n">
        <v>4.44</v>
      </c>
      <c r="F29" s="126" t="n">
        <v>5.1</v>
      </c>
      <c r="G29" s="261" t="n">
        <v>3.68</v>
      </c>
      <c r="H29" s="290" t="n">
        <v>4.75</v>
      </c>
      <c r="I29" s="122" t="n">
        <v>5.09</v>
      </c>
      <c r="J29" s="290" t="n">
        <v>4.5</v>
      </c>
      <c r="K29" s="44" t="inlineStr">
        <is>
          <t>C-</t>
        </is>
      </c>
      <c r="L29" s="116" t="inlineStr">
        <is>
          <t xml:space="preserve">C- </t>
        </is>
      </c>
      <c r="M29" s="123" t="n"/>
      <c r="N29" s="287">
        <f>TRUNC(AVERAGE(D29:J29),2)</f>
        <v/>
      </c>
      <c r="O29" s="117" t="inlineStr">
        <is>
          <t>N</t>
        </is>
      </c>
      <c r="P29" s="127" t="inlineStr">
        <is>
          <t>DESERTOR</t>
        </is>
      </c>
    </row>
    <row r="30" ht="18" customHeight="1" s="254">
      <c r="A30" s="75" t="n">
        <v>24</v>
      </c>
      <c r="B30" s="289" t="inlineStr">
        <is>
          <t>PIÑA LLANGARI NICOLE DOMENICA</t>
        </is>
      </c>
      <c r="C30" s="273" t="n"/>
      <c r="D30" s="52" t="inlineStr">
        <is>
          <t>8,71</t>
        </is>
      </c>
      <c r="E30" s="112" t="n">
        <v>8.33</v>
      </c>
      <c r="F30" s="126" t="n">
        <v>8.4</v>
      </c>
      <c r="G30" s="121" t="n">
        <v>7.92</v>
      </c>
      <c r="H30" s="114" t="n">
        <v>7.54</v>
      </c>
      <c r="I30" s="122" t="n">
        <v>8.67</v>
      </c>
      <c r="J30" s="43" t="n">
        <v>8.74</v>
      </c>
      <c r="K30" s="44" t="inlineStr">
        <is>
          <t>A+</t>
        </is>
      </c>
      <c r="L30" s="116" t="inlineStr">
        <is>
          <t>A+</t>
        </is>
      </c>
      <c r="M30" s="123" t="inlineStr">
        <is>
          <t>A+</t>
        </is>
      </c>
      <c r="N30" s="287">
        <f>TRUNC(AVERAGE(D30:J30),2)</f>
        <v/>
      </c>
      <c r="O30" s="117" t="inlineStr">
        <is>
          <t>S</t>
        </is>
      </c>
      <c r="P30" s="118" t="inlineStr">
        <is>
          <t>PROMOVIDO</t>
        </is>
      </c>
    </row>
    <row r="31" ht="15" customHeight="1" s="254">
      <c r="A31" s="75" t="n">
        <v>25</v>
      </c>
      <c r="B31" s="289" t="inlineStr">
        <is>
          <t>QUINDE ZUMBA DANIEL ANDRES</t>
        </is>
      </c>
      <c r="C31" s="273" t="n"/>
      <c r="D31" s="52" t="inlineStr">
        <is>
          <t>9,86</t>
        </is>
      </c>
      <c r="E31" s="112" t="n">
        <v>9.85</v>
      </c>
      <c r="F31" s="126" t="n">
        <v>9.75</v>
      </c>
      <c r="G31" s="121" t="n">
        <v>9.75</v>
      </c>
      <c r="H31" s="290" t="n">
        <v>10</v>
      </c>
      <c r="I31" s="122" t="n">
        <v>9.9</v>
      </c>
      <c r="J31" s="43" t="n">
        <v>9.99</v>
      </c>
      <c r="K31" s="44" t="inlineStr">
        <is>
          <t>A+</t>
        </is>
      </c>
      <c r="L31" s="116" t="inlineStr">
        <is>
          <t>A+</t>
        </is>
      </c>
      <c r="M31" s="123" t="inlineStr">
        <is>
          <t>A+</t>
        </is>
      </c>
      <c r="N31" s="47">
        <f>TRUNC(AVERAGE(D31:J31),2)</f>
        <v/>
      </c>
      <c r="O31" s="117" t="inlineStr">
        <is>
          <t>S</t>
        </is>
      </c>
      <c r="P31" s="118" t="inlineStr">
        <is>
          <t>PROMOVIDO</t>
        </is>
      </c>
    </row>
    <row r="32" ht="15" customHeight="1" s="254">
      <c r="A32" s="75" t="n">
        <v>26</v>
      </c>
      <c r="B32" s="272" t="inlineStr">
        <is>
          <t>ROBLES MURILLO ANTHONY JHOSUE</t>
        </is>
      </c>
      <c r="C32" s="273" t="n"/>
      <c r="D32" s="52" t="inlineStr">
        <is>
          <t>7,22</t>
        </is>
      </c>
      <c r="E32" s="112" t="n">
        <v>7.23</v>
      </c>
      <c r="F32" s="126" t="n">
        <v>7.12</v>
      </c>
      <c r="G32" s="121" t="n">
        <v>7.02</v>
      </c>
      <c r="H32" s="114" t="n">
        <v>7.2</v>
      </c>
      <c r="I32" s="122" t="n">
        <v>7.38</v>
      </c>
      <c r="J32" s="43" t="n">
        <v>7.95</v>
      </c>
      <c r="K32" s="44" t="inlineStr">
        <is>
          <t>A-</t>
        </is>
      </c>
      <c r="L32" s="116" t="inlineStr">
        <is>
          <t>A-</t>
        </is>
      </c>
      <c r="M32" s="123" t="inlineStr">
        <is>
          <t>A+</t>
        </is>
      </c>
      <c r="N32" s="47">
        <f>TRUNC(AVERAGE(D32:J32),2)</f>
        <v/>
      </c>
      <c r="O32" s="117" t="inlineStr">
        <is>
          <t>S</t>
        </is>
      </c>
      <c r="P32" s="118" t="inlineStr">
        <is>
          <t>PROMOVIDO</t>
        </is>
      </c>
    </row>
    <row r="33" ht="15" customHeight="1" s="254">
      <c r="A33" s="75" t="n">
        <v>27</v>
      </c>
      <c r="B33" s="272" t="inlineStr">
        <is>
          <t>SIAVICHAY LEMA MELANY ALEXANDRA</t>
        </is>
      </c>
      <c r="C33" s="273" t="n"/>
      <c r="D33" s="52" t="inlineStr">
        <is>
          <t>9,64</t>
        </is>
      </c>
      <c r="E33" s="112" t="n">
        <v>9.380000000000001</v>
      </c>
      <c r="F33" s="126" t="n">
        <v>9.49</v>
      </c>
      <c r="G33" s="121" t="n">
        <v>9.59</v>
      </c>
      <c r="H33" s="114" t="n">
        <v>9.630000000000001</v>
      </c>
      <c r="I33" s="122" t="n">
        <v>9.57</v>
      </c>
      <c r="J33" s="43" t="n">
        <v>9.56</v>
      </c>
      <c r="K33" s="44" t="inlineStr">
        <is>
          <t>A+</t>
        </is>
      </c>
      <c r="L33" s="116" t="inlineStr">
        <is>
          <t>A+</t>
        </is>
      </c>
      <c r="M33" s="123" t="inlineStr">
        <is>
          <t>A+</t>
        </is>
      </c>
      <c r="N33" s="47">
        <f>TRUNC(AVERAGE(D33:J33),2)</f>
        <v/>
      </c>
      <c r="O33" s="117" t="inlineStr">
        <is>
          <t>S</t>
        </is>
      </c>
      <c r="P33" s="118" t="inlineStr">
        <is>
          <t>PROMOVIDO</t>
        </is>
      </c>
    </row>
    <row r="34" ht="15" customHeight="1" s="254">
      <c r="A34" s="75" t="n">
        <v>28</v>
      </c>
      <c r="B34" s="289" t="inlineStr">
        <is>
          <t>SONGOR MUZHA ASHLEY NICOLE</t>
        </is>
      </c>
      <c r="C34" s="273" t="n"/>
      <c r="D34" s="52" t="inlineStr">
        <is>
          <t>8,97</t>
        </is>
      </c>
      <c r="E34" s="112" t="n">
        <v>8.529999999999999</v>
      </c>
      <c r="F34" s="126" t="n">
        <v>7.72</v>
      </c>
      <c r="G34" s="121" t="n">
        <v>8.24</v>
      </c>
      <c r="H34" s="114" t="n">
        <v>8.01</v>
      </c>
      <c r="I34" s="122" t="n">
        <v>8.17</v>
      </c>
      <c r="J34" s="43" t="n">
        <v>8.94</v>
      </c>
      <c r="K34" s="44" t="inlineStr">
        <is>
          <t>A+</t>
        </is>
      </c>
      <c r="L34" s="116" t="inlineStr">
        <is>
          <t>A-</t>
        </is>
      </c>
      <c r="M34" s="123" t="inlineStr">
        <is>
          <t>A-</t>
        </is>
      </c>
      <c r="N34" s="287">
        <f>TRUNC(AVERAGE(D34:J34),2)</f>
        <v/>
      </c>
      <c r="O34" s="117" t="inlineStr">
        <is>
          <t>S</t>
        </is>
      </c>
      <c r="P34" s="118" t="inlineStr">
        <is>
          <t>PROMOVIDO</t>
        </is>
      </c>
    </row>
    <row r="35" ht="15" customHeight="1" s="254">
      <c r="A35" s="75" t="n">
        <v>29</v>
      </c>
      <c r="B35" s="289" t="inlineStr">
        <is>
          <t>SUCUZHAÑAY FERNANDEZ JENNIFER MISHELL</t>
        </is>
      </c>
      <c r="C35" s="273" t="n"/>
      <c r="D35" s="52" t="inlineStr">
        <is>
          <t>9,87</t>
        </is>
      </c>
      <c r="E35" s="112" t="n">
        <v>9.76</v>
      </c>
      <c r="F35" s="126" t="n">
        <v>9.640000000000001</v>
      </c>
      <c r="G35" s="121" t="n">
        <v>9.76</v>
      </c>
      <c r="H35" s="114" t="n">
        <v>9.74</v>
      </c>
      <c r="I35" s="122" t="n">
        <v>9.74</v>
      </c>
      <c r="J35" s="43" t="n">
        <v>9.67</v>
      </c>
      <c r="K35" s="44" t="inlineStr">
        <is>
          <t>A+</t>
        </is>
      </c>
      <c r="L35" s="116" t="inlineStr">
        <is>
          <t>A+</t>
        </is>
      </c>
      <c r="M35" s="123" t="inlineStr">
        <is>
          <t>A+</t>
        </is>
      </c>
      <c r="N35" s="287">
        <f>TRUNC(AVERAGE(D35:J35),2)</f>
        <v/>
      </c>
      <c r="O35" s="117" t="inlineStr">
        <is>
          <t>S</t>
        </is>
      </c>
      <c r="P35" s="118" t="inlineStr">
        <is>
          <t>PROMOVIDO</t>
        </is>
      </c>
    </row>
    <row r="36" ht="15" customHeight="1" s="254">
      <c r="A36" s="75" t="n">
        <v>30</v>
      </c>
      <c r="B36" s="289" t="inlineStr">
        <is>
          <t>SUIN PERALTA DIEGO EMILIO</t>
        </is>
      </c>
      <c r="C36" s="273" t="n"/>
      <c r="D36" s="52" t="inlineStr">
        <is>
          <t>7,70</t>
        </is>
      </c>
      <c r="E36" s="112" t="n">
        <v>7</v>
      </c>
      <c r="F36" s="126" t="n">
        <v>7.11</v>
      </c>
      <c r="G36" s="121" t="n">
        <v>7.03</v>
      </c>
      <c r="H36" s="114" t="n">
        <v>7.87</v>
      </c>
      <c r="I36" s="122" t="n">
        <v>7.83</v>
      </c>
      <c r="J36" s="290" t="n">
        <v>7.77</v>
      </c>
      <c r="K36" s="44" t="inlineStr">
        <is>
          <t>A+</t>
        </is>
      </c>
      <c r="L36" s="116" t="inlineStr">
        <is>
          <t>A-</t>
        </is>
      </c>
      <c r="M36" s="123" t="inlineStr">
        <is>
          <t>A-</t>
        </is>
      </c>
      <c r="N36" s="287">
        <f>TRUNC(AVERAGE(D36:J36),2)</f>
        <v/>
      </c>
      <c r="O36" s="117" t="inlineStr">
        <is>
          <t>S</t>
        </is>
      </c>
      <c r="P36" s="118" t="inlineStr">
        <is>
          <t>PROMOVIDO</t>
        </is>
      </c>
    </row>
    <row r="37" ht="15" customHeight="1" s="254">
      <c r="A37" s="75" t="n">
        <v>31</v>
      </c>
      <c r="B37" s="289" t="inlineStr">
        <is>
          <t>TACURI NAVARRO AMANDA PAOLA</t>
        </is>
      </c>
      <c r="C37" s="273" t="n"/>
      <c r="D37" s="52" t="inlineStr">
        <is>
          <t>8,19</t>
        </is>
      </c>
      <c r="E37" s="112" t="n">
        <v>7.79</v>
      </c>
      <c r="F37" s="126" t="n">
        <v>7.86</v>
      </c>
      <c r="G37" s="121" t="n">
        <v>8.19</v>
      </c>
      <c r="H37" s="114" t="n">
        <v>7.4</v>
      </c>
      <c r="I37" s="122" t="n">
        <v>7.91</v>
      </c>
      <c r="J37" s="43" t="n">
        <v>8.710000000000001</v>
      </c>
      <c r="K37" s="44" t="inlineStr">
        <is>
          <t>A-</t>
        </is>
      </c>
      <c r="L37" s="116" t="inlineStr">
        <is>
          <t>A+</t>
        </is>
      </c>
      <c r="M37" s="123" t="inlineStr">
        <is>
          <t>A+</t>
        </is>
      </c>
      <c r="N37" s="287">
        <f>TRUNC(AVERAGE(D37:J37),2)</f>
        <v/>
      </c>
      <c r="O37" s="117" t="inlineStr">
        <is>
          <t>S</t>
        </is>
      </c>
      <c r="P37" s="118" t="inlineStr">
        <is>
          <t>PROMOVIDO</t>
        </is>
      </c>
    </row>
    <row r="38" ht="15" customHeight="1" s="254">
      <c r="A38" s="75" t="n">
        <v>32</v>
      </c>
      <c r="B38" s="289" t="inlineStr">
        <is>
          <t>TACURI PINTADO RIHANNA TIFFANNY</t>
        </is>
      </c>
      <c r="C38" s="273" t="n"/>
      <c r="D38" s="52" t="n">
        <v>7</v>
      </c>
      <c r="E38" s="112" t="n">
        <v>7</v>
      </c>
      <c r="F38" s="126" t="n">
        <v>5.52</v>
      </c>
      <c r="G38" s="121" t="n">
        <v>4.94</v>
      </c>
      <c r="H38" s="290" t="n">
        <v>6.92</v>
      </c>
      <c r="I38" s="122" t="n">
        <v>7.19</v>
      </c>
      <c r="J38" s="290" t="n">
        <v>7.47</v>
      </c>
      <c r="K38" s="44" t="inlineStr">
        <is>
          <t>A-</t>
        </is>
      </c>
      <c r="L38" s="116" t="inlineStr">
        <is>
          <t>B+</t>
        </is>
      </c>
      <c r="M38" s="123" t="inlineStr">
        <is>
          <t>A-</t>
        </is>
      </c>
      <c r="N38" s="287">
        <f>TRUNC(AVERAGE(D38:J38),2)</f>
        <v/>
      </c>
      <c r="O38" s="117" t="inlineStr">
        <is>
          <t>F</t>
        </is>
      </c>
      <c r="P38" s="127" t="inlineStr">
        <is>
          <t>NO PROMOVIDO</t>
        </is>
      </c>
    </row>
    <row r="39" ht="15" customHeight="1" s="254">
      <c r="A39" s="75" t="n">
        <v>33</v>
      </c>
      <c r="B39" s="289" t="inlineStr">
        <is>
          <t>TENEMAZA LEMA VERONICA LIZBETH</t>
        </is>
      </c>
      <c r="C39" s="273" t="n"/>
      <c r="D39" s="52" t="inlineStr">
        <is>
          <t>9,53</t>
        </is>
      </c>
      <c r="E39" s="125" t="n">
        <v>9.34</v>
      </c>
      <c r="F39" s="126" t="n">
        <v>9.119999999999999</v>
      </c>
      <c r="G39" s="121" t="n">
        <v>9.32</v>
      </c>
      <c r="H39" s="114" t="n">
        <v>8.699999999999999</v>
      </c>
      <c r="I39" s="122" t="n">
        <v>9.44</v>
      </c>
      <c r="J39" s="43" t="n">
        <v>9.67</v>
      </c>
      <c r="K39" s="44" t="inlineStr">
        <is>
          <t>A+</t>
        </is>
      </c>
      <c r="L39" s="116" t="inlineStr">
        <is>
          <t>A+</t>
        </is>
      </c>
      <c r="M39" s="123" t="inlineStr">
        <is>
          <t>A-</t>
        </is>
      </c>
      <c r="N39" s="287">
        <f>TRUNC(AVERAGE(D39:J39),2)</f>
        <v/>
      </c>
      <c r="O39" s="117" t="inlineStr">
        <is>
          <t>S</t>
        </is>
      </c>
      <c r="P39" s="118" t="inlineStr">
        <is>
          <t>PROMOVIDO</t>
        </is>
      </c>
    </row>
    <row r="40" ht="18" customHeight="1" s="254">
      <c r="A40" s="75" t="n">
        <v>34</v>
      </c>
      <c r="B40" s="272" t="inlineStr">
        <is>
          <t>TOCTE CORRALES SHIRLE LISETH</t>
        </is>
      </c>
      <c r="C40" s="273" t="n"/>
      <c r="D40" s="52" t="inlineStr">
        <is>
          <t>8,37</t>
        </is>
      </c>
      <c r="E40" s="112" t="n">
        <v>7.38</v>
      </c>
      <c r="F40" s="126" t="n">
        <v>7.66</v>
      </c>
      <c r="G40" s="121" t="n">
        <v>8.41</v>
      </c>
      <c r="H40" s="114" t="n">
        <v>7.46</v>
      </c>
      <c r="I40" s="122" t="n">
        <v>7.94</v>
      </c>
      <c r="J40" s="43" t="n">
        <v>8.5</v>
      </c>
      <c r="K40" s="44" t="inlineStr">
        <is>
          <t>A-</t>
        </is>
      </c>
      <c r="L40" s="116" t="inlineStr">
        <is>
          <t>A+</t>
        </is>
      </c>
      <c r="M40" s="123" t="inlineStr">
        <is>
          <t>A+</t>
        </is>
      </c>
      <c r="N40" s="47">
        <f>TRUNC(AVERAGE(D40:J40),2)</f>
        <v/>
      </c>
      <c r="O40" s="117" t="inlineStr">
        <is>
          <t>S</t>
        </is>
      </c>
      <c r="P40" s="118" t="inlineStr">
        <is>
          <t>PROMOVIDO</t>
        </is>
      </c>
    </row>
    <row r="41" ht="15" customHeight="1" s="254">
      <c r="A41" s="75" t="n">
        <v>35</v>
      </c>
      <c r="B41" s="289" t="inlineStr">
        <is>
          <t>UZHCA BANEGAS DANIELA ESTEFANIA</t>
        </is>
      </c>
      <c r="C41" s="273" t="n"/>
      <c r="D41" s="52" t="inlineStr">
        <is>
          <t>9,86</t>
        </is>
      </c>
      <c r="E41" s="125" t="n">
        <v>9.48</v>
      </c>
      <c r="F41" s="126" t="n">
        <v>9.470000000000001</v>
      </c>
      <c r="G41" s="121" t="n">
        <v>9.65</v>
      </c>
      <c r="H41" s="114" t="n">
        <v>9.630000000000001</v>
      </c>
      <c r="I41" s="122" t="n">
        <v>9.529999999999999</v>
      </c>
      <c r="J41" s="43" t="n">
        <v>9.27</v>
      </c>
      <c r="K41" s="44" t="inlineStr">
        <is>
          <t>A-</t>
        </is>
      </c>
      <c r="L41" s="116" t="inlineStr">
        <is>
          <t>A+</t>
        </is>
      </c>
      <c r="M41" s="123" t="inlineStr">
        <is>
          <t>A+</t>
        </is>
      </c>
      <c r="N41" s="287">
        <f>TRUNC(AVERAGE(D41:J41),2)</f>
        <v/>
      </c>
      <c r="O41" s="117" t="inlineStr">
        <is>
          <t>S</t>
        </is>
      </c>
      <c r="P41" s="118" t="inlineStr">
        <is>
          <t>PROMOVIDO</t>
        </is>
      </c>
    </row>
    <row r="42" ht="14.25" customHeight="1" s="254">
      <c r="A42" s="128" t="n">
        <v>36</v>
      </c>
      <c r="B42" s="274" t="inlineStr">
        <is>
          <t>VINTIMILLA MUÑOZ ANA KARINA</t>
        </is>
      </c>
      <c r="C42" s="275" t="n"/>
      <c r="D42" s="52" t="inlineStr">
        <is>
          <t>9,52</t>
        </is>
      </c>
      <c r="E42" s="112" t="n">
        <v>9.85</v>
      </c>
      <c r="F42" s="126" t="n">
        <v>9.720000000000001</v>
      </c>
      <c r="G42" s="121" t="n">
        <v>9.74</v>
      </c>
      <c r="H42" s="114" t="n">
        <v>9.710000000000001</v>
      </c>
      <c r="I42" s="122" t="n">
        <v>9.539999999999999</v>
      </c>
      <c r="J42" s="43" t="n">
        <v>9.050000000000001</v>
      </c>
      <c r="K42" s="44" t="inlineStr">
        <is>
          <t>A+</t>
        </is>
      </c>
      <c r="L42" s="116" t="inlineStr">
        <is>
          <t>A+</t>
        </is>
      </c>
      <c r="M42" s="123" t="inlineStr">
        <is>
          <t>A+</t>
        </is>
      </c>
      <c r="N42" s="47">
        <f>TRUNC(AVERAGE(D42:J42),2)</f>
        <v/>
      </c>
      <c r="O42" s="117" t="inlineStr">
        <is>
          <t>S</t>
        </is>
      </c>
      <c r="P42" s="118" t="inlineStr">
        <is>
          <t>PROMOVIDO</t>
        </is>
      </c>
    </row>
    <row r="43" ht="15" customHeight="1" s="254">
      <c r="A43" s="34" t="n">
        <v>37</v>
      </c>
      <c r="B43" s="157" t="inlineStr">
        <is>
          <t>VIÑANZACA GUAMÁN ELIAN JOEL</t>
        </is>
      </c>
      <c r="C43" s="256" t="n"/>
      <c r="D43" s="52" t="inlineStr">
        <is>
          <t>8,40</t>
        </is>
      </c>
      <c r="E43" s="112" t="n">
        <v>7.63</v>
      </c>
      <c r="F43" s="126" t="n">
        <v>8.050000000000001</v>
      </c>
      <c r="G43" s="121" t="n">
        <v>8.73</v>
      </c>
      <c r="H43" s="114" t="n">
        <v>7.79</v>
      </c>
      <c r="I43" s="122" t="n">
        <v>8.550000000000001</v>
      </c>
      <c r="J43" s="43" t="n">
        <v>8.949999999999999</v>
      </c>
      <c r="K43" s="44" t="inlineStr">
        <is>
          <t>A+</t>
        </is>
      </c>
      <c r="L43" s="116" t="inlineStr">
        <is>
          <t>A-</t>
        </is>
      </c>
      <c r="M43" s="123" t="inlineStr">
        <is>
          <t>A+</t>
        </is>
      </c>
      <c r="N43" s="47">
        <f>TRUNC(AVERAGE(D43:J43),2)</f>
        <v/>
      </c>
      <c r="O43" s="117" t="inlineStr">
        <is>
          <t>S</t>
        </is>
      </c>
      <c r="P43" s="118" t="inlineStr">
        <is>
          <t>PROMOVIDO</t>
        </is>
      </c>
    </row>
    <row r="44" ht="15" customHeight="1" s="254">
      <c r="A44" s="34" t="n">
        <v>38</v>
      </c>
      <c r="B44" s="270" t="inlineStr">
        <is>
          <t>VIZHÑAY MUÑOZ BRAYAN DAMIAN</t>
        </is>
      </c>
      <c r="C44" s="271" t="n"/>
      <c r="D44" s="52" t="inlineStr">
        <is>
          <t>7,79</t>
        </is>
      </c>
      <c r="E44" s="112" t="n">
        <v>7.36</v>
      </c>
      <c r="F44" s="126" t="n">
        <v>7.53</v>
      </c>
      <c r="G44" s="121" t="n">
        <v>7.64</v>
      </c>
      <c r="H44" s="114" t="n">
        <v>7.12</v>
      </c>
      <c r="I44" s="131" t="n">
        <v>7.96</v>
      </c>
      <c r="J44" s="43" t="n">
        <v>9.25</v>
      </c>
      <c r="K44" s="44" t="inlineStr">
        <is>
          <t>A-</t>
        </is>
      </c>
      <c r="L44" s="116" t="inlineStr">
        <is>
          <t>A+</t>
        </is>
      </c>
      <c r="M44" s="123" t="inlineStr">
        <is>
          <t>A+</t>
        </is>
      </c>
      <c r="N44" s="47">
        <f>TRUNC(AVERAGE(D44:J44),2)</f>
        <v/>
      </c>
      <c r="O44" s="117" t="inlineStr">
        <is>
          <t>F</t>
        </is>
      </c>
      <c r="P44" s="118" t="inlineStr">
        <is>
          <t>PROMOVIDO</t>
        </is>
      </c>
    </row>
    <row r="45" ht="15" customHeight="1" s="254">
      <c r="A45" s="74" t="n">
        <v>39</v>
      </c>
      <c r="B45" s="276" t="inlineStr">
        <is>
          <t>YANQUI BUENO JHENNIFHER JHANNYN</t>
        </is>
      </c>
      <c r="C45" s="275" t="n"/>
      <c r="D45" s="52" t="inlineStr">
        <is>
          <t>8,11</t>
        </is>
      </c>
      <c r="E45" s="112" t="n">
        <v>7.63</v>
      </c>
      <c r="F45" s="126" t="n">
        <v>7.59</v>
      </c>
      <c r="G45" s="121" t="n">
        <v>7.69</v>
      </c>
      <c r="H45" s="114" t="n">
        <v>7.45</v>
      </c>
      <c r="I45" s="131" t="n">
        <v>8.220000000000001</v>
      </c>
      <c r="J45" s="43" t="n">
        <v>9.18</v>
      </c>
      <c r="K45" s="44" t="inlineStr">
        <is>
          <t>A-</t>
        </is>
      </c>
      <c r="L45" s="116" t="inlineStr">
        <is>
          <t>A-</t>
        </is>
      </c>
      <c r="M45" s="123" t="inlineStr">
        <is>
          <t>A+</t>
        </is>
      </c>
      <c r="N45" s="47">
        <f>TRUNC(AVERAGE(D45:J45),2)</f>
        <v/>
      </c>
      <c r="O45" s="117" t="inlineStr">
        <is>
          <t>S</t>
        </is>
      </c>
      <c r="P45" s="118" t="inlineStr">
        <is>
          <t>PROMOVIDO</t>
        </is>
      </c>
    </row>
    <row r="46" ht="15" customHeight="1" s="254">
      <c r="A46" s="75" t="n">
        <v>40</v>
      </c>
      <c r="B46" s="291" t="inlineStr">
        <is>
          <t>ZHANGALLIMBAY VEGA KAREN DOMENICA</t>
        </is>
      </c>
      <c r="C46" s="256" t="n"/>
      <c r="D46" s="52" t="inlineStr">
        <is>
          <t>8,89</t>
        </is>
      </c>
      <c r="E46" s="112" t="n">
        <v>7.83</v>
      </c>
      <c r="F46" s="126" t="n">
        <v>8.5</v>
      </c>
      <c r="G46" s="121" t="n">
        <v>8.390000000000001</v>
      </c>
      <c r="H46" s="114" t="n">
        <v>7.36</v>
      </c>
      <c r="I46" s="131" t="n">
        <v>8.279999999999999</v>
      </c>
      <c r="J46" s="43" t="n">
        <v>9.26</v>
      </c>
      <c r="K46" s="44" t="inlineStr">
        <is>
          <t>A+</t>
        </is>
      </c>
      <c r="L46" s="116" t="inlineStr">
        <is>
          <t>A+</t>
        </is>
      </c>
      <c r="M46" s="123" t="inlineStr">
        <is>
          <t>A+</t>
        </is>
      </c>
      <c r="N46" s="287">
        <f>TRUNC(AVERAGE(D46:J46),2)</f>
        <v/>
      </c>
      <c r="O46" s="117" t="inlineStr">
        <is>
          <t>S</t>
        </is>
      </c>
      <c r="P46" s="118" t="inlineStr">
        <is>
          <t>PROMOVIDO</t>
        </is>
      </c>
      <c r="Q46" s="134" t="n"/>
    </row>
    <row r="47" ht="15" customHeight="1" s="254">
      <c r="A47" s="75" t="n">
        <v>41</v>
      </c>
      <c r="B47" s="69" t="inlineStr">
        <is>
          <t>Promedio</t>
        </is>
      </c>
      <c r="C47" s="256" t="n"/>
      <c r="D47" s="135" t="n">
        <v>8.6</v>
      </c>
      <c r="E47" s="80">
        <f>AVERAGE(E7:E46)</f>
        <v/>
      </c>
      <c r="F47" s="81">
        <f>AVERAGE(F7:F46)</f>
        <v/>
      </c>
      <c r="G47" s="136">
        <f>AVERAGE(G7:G46)</f>
        <v/>
      </c>
      <c r="H47" s="83">
        <f>AVERAGE(H7:H46)</f>
        <v/>
      </c>
      <c r="I47" s="137">
        <f>AVERAGE(I7:I46)</f>
        <v/>
      </c>
      <c r="J47" s="85">
        <f>AVERAGE(J7:J46)</f>
        <v/>
      </c>
      <c r="K47" s="138" t="n"/>
      <c r="L47" s="139" t="n"/>
      <c r="M47" s="139" t="n"/>
      <c r="N47" s="47">
        <f>AVERAGE(N7:N46)</f>
        <v/>
      </c>
      <c r="O47" s="140" t="n"/>
      <c r="P47" s="141" t="n"/>
      <c r="Q47" s="134" t="n"/>
    </row>
    <row r="48" ht="14.25" customHeight="1" s="254">
      <c r="A48" s="142" t="n">
        <v>42</v>
      </c>
      <c r="B48" s="277" t="n"/>
      <c r="C48" s="278" t="n"/>
      <c r="D48" s="145" t="n"/>
      <c r="E48" s="145" t="n"/>
      <c r="F48" s="146" t="n"/>
      <c r="G48" s="145" t="n"/>
      <c r="H48" s="145" t="n"/>
      <c r="I48" s="145" t="n"/>
      <c r="J48" s="147" t="n"/>
      <c r="K48" s="148" t="n"/>
      <c r="L48" s="148" t="n"/>
      <c r="M48" s="148" t="n"/>
      <c r="N48" s="149" t="n"/>
      <c r="O48" s="150" t="n"/>
      <c r="P48" s="141" t="n"/>
      <c r="Q48" s="134" t="n"/>
    </row>
    <row r="49" ht="14.25" customHeight="1" s="254">
      <c r="A49" s="151" t="n"/>
      <c r="B49" s="264" t="inlineStr">
        <is>
          <t xml:space="preserve">Ing. Sonia Chicaiza Mgtr. </t>
        </is>
      </c>
      <c r="D49" s="49" t="inlineStr">
        <is>
          <t xml:space="preserve">Lcda. Isabel Carpio Mgtr. </t>
        </is>
      </c>
      <c r="E49" s="266" t="n"/>
      <c r="F49" s="266" t="n"/>
      <c r="G49" s="267" t="n"/>
      <c r="H49" s="104" t="n"/>
      <c r="I49" s="265" t="inlineStr">
        <is>
          <t>Lcda. Nancy Quiranza</t>
        </is>
      </c>
      <c r="J49" s="266" t="n"/>
      <c r="K49" s="266" t="n"/>
      <c r="L49" s="267" t="n"/>
      <c r="M49" s="148" t="n"/>
      <c r="N49" s="149" t="n"/>
      <c r="O49" s="150" t="n"/>
      <c r="P49" s="141" t="n"/>
      <c r="Q49" s="134" t="n"/>
    </row>
    <row r="50" ht="14.25" customHeight="1" s="254">
      <c r="A50" s="151" t="n"/>
      <c r="B50" s="264" t="inlineStr">
        <is>
          <t>Rectora (e)</t>
        </is>
      </c>
      <c r="D50" s="49" t="inlineStr">
        <is>
          <t>Vicerrectora (e)Matutina</t>
        </is>
      </c>
      <c r="E50" s="266" t="n"/>
      <c r="F50" s="266" t="n"/>
      <c r="G50" s="267" t="n"/>
      <c r="H50" s="104" t="n"/>
      <c r="I50" s="265" t="inlineStr">
        <is>
          <t>Docente Tutora</t>
        </is>
      </c>
      <c r="J50" s="266" t="n"/>
      <c r="K50" s="266" t="n"/>
      <c r="L50" s="267" t="n"/>
      <c r="M50" s="148" t="n"/>
      <c r="N50" s="149" t="n"/>
      <c r="O50" s="150" t="n"/>
      <c r="P50" s="141" t="n"/>
      <c r="Q50" s="134" t="n"/>
    </row>
    <row r="51" ht="14.25" customHeight="1" s="254">
      <c r="P51" s="153" t="n"/>
    </row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4.25" customHeight="1" s="254"/>
    <row r="249" ht="14.25" customHeight="1" s="254"/>
    <row r="250" ht="14.2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mergeCells count="57">
    <mergeCell ref="B47:C47"/>
    <mergeCell ref="B16:C16"/>
    <mergeCell ref="B2:P2"/>
    <mergeCell ref="B25:C25"/>
    <mergeCell ref="B46:C46"/>
    <mergeCell ref="B22:C22"/>
    <mergeCell ref="B31:C31"/>
    <mergeCell ref="B27:C27"/>
    <mergeCell ref="B18:C18"/>
    <mergeCell ref="B43:C43"/>
    <mergeCell ref="B12:C12"/>
    <mergeCell ref="B39:C39"/>
    <mergeCell ref="S8:T8"/>
    <mergeCell ref="I50:L50"/>
    <mergeCell ref="B21:C21"/>
    <mergeCell ref="B48:C48"/>
    <mergeCell ref="B11:C11"/>
    <mergeCell ref="K3:N3"/>
    <mergeCell ref="D50:G50"/>
    <mergeCell ref="B42:C42"/>
    <mergeCell ref="B23:C23"/>
    <mergeCell ref="B14:C14"/>
    <mergeCell ref="B17:C17"/>
    <mergeCell ref="B8:C8"/>
    <mergeCell ref="I49:L49"/>
    <mergeCell ref="I3:J3"/>
    <mergeCell ref="B13:C13"/>
    <mergeCell ref="B38:C38"/>
    <mergeCell ref="B44:C44"/>
    <mergeCell ref="B29:C29"/>
    <mergeCell ref="S10:T10"/>
    <mergeCell ref="A1:P1"/>
    <mergeCell ref="B19:C19"/>
    <mergeCell ref="B34:C34"/>
    <mergeCell ref="B5:P5"/>
    <mergeCell ref="B10:C10"/>
    <mergeCell ref="B28:C28"/>
    <mergeCell ref="B37:C37"/>
    <mergeCell ref="C3:E3"/>
    <mergeCell ref="D49:G49"/>
    <mergeCell ref="B40:C40"/>
    <mergeCell ref="S9:T9"/>
    <mergeCell ref="B9:C9"/>
    <mergeCell ref="B49:C49"/>
    <mergeCell ref="B24:C24"/>
    <mergeCell ref="I4:J4"/>
    <mergeCell ref="B30:C30"/>
    <mergeCell ref="B15:C15"/>
    <mergeCell ref="B33:C33"/>
    <mergeCell ref="B20:C20"/>
    <mergeCell ref="B45:C45"/>
    <mergeCell ref="B36:C36"/>
    <mergeCell ref="B32:C32"/>
    <mergeCell ref="B50:C50"/>
    <mergeCell ref="B26:C26"/>
    <mergeCell ref="B41:C41"/>
    <mergeCell ref="B35:C3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4.29" customWidth="1" style="254" min="16" max="16"/>
    <col width="20.29" customWidth="1" style="254" min="17" max="17"/>
    <col width="7.71" customWidth="1" style="254" min="18" max="18"/>
    <col width="7.57" customWidth="1" style="254" min="20" max="20"/>
  </cols>
  <sheetData>
    <row r="1" ht="72.75" customHeight="1" s="254">
      <c r="A1" s="154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2" t="n"/>
      <c r="B2" s="3" t="inlineStr">
        <is>
          <t>AÑO LECTIVO: 2025-2026</t>
        </is>
      </c>
    </row>
    <row r="3" ht="14.25" customHeight="1" s="254">
      <c r="B3" s="4" t="inlineStr">
        <is>
          <t xml:space="preserve">DOCENTE:             </t>
        </is>
      </c>
      <c r="C3" s="5" t="inlineStr">
        <is>
          <t>Ing. Santiago Quezada MSc</t>
        </is>
      </c>
      <c r="F3" s="6" t="n"/>
      <c r="G3" s="6" t="n"/>
      <c r="H3" s="6" t="n"/>
      <c r="I3" s="7" t="inlineStr">
        <is>
          <t xml:space="preserve">JORNADA: </t>
        </is>
      </c>
      <c r="K3" s="8" t="inlineStr">
        <is>
          <t>MATUTINA</t>
        </is>
      </c>
    </row>
    <row r="4" ht="14.25" customHeight="1" s="254">
      <c r="B4" s="9" t="inlineStr">
        <is>
          <t xml:space="preserve">AÑO DE EGB:        </t>
        </is>
      </c>
      <c r="C4" s="10" t="inlineStr">
        <is>
          <t>NOVENO A</t>
        </is>
      </c>
      <c r="D4" s="11" t="inlineStr">
        <is>
          <t>A</t>
        </is>
      </c>
      <c r="E4" s="6" t="n"/>
      <c r="F4" s="6" t="n"/>
      <c r="G4" s="6" t="n"/>
      <c r="H4" s="6" t="n"/>
      <c r="I4" s="7" t="n"/>
      <c r="K4" s="12" t="n"/>
      <c r="M4" s="6" t="n"/>
    </row>
    <row r="5" ht="6" customHeight="1" s="254">
      <c r="B5" s="13" t="n"/>
      <c r="C5" s="13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4.25" customHeight="1" s="254">
      <c r="B6" s="255" t="inlineStr">
        <is>
          <t>CONSOLIDADO FINAL</t>
        </is>
      </c>
    </row>
    <row r="7" ht="164.25" customHeight="1" s="254">
      <c r="A7" s="155" t="inlineStr">
        <is>
          <t>No</t>
        </is>
      </c>
      <c r="B7" s="19" t="inlineStr">
        <is>
          <t>NOMINA</t>
        </is>
      </c>
      <c r="C7" s="20" t="n"/>
      <c r="D7" s="156" t="inlineStr">
        <is>
          <t>LENGUA Y LITERATURA</t>
        </is>
      </c>
      <c r="E7" s="22" t="inlineStr">
        <is>
          <t>MATEMÁTICA</t>
        </is>
      </c>
      <c r="F7" s="23" t="inlineStr">
        <is>
          <t>CIENCIAS NATURALES</t>
        </is>
      </c>
      <c r="G7" s="24" t="inlineStr">
        <is>
          <t>ESTUDIOS SOCIALES</t>
        </is>
      </c>
      <c r="H7" s="25" t="inlineStr">
        <is>
          <t>INGLÉS</t>
        </is>
      </c>
      <c r="I7" s="26" t="inlineStr">
        <is>
          <t>EDUCACIÓN CULTURAL Y ARTISTICA</t>
        </is>
      </c>
      <c r="J7" s="27" t="inlineStr">
        <is>
          <t>EDUCACIÓN FÍSICA</t>
        </is>
      </c>
      <c r="K7" s="28" t="inlineStr">
        <is>
          <t>ANIMACIÓN A LA LECTURA</t>
        </is>
      </c>
      <c r="L7" s="29" t="inlineStr">
        <is>
          <t>ACOMPAÑAMIENTO INTEGRAL EN EL AULA</t>
        </is>
      </c>
      <c r="M7" s="30" t="inlineStr">
        <is>
          <t>ORIENTACIÓN VOCACIONAL</t>
        </is>
      </c>
      <c r="N7" s="31" t="inlineStr">
        <is>
          <t>PROMEDIO FINAL</t>
        </is>
      </c>
      <c r="O7" s="32" t="inlineStr">
        <is>
          <t>CCOMPORTAMIENTO</t>
        </is>
      </c>
      <c r="P7" s="33" t="inlineStr">
        <is>
          <t>OBSERVACIONES</t>
        </is>
      </c>
    </row>
    <row r="8" ht="14.25" customHeight="1" s="254">
      <c r="A8" s="75" t="n">
        <v>1</v>
      </c>
      <c r="B8" s="157" t="inlineStr">
        <is>
          <t>AGUDELO ARTAHOMA ISAAC ALEXANDER</t>
        </is>
      </c>
      <c r="C8" s="158" t="n"/>
      <c r="D8" s="159" t="n">
        <v>7.84</v>
      </c>
      <c r="E8" s="160" t="n">
        <v>7.53</v>
      </c>
      <c r="F8" s="126" t="n">
        <v>7.01</v>
      </c>
      <c r="G8" s="40" t="n">
        <v>7</v>
      </c>
      <c r="H8" s="161" t="n">
        <v>7.01</v>
      </c>
      <c r="I8" s="162" t="n">
        <v>7.56</v>
      </c>
      <c r="J8" s="43" t="n">
        <v>8.16</v>
      </c>
      <c r="K8" s="163" t="inlineStr">
        <is>
          <t>B+</t>
        </is>
      </c>
      <c r="L8" s="164" t="inlineStr">
        <is>
          <t>B-</t>
        </is>
      </c>
      <c r="M8" s="226" t="inlineStr">
        <is>
          <t>B-</t>
        </is>
      </c>
      <c r="N8" s="47">
        <f>TRUNC(AVERAGE(D8:J8),2)</f>
        <v/>
      </c>
      <c r="O8" s="165" t="inlineStr">
        <is>
          <t>F</t>
        </is>
      </c>
      <c r="P8" s="77" t="inlineStr">
        <is>
          <t>PROMOVIDO</t>
        </is>
      </c>
    </row>
    <row r="9" ht="15" customHeight="1" s="254">
      <c r="A9" s="75" t="n">
        <v>2</v>
      </c>
      <c r="B9" s="157" t="inlineStr">
        <is>
          <t>ALAVA AYABACA LEONARDO DAVID</t>
        </is>
      </c>
      <c r="C9" s="158" t="n"/>
      <c r="D9" s="159" t="n">
        <v>8.85</v>
      </c>
      <c r="E9" s="160" t="n">
        <v>9.130000000000001</v>
      </c>
      <c r="F9" s="126" t="n">
        <v>8.4</v>
      </c>
      <c r="G9" s="54" t="n">
        <v>9.09</v>
      </c>
      <c r="H9" s="166" t="n">
        <v>8.029999999999999</v>
      </c>
      <c r="I9" s="167" t="n">
        <v>8.4</v>
      </c>
      <c r="J9" s="43" t="n">
        <v>9.619999999999999</v>
      </c>
      <c r="K9" s="168" t="inlineStr">
        <is>
          <t>A-</t>
        </is>
      </c>
      <c r="L9" s="164" t="inlineStr">
        <is>
          <t>A-</t>
        </is>
      </c>
      <c r="M9" s="226" t="inlineStr">
        <is>
          <t>A-</t>
        </is>
      </c>
      <c r="N9" s="47">
        <f>TRUNC(AVERAGE(D9:J9),2)</f>
        <v/>
      </c>
      <c r="O9" s="165" t="inlineStr">
        <is>
          <t>S</t>
        </is>
      </c>
      <c r="P9" s="77" t="inlineStr">
        <is>
          <t>PROMOVIDO</t>
        </is>
      </c>
      <c r="Q9" s="56" t="inlineStr">
        <is>
          <t>PRIMER LUGAR</t>
        </is>
      </c>
      <c r="R9" s="57">
        <f>LARGE(N9:N48,1)</f>
        <v/>
      </c>
      <c r="S9" s="62" t="inlineStr">
        <is>
          <t>PEÑAFIEL</t>
        </is>
      </c>
      <c r="T9" s="62" t="n">
        <v>9.869999999999999</v>
      </c>
    </row>
    <row r="10" ht="15" customHeight="1" s="254">
      <c r="A10" s="75" t="n">
        <v>3</v>
      </c>
      <c r="B10" s="157" t="inlineStr">
        <is>
          <t>ANASICHA LEMACHE HECTOR DANIEL</t>
        </is>
      </c>
      <c r="C10" s="158" t="n"/>
      <c r="D10" s="159" t="n">
        <v>8.630000000000001</v>
      </c>
      <c r="E10" s="160" t="n">
        <v>8.24</v>
      </c>
      <c r="F10" s="126" t="n">
        <v>8.09</v>
      </c>
      <c r="G10" s="54" t="n">
        <v>9.039999999999999</v>
      </c>
      <c r="H10" s="166" t="n">
        <v>7.66</v>
      </c>
      <c r="I10" s="167" t="n">
        <v>7.85</v>
      </c>
      <c r="J10" s="43" t="n">
        <v>9.69</v>
      </c>
      <c r="K10" s="168" t="inlineStr">
        <is>
          <t>A-</t>
        </is>
      </c>
      <c r="L10" s="164" t="inlineStr">
        <is>
          <t>A-</t>
        </is>
      </c>
      <c r="M10" s="226" t="inlineStr">
        <is>
          <t>B+</t>
        </is>
      </c>
      <c r="N10" s="47">
        <f>TRUNC(AVERAGE(D10:J10),2)</f>
        <v/>
      </c>
      <c r="O10" s="165" t="inlineStr">
        <is>
          <t>S</t>
        </is>
      </c>
      <c r="P10" s="77" t="inlineStr">
        <is>
          <t>PROMOVIDO</t>
        </is>
      </c>
      <c r="Q10" s="56" t="inlineStr">
        <is>
          <t>SEGUNDO LUGAR</t>
        </is>
      </c>
      <c r="R10" s="59">
        <f>LARGE(N8:N47,2)</f>
        <v/>
      </c>
      <c r="S10" s="62" t="inlineStr">
        <is>
          <t>CHUÑIR</t>
        </is>
      </c>
      <c r="T10" s="62" t="n">
        <v>9.869999999999999</v>
      </c>
    </row>
    <row r="11" ht="15" customHeight="1" s="254">
      <c r="A11" s="75" t="n">
        <v>4</v>
      </c>
      <c r="B11" s="157" t="inlineStr">
        <is>
          <t>ARMIJOS HIDALGO NICOLE ESTEFANIA</t>
        </is>
      </c>
      <c r="C11" s="158" t="n"/>
      <c r="D11" s="159" t="n">
        <v>8.01</v>
      </c>
      <c r="E11" s="160" t="n">
        <v>7.8</v>
      </c>
      <c r="F11" s="126" t="n">
        <v>7.01</v>
      </c>
      <c r="G11" s="54" t="n">
        <v>7.84</v>
      </c>
      <c r="H11" s="161" t="n">
        <v>7.19</v>
      </c>
      <c r="I11" s="167" t="n">
        <v>7.26</v>
      </c>
      <c r="J11" s="43" t="n">
        <v>7</v>
      </c>
      <c r="K11" s="168" t="inlineStr">
        <is>
          <t>B+</t>
        </is>
      </c>
      <c r="L11" s="164" t="inlineStr">
        <is>
          <t>B-</t>
        </is>
      </c>
      <c r="M11" s="226" t="inlineStr">
        <is>
          <t>B-</t>
        </is>
      </c>
      <c r="N11" s="47">
        <f>TRUNC(AVERAGE(D11:J11),2)</f>
        <v/>
      </c>
      <c r="O11" s="165" t="inlineStr">
        <is>
          <t>S</t>
        </is>
      </c>
      <c r="P11" s="77" t="inlineStr">
        <is>
          <t>PROMOVIDO</t>
        </is>
      </c>
      <c r="Q11" s="56" t="inlineStr">
        <is>
          <t>TERCER LUGAR</t>
        </is>
      </c>
      <c r="R11" s="59">
        <f>LARGE(N8:N47,3)</f>
        <v/>
      </c>
      <c r="S11" s="62" t="inlineStr">
        <is>
          <t>AVILA</t>
        </is>
      </c>
      <c r="T11" s="62" t="n">
        <v>9.859999999999999</v>
      </c>
    </row>
    <row r="12" ht="15" customHeight="1" s="254">
      <c r="A12" s="75" t="n">
        <v>5</v>
      </c>
      <c r="B12" s="157" t="inlineStr">
        <is>
          <t>ASMAL AUCAPIÑA ALAN MARCELO</t>
        </is>
      </c>
      <c r="C12" s="158" t="n"/>
      <c r="D12" s="159" t="n">
        <v>8.43</v>
      </c>
      <c r="E12" s="160" t="n">
        <v>8.779999999999999</v>
      </c>
      <c r="F12" s="126" t="n">
        <v>7.86</v>
      </c>
      <c r="G12" s="54" t="n">
        <v>8.300000000000001</v>
      </c>
      <c r="H12" s="161" t="n">
        <v>7.85</v>
      </c>
      <c r="I12" s="167" t="n">
        <v>7.81</v>
      </c>
      <c r="J12" s="43" t="n">
        <v>8.31</v>
      </c>
      <c r="K12" s="168" t="inlineStr">
        <is>
          <t>A-</t>
        </is>
      </c>
      <c r="L12" s="164" t="inlineStr">
        <is>
          <t>A-</t>
        </is>
      </c>
      <c r="M12" s="226" t="inlineStr">
        <is>
          <t>A-</t>
        </is>
      </c>
      <c r="N12" s="47">
        <f>TRUNC(AVERAGE(D12:J12),2)</f>
        <v/>
      </c>
      <c r="O12" s="165" t="inlineStr">
        <is>
          <t>S</t>
        </is>
      </c>
      <c r="P12" s="77" t="inlineStr">
        <is>
          <t>PROMOVIDO</t>
        </is>
      </c>
      <c r="Q12" s="62" t="inlineStr">
        <is>
          <t>CUARTO LUGAR</t>
        </is>
      </c>
      <c r="R12" s="62">
        <f>LARGE(N8:N47,4)</f>
        <v/>
      </c>
    </row>
    <row r="13" ht="15" customHeight="1" s="254">
      <c r="A13" s="217" t="n">
        <v>6</v>
      </c>
      <c r="B13" s="157" t="inlineStr">
        <is>
          <t>AUCAPIÑA AVILA ALEXANDER ADRIANO</t>
        </is>
      </c>
      <c r="C13" s="158" t="n"/>
      <c r="D13" s="159" t="n">
        <v>8.25</v>
      </c>
      <c r="E13" s="160" t="n">
        <v>8.630000000000001</v>
      </c>
      <c r="F13" s="170" t="n">
        <v>7.05</v>
      </c>
      <c r="G13" s="54" t="n">
        <v>8.19</v>
      </c>
      <c r="H13" s="166" t="n">
        <v>7.68</v>
      </c>
      <c r="I13" s="167" t="n">
        <v>8.15</v>
      </c>
      <c r="J13" s="43" t="n">
        <v>8.300000000000001</v>
      </c>
      <c r="K13" s="168" t="inlineStr">
        <is>
          <t>B-</t>
        </is>
      </c>
      <c r="L13" s="164" t="inlineStr">
        <is>
          <t>A-</t>
        </is>
      </c>
      <c r="M13" s="226" t="inlineStr">
        <is>
          <t>A-</t>
        </is>
      </c>
      <c r="N13" s="47">
        <f>TRUNC(AVERAGE(D13:J13),2)</f>
        <v/>
      </c>
      <c r="O13" s="165" t="inlineStr">
        <is>
          <t>O</t>
        </is>
      </c>
      <c r="P13" s="77" t="inlineStr">
        <is>
          <t>PROMOVIDO</t>
        </is>
      </c>
      <c r="Q13" s="171" t="n"/>
    </row>
    <row r="14" ht="15" customHeight="1" s="254">
      <c r="A14" s="75" t="n">
        <v>7</v>
      </c>
      <c r="B14" s="157" t="inlineStr">
        <is>
          <t>AUCAPIÑA BARBECHO MIGUEL SEBASTIAN</t>
        </is>
      </c>
      <c r="C14" s="158" t="n"/>
      <c r="D14" s="159" t="n">
        <v>8.09</v>
      </c>
      <c r="E14" s="160" t="n">
        <v>7.79</v>
      </c>
      <c r="F14" s="126" t="n">
        <v>7.35</v>
      </c>
      <c r="G14" s="54" t="n">
        <v>8.210000000000001</v>
      </c>
      <c r="H14" s="166" t="n">
        <v>7.43</v>
      </c>
      <c r="I14" s="167" t="n">
        <v>8.029999999999999</v>
      </c>
      <c r="J14" s="43" t="n">
        <v>8.85</v>
      </c>
      <c r="K14" s="168" t="inlineStr">
        <is>
          <t>B+</t>
        </is>
      </c>
      <c r="L14" s="164" t="inlineStr">
        <is>
          <t>A-</t>
        </is>
      </c>
      <c r="M14" s="226" t="inlineStr">
        <is>
          <t>A-</t>
        </is>
      </c>
      <c r="N14" s="47">
        <f>TRUNC(AVERAGE(D14:J14),2)</f>
        <v/>
      </c>
      <c r="O14" s="165" t="inlineStr">
        <is>
          <t>S</t>
        </is>
      </c>
      <c r="P14" s="77" t="inlineStr">
        <is>
          <t>PROMOVIDO</t>
        </is>
      </c>
      <c r="Q14" s="171" t="n"/>
    </row>
    <row r="15" ht="15" customHeight="1" s="254">
      <c r="A15" s="75" t="n">
        <v>8</v>
      </c>
      <c r="B15" s="157" t="inlineStr">
        <is>
          <t>AVILA BARBECHO JOSTIN ALAIN</t>
        </is>
      </c>
      <c r="C15" s="158" t="n"/>
      <c r="D15" s="159" t="n">
        <v>9.85</v>
      </c>
      <c r="E15" s="160" t="n">
        <v>9.880000000000001</v>
      </c>
      <c r="F15" s="126" t="n">
        <v>9.720000000000001</v>
      </c>
      <c r="G15" s="54" t="n">
        <v>9.92</v>
      </c>
      <c r="H15" s="166" t="n">
        <v>9.84</v>
      </c>
      <c r="I15" s="167" t="n">
        <v>9.93</v>
      </c>
      <c r="J15" s="43" t="n">
        <v>9.99</v>
      </c>
      <c r="K15" s="168" t="inlineStr">
        <is>
          <t>A-</t>
        </is>
      </c>
      <c r="L15" s="164" t="inlineStr">
        <is>
          <t>A+</t>
        </is>
      </c>
      <c r="M15" s="226" t="inlineStr">
        <is>
          <t>A+</t>
        </is>
      </c>
      <c r="N15" s="47">
        <f>TRUNC(AVERAGE(D15:J15),2)</f>
        <v/>
      </c>
      <c r="O15" s="165" t="inlineStr">
        <is>
          <t>S</t>
        </is>
      </c>
      <c r="P15" s="77" t="inlineStr">
        <is>
          <t>PROMOVIDO</t>
        </is>
      </c>
    </row>
    <row r="16" ht="15" customHeight="1" s="254">
      <c r="A16" s="75" t="n">
        <v>9</v>
      </c>
      <c r="B16" s="157" t="inlineStr">
        <is>
          <t>BACULIMA GOMEZ JOSUE DAMIAN</t>
        </is>
      </c>
      <c r="C16" s="158" t="n"/>
      <c r="D16" s="159" t="n">
        <v>8.35</v>
      </c>
      <c r="E16" s="160" t="n">
        <v>8.27</v>
      </c>
      <c r="F16" s="126" t="n">
        <v>7.11</v>
      </c>
      <c r="G16" s="54" t="n">
        <v>7.83</v>
      </c>
      <c r="H16" s="166" t="n">
        <v>7.7</v>
      </c>
      <c r="I16" s="167" t="n">
        <v>7.67</v>
      </c>
      <c r="J16" s="43" t="n">
        <v>8.58</v>
      </c>
      <c r="K16" s="168" t="inlineStr">
        <is>
          <t>B+</t>
        </is>
      </c>
      <c r="L16" s="164" t="inlineStr">
        <is>
          <t>A-</t>
        </is>
      </c>
      <c r="M16" s="226" t="inlineStr">
        <is>
          <t>B+</t>
        </is>
      </c>
      <c r="N16" s="47">
        <f>TRUNC(AVERAGE(D16:J16),2)</f>
        <v/>
      </c>
      <c r="O16" s="165" t="inlineStr">
        <is>
          <t>S</t>
        </is>
      </c>
      <c r="P16" s="77" t="inlineStr">
        <is>
          <t>PROMOVIDO</t>
        </is>
      </c>
    </row>
    <row r="17" ht="15" customHeight="1" s="254">
      <c r="A17" s="75" t="n">
        <v>10</v>
      </c>
      <c r="B17" s="157" t="inlineStr">
        <is>
          <t>BARBECHO MORANTE LUISA VALENTINA</t>
        </is>
      </c>
      <c r="C17" s="158" t="n"/>
      <c r="D17" s="159" t="n">
        <v>9.41</v>
      </c>
      <c r="E17" s="160" t="n">
        <v>9.720000000000001</v>
      </c>
      <c r="F17" s="126" t="n">
        <v>9.17</v>
      </c>
      <c r="G17" s="54" t="n">
        <v>9.76</v>
      </c>
      <c r="H17" s="166" t="n">
        <v>9.67</v>
      </c>
      <c r="I17" s="167" t="n">
        <v>9.640000000000001</v>
      </c>
      <c r="J17" s="43" t="n">
        <v>9.98</v>
      </c>
      <c r="K17" s="168" t="inlineStr">
        <is>
          <t>A-</t>
        </is>
      </c>
      <c r="L17" s="164" t="inlineStr">
        <is>
          <t>A+</t>
        </is>
      </c>
      <c r="M17" s="226" t="inlineStr">
        <is>
          <t>A+</t>
        </is>
      </c>
      <c r="N17" s="47">
        <f>TRUNC(AVERAGE(D17:J17),2)</f>
        <v/>
      </c>
      <c r="O17" s="165" t="inlineStr">
        <is>
          <t>S</t>
        </is>
      </c>
      <c r="P17" s="77" t="inlineStr">
        <is>
          <t>PROMOVIDO</t>
        </is>
      </c>
    </row>
    <row r="18" ht="15" customHeight="1" s="254">
      <c r="A18" s="75" t="n">
        <v>11</v>
      </c>
      <c r="B18" s="157" t="inlineStr">
        <is>
          <t>BELDUMA BELDUMA MAYETSSI</t>
        </is>
      </c>
      <c r="C18" s="158" t="n"/>
      <c r="D18" s="159" t="n">
        <v>8.880000000000001</v>
      </c>
      <c r="E18" s="160" t="n">
        <v>8.73</v>
      </c>
      <c r="F18" s="126" t="n">
        <v>8.390000000000001</v>
      </c>
      <c r="G18" s="54" t="n">
        <v>9.06</v>
      </c>
      <c r="H18" s="166" t="n">
        <v>8.06</v>
      </c>
      <c r="I18" s="167" t="n">
        <v>9.34</v>
      </c>
      <c r="J18" s="43" t="n">
        <v>8.470000000000001</v>
      </c>
      <c r="K18" s="168" t="inlineStr">
        <is>
          <t>A-</t>
        </is>
      </c>
      <c r="L18" s="164" t="inlineStr">
        <is>
          <t>A+</t>
        </is>
      </c>
      <c r="M18" s="226" t="inlineStr">
        <is>
          <t>A-</t>
        </is>
      </c>
      <c r="N18" s="47">
        <f>TRUNC(AVERAGE(D18:J18),2)</f>
        <v/>
      </c>
      <c r="O18" s="165" t="inlineStr">
        <is>
          <t>S</t>
        </is>
      </c>
      <c r="P18" s="77" t="inlineStr">
        <is>
          <t>PROMOVIDO</t>
        </is>
      </c>
    </row>
    <row r="19" ht="15" customHeight="1" s="254">
      <c r="A19" s="75" t="n">
        <v>12</v>
      </c>
      <c r="B19" s="157" t="inlineStr">
        <is>
          <t>BUENO BALAREZO PABLO SEBASTIAN</t>
        </is>
      </c>
      <c r="C19" s="158" t="n"/>
      <c r="D19" s="159" t="n">
        <v>8.039999999999999</v>
      </c>
      <c r="E19" s="160" t="n">
        <v>7.83</v>
      </c>
      <c r="F19" s="126" t="n">
        <v>7.54</v>
      </c>
      <c r="G19" s="54" t="n">
        <v>8.220000000000001</v>
      </c>
      <c r="H19" s="114" t="n">
        <v>7.95</v>
      </c>
      <c r="I19" s="167" t="n">
        <v>8.1</v>
      </c>
      <c r="J19" s="43" t="n">
        <v>9.130000000000001</v>
      </c>
      <c r="K19" s="168" t="inlineStr">
        <is>
          <t>A-</t>
        </is>
      </c>
      <c r="L19" s="164" t="inlineStr">
        <is>
          <t>A-</t>
        </is>
      </c>
      <c r="M19" s="226" t="inlineStr">
        <is>
          <t>A-</t>
        </is>
      </c>
      <c r="N19" s="47">
        <f>TRUNC(AVERAGE(D19:J19),2)</f>
        <v/>
      </c>
      <c r="O19" s="165" t="inlineStr">
        <is>
          <t>S</t>
        </is>
      </c>
      <c r="P19" s="77" t="inlineStr">
        <is>
          <t>PROMOVIDO</t>
        </is>
      </c>
    </row>
    <row r="20" ht="15" customHeight="1" s="254">
      <c r="A20" s="75" t="n">
        <v>13</v>
      </c>
      <c r="B20" s="157" t="inlineStr">
        <is>
          <t>BUENO CORTE JESSICA ELIZABETH</t>
        </is>
      </c>
      <c r="C20" s="158" t="n"/>
      <c r="D20" s="159" t="n">
        <v>9.300000000000001</v>
      </c>
      <c r="E20" s="160" t="n">
        <v>9.57</v>
      </c>
      <c r="F20" s="126" t="n">
        <v>9.01</v>
      </c>
      <c r="G20" s="54" t="n">
        <v>9.26</v>
      </c>
      <c r="H20" s="172" t="n">
        <v>9.32</v>
      </c>
      <c r="I20" s="167" t="n">
        <v>9.42</v>
      </c>
      <c r="J20" s="43" t="n">
        <v>9.890000000000001</v>
      </c>
      <c r="K20" s="168" t="inlineStr">
        <is>
          <t>A+</t>
        </is>
      </c>
      <c r="L20" s="164" t="inlineStr">
        <is>
          <t>A+</t>
        </is>
      </c>
      <c r="M20" s="226" t="inlineStr">
        <is>
          <t>A+</t>
        </is>
      </c>
      <c r="N20" s="47">
        <f>TRUNC(AVERAGE(D20:J20),2)</f>
        <v/>
      </c>
      <c r="O20" s="165" t="inlineStr">
        <is>
          <t>S</t>
        </is>
      </c>
      <c r="P20" s="77" t="inlineStr">
        <is>
          <t>PROMOVIDO</t>
        </is>
      </c>
    </row>
    <row r="21" ht="15" customHeight="1" s="254">
      <c r="A21" s="75" t="n">
        <v>14</v>
      </c>
      <c r="B21" s="157" t="inlineStr">
        <is>
          <t>CALDERON URDANIGO MARIA FERNANDA</t>
        </is>
      </c>
      <c r="C21" s="158" t="n"/>
      <c r="D21" s="159" t="n">
        <v>8.890000000000001</v>
      </c>
      <c r="E21" s="160" t="n">
        <v>8.949999999999999</v>
      </c>
      <c r="F21" s="126" t="n">
        <v>7.9</v>
      </c>
      <c r="G21" s="54" t="n">
        <v>8.49</v>
      </c>
      <c r="H21" s="172" t="n">
        <v>8.31</v>
      </c>
      <c r="I21" s="167" t="n">
        <v>8.630000000000001</v>
      </c>
      <c r="J21" s="43" t="n">
        <v>8.970000000000001</v>
      </c>
      <c r="K21" s="168" t="inlineStr">
        <is>
          <t>A-</t>
        </is>
      </c>
      <c r="L21" s="164" t="inlineStr">
        <is>
          <t>A-</t>
        </is>
      </c>
      <c r="M21" s="226" t="inlineStr">
        <is>
          <t>A-</t>
        </is>
      </c>
      <c r="N21" s="47">
        <f>TRUNC(AVERAGE(D21:J21),2)</f>
        <v/>
      </c>
      <c r="O21" s="165" t="inlineStr">
        <is>
          <t>S</t>
        </is>
      </c>
      <c r="P21" s="77" t="inlineStr">
        <is>
          <t>PROMOVIDO</t>
        </is>
      </c>
    </row>
    <row r="22" ht="15" customHeight="1" s="254">
      <c r="A22" s="75" t="n">
        <v>15</v>
      </c>
      <c r="B22" s="157" t="inlineStr">
        <is>
          <t>CHISAGUANO QUINDI MICHAEL GEOVANNY</t>
        </is>
      </c>
      <c r="C22" s="158" t="n"/>
      <c r="D22" s="159" t="n">
        <v>7.52</v>
      </c>
      <c r="E22" s="160" t="n">
        <v>7.73</v>
      </c>
      <c r="F22" s="126" t="n">
        <v>7</v>
      </c>
      <c r="G22" s="54" t="n">
        <v>7</v>
      </c>
      <c r="H22" s="172" t="n">
        <v>7</v>
      </c>
      <c r="I22" s="167" t="n">
        <v>7.8</v>
      </c>
      <c r="J22" s="43" t="n">
        <v>7</v>
      </c>
      <c r="K22" s="168" t="inlineStr">
        <is>
          <t>B+</t>
        </is>
      </c>
      <c r="L22" s="164" t="inlineStr">
        <is>
          <t>B-</t>
        </is>
      </c>
      <c r="M22" s="226" t="inlineStr">
        <is>
          <t>C+</t>
        </is>
      </c>
      <c r="N22" s="47">
        <f>TRUNC(AVERAGE(D22:J22),2)</f>
        <v/>
      </c>
      <c r="O22" s="165" t="inlineStr">
        <is>
          <t>O</t>
        </is>
      </c>
      <c r="P22" s="173" t="inlineStr">
        <is>
          <t>NO PROMOVIDO</t>
        </is>
      </c>
    </row>
    <row r="23" ht="15" customHeight="1" s="254">
      <c r="A23" s="75" t="n">
        <v>16</v>
      </c>
      <c r="B23" s="157" t="inlineStr">
        <is>
          <t>CHUCARALAO ZUMBA KARELY STEPHANIA</t>
        </is>
      </c>
      <c r="C23" s="158" t="n"/>
      <c r="D23" s="159" t="n">
        <v>8.9</v>
      </c>
      <c r="E23" s="160" t="n">
        <v>8.83</v>
      </c>
      <c r="F23" s="126" t="n">
        <v>8.15</v>
      </c>
      <c r="G23" s="54" t="n">
        <v>8.31</v>
      </c>
      <c r="H23" s="172" t="n">
        <v>8.49</v>
      </c>
      <c r="I23" s="167" t="n">
        <v>8.220000000000001</v>
      </c>
      <c r="J23" s="43" t="n">
        <v>8.59</v>
      </c>
      <c r="K23" s="168" t="inlineStr">
        <is>
          <t>A-</t>
        </is>
      </c>
      <c r="L23" s="164" t="inlineStr">
        <is>
          <t>A-</t>
        </is>
      </c>
      <c r="M23" s="226" t="inlineStr">
        <is>
          <t>A-</t>
        </is>
      </c>
      <c r="N23" s="47">
        <f>TRUNC(AVERAGE(D23:J23),2)</f>
        <v/>
      </c>
      <c r="O23" s="165" t="inlineStr">
        <is>
          <t>S</t>
        </is>
      </c>
      <c r="P23" s="77" t="inlineStr">
        <is>
          <t>PROMOVIDO</t>
        </is>
      </c>
    </row>
    <row r="24" ht="15" customHeight="1" s="254">
      <c r="A24" s="75" t="n">
        <v>17</v>
      </c>
      <c r="B24" s="157" t="inlineStr">
        <is>
          <t>CHUÑIR NAREA LUYZIANA VICTORIA</t>
        </is>
      </c>
      <c r="C24" s="158" t="n"/>
      <c r="D24" s="159" t="n">
        <v>9.699999999999999</v>
      </c>
      <c r="E24" s="160" t="n">
        <v>9.800000000000001</v>
      </c>
      <c r="F24" s="126" t="n">
        <v>9.99</v>
      </c>
      <c r="G24" s="54" t="n">
        <v>9.81</v>
      </c>
      <c r="H24" s="172" t="n">
        <v>9.960000000000001</v>
      </c>
      <c r="I24" s="167" t="n">
        <v>9.99</v>
      </c>
      <c r="J24" s="43" t="n">
        <v>9.99</v>
      </c>
      <c r="K24" s="168" t="inlineStr">
        <is>
          <t>A+</t>
        </is>
      </c>
      <c r="L24" s="164" t="inlineStr">
        <is>
          <t>A+</t>
        </is>
      </c>
      <c r="M24" s="226" t="inlineStr">
        <is>
          <t>A+</t>
        </is>
      </c>
      <c r="N24" s="47">
        <f>TRUNC(AVERAGE(D24:J24),2)</f>
        <v/>
      </c>
      <c r="O24" s="165" t="inlineStr">
        <is>
          <t>S</t>
        </is>
      </c>
      <c r="P24" s="77" t="inlineStr">
        <is>
          <t>PROMOVIDO</t>
        </is>
      </c>
    </row>
    <row r="25" ht="15" customHeight="1" s="254">
      <c r="A25" s="75" t="n">
        <v>18</v>
      </c>
      <c r="B25" s="291" t="inlineStr">
        <is>
          <t>CHUVA LLANOS RONALD ALEXANDER</t>
        </is>
      </c>
      <c r="C25" s="158" t="n"/>
      <c r="D25" s="159" t="n">
        <v>7.4</v>
      </c>
      <c r="E25" s="160" t="n">
        <v>7</v>
      </c>
      <c r="F25" s="126" t="n">
        <v>7</v>
      </c>
      <c r="G25" s="54" t="n">
        <v>7</v>
      </c>
      <c r="H25" s="166" t="n">
        <v>7.28</v>
      </c>
      <c r="I25" s="261" t="n">
        <v>7.65</v>
      </c>
      <c r="J25" s="43" t="n">
        <v>7.94</v>
      </c>
      <c r="K25" s="168" t="inlineStr">
        <is>
          <t>B+</t>
        </is>
      </c>
      <c r="L25" s="164" t="inlineStr">
        <is>
          <t>B+</t>
        </is>
      </c>
      <c r="M25" s="226" t="inlineStr">
        <is>
          <t>B+</t>
        </is>
      </c>
      <c r="N25" s="287">
        <f>TRUNC(AVERAGE(D25:J25),2)</f>
        <v/>
      </c>
      <c r="O25" s="165" t="inlineStr">
        <is>
          <t>O</t>
        </is>
      </c>
      <c r="P25" s="173" t="inlineStr">
        <is>
          <t>NO PROMOVIDO</t>
        </is>
      </c>
    </row>
    <row r="26" ht="15" customHeight="1" s="254">
      <c r="A26" s="75" t="n">
        <v>19</v>
      </c>
      <c r="B26" s="157" t="inlineStr">
        <is>
          <t>CORONEL GALARZA MELANY YAJAIRA</t>
        </is>
      </c>
      <c r="C26" s="158" t="n"/>
      <c r="D26" s="159" t="n">
        <v>9</v>
      </c>
      <c r="E26" s="160" t="n">
        <v>9.050000000000001</v>
      </c>
      <c r="F26" s="126" t="n">
        <v>8.56</v>
      </c>
      <c r="G26" s="54" t="n">
        <v>8.890000000000001</v>
      </c>
      <c r="H26" s="174" t="n">
        <v>8.93</v>
      </c>
      <c r="I26" s="167" t="n">
        <v>8.73</v>
      </c>
      <c r="J26" s="43" t="n">
        <v>9.43</v>
      </c>
      <c r="K26" s="168" t="inlineStr">
        <is>
          <t>A-</t>
        </is>
      </c>
      <c r="L26" s="164" t="inlineStr">
        <is>
          <t>A+</t>
        </is>
      </c>
      <c r="M26" s="226" t="inlineStr">
        <is>
          <t>A+</t>
        </is>
      </c>
      <c r="N26" s="47">
        <f>TRUNC(AVERAGE(D26:J26),2)</f>
        <v/>
      </c>
      <c r="O26" s="165" t="inlineStr">
        <is>
          <t>S</t>
        </is>
      </c>
      <c r="P26" s="77" t="inlineStr">
        <is>
          <t>PROMOVIDO</t>
        </is>
      </c>
    </row>
    <row r="27" ht="15" customHeight="1" s="254">
      <c r="A27" s="75" t="n">
        <v>20</v>
      </c>
      <c r="B27" s="157" t="inlineStr">
        <is>
          <t>DUMANAULA ÑAUTA ANA DOMENICA</t>
        </is>
      </c>
      <c r="C27" s="158" t="n"/>
      <c r="D27" s="159" t="n">
        <v>8.5</v>
      </c>
      <c r="E27" s="160" t="n">
        <v>8.73</v>
      </c>
      <c r="F27" s="126" t="n">
        <v>8.16</v>
      </c>
      <c r="G27" s="54" t="n">
        <v>8.48</v>
      </c>
      <c r="H27" s="172" t="n">
        <v>8.17</v>
      </c>
      <c r="I27" s="167" t="n">
        <v>8.15</v>
      </c>
      <c r="J27" s="43" t="n">
        <v>9.529999999999999</v>
      </c>
      <c r="K27" s="168" t="inlineStr">
        <is>
          <t>B+</t>
        </is>
      </c>
      <c r="L27" s="164" t="inlineStr">
        <is>
          <t>A-</t>
        </is>
      </c>
      <c r="M27" s="226" t="inlineStr">
        <is>
          <t>A+</t>
        </is>
      </c>
      <c r="N27" s="47">
        <f>TRUNC(AVERAGE(D27:J27),2)</f>
        <v/>
      </c>
      <c r="O27" s="165" t="inlineStr">
        <is>
          <t>S</t>
        </is>
      </c>
      <c r="P27" s="77" t="inlineStr">
        <is>
          <t>PROMOVIDO</t>
        </is>
      </c>
    </row>
    <row r="28" ht="15" customHeight="1" s="254">
      <c r="A28" s="75" t="n">
        <v>21</v>
      </c>
      <c r="B28" s="157" t="inlineStr">
        <is>
          <t>FAJARDO JADAN CRISTIAN OSWALDO</t>
        </is>
      </c>
      <c r="C28" s="158" t="n"/>
      <c r="D28" s="159" t="n">
        <v>7.54</v>
      </c>
      <c r="E28" s="160" t="n">
        <v>7.02</v>
      </c>
      <c r="F28" s="126" t="n">
        <v>7.01</v>
      </c>
      <c r="G28" s="54" t="n">
        <v>7.33</v>
      </c>
      <c r="H28" s="175" t="n">
        <v>7.25</v>
      </c>
      <c r="I28" s="167" t="n">
        <v>7.9</v>
      </c>
      <c r="J28" s="43" t="n">
        <v>8.48</v>
      </c>
      <c r="K28" s="168" t="inlineStr">
        <is>
          <t>B+</t>
        </is>
      </c>
      <c r="L28" s="164" t="inlineStr">
        <is>
          <t>B+</t>
        </is>
      </c>
      <c r="M28" s="226" t="inlineStr">
        <is>
          <t>A-</t>
        </is>
      </c>
      <c r="N28" s="47">
        <f>TRUNC(AVERAGE(D28:J28),2)</f>
        <v/>
      </c>
      <c r="O28" s="165" t="inlineStr">
        <is>
          <t>S</t>
        </is>
      </c>
      <c r="P28" s="77" t="inlineStr">
        <is>
          <t>PROMOVIDO</t>
        </is>
      </c>
    </row>
    <row r="29" ht="13.5" customHeight="1" s="254">
      <c r="A29" s="75" t="n">
        <v>22</v>
      </c>
      <c r="B29" s="157" t="inlineStr">
        <is>
          <t>GARCIA CAIVINAGUA ADRIAN SANTIAGO</t>
        </is>
      </c>
      <c r="C29" s="158" t="n"/>
      <c r="D29" s="159" t="n">
        <v>9.15</v>
      </c>
      <c r="E29" s="160" t="n">
        <v>9.210000000000001</v>
      </c>
      <c r="F29" s="126" t="n">
        <v>9.25</v>
      </c>
      <c r="G29" s="54" t="n">
        <v>8.630000000000001</v>
      </c>
      <c r="H29" s="175" t="n">
        <v>8.970000000000001</v>
      </c>
      <c r="I29" s="167" t="n">
        <v>8.779999999999999</v>
      </c>
      <c r="J29" s="43" t="n">
        <v>8.890000000000001</v>
      </c>
      <c r="K29" s="168" t="inlineStr">
        <is>
          <t>B+</t>
        </is>
      </c>
      <c r="L29" s="164" t="inlineStr">
        <is>
          <t>A-</t>
        </is>
      </c>
      <c r="M29" s="226" t="inlineStr">
        <is>
          <t>A-</t>
        </is>
      </c>
      <c r="N29" s="47">
        <f>TRUNC(AVERAGE(D29:J29),2)</f>
        <v/>
      </c>
      <c r="O29" s="165" t="inlineStr">
        <is>
          <t>S</t>
        </is>
      </c>
      <c r="P29" s="77" t="inlineStr">
        <is>
          <t>PROMOVIDO</t>
        </is>
      </c>
    </row>
    <row r="30" ht="15" customHeight="1" s="254">
      <c r="A30" s="75" t="n">
        <v>23</v>
      </c>
      <c r="B30" s="157" t="inlineStr">
        <is>
          <t>GUAYARA BARRETO WILLIAM GABRIEL</t>
        </is>
      </c>
      <c r="C30" s="158" t="n"/>
      <c r="D30" s="159" t="n">
        <v>7.75</v>
      </c>
      <c r="E30" s="160" t="n">
        <v>7.45</v>
      </c>
      <c r="F30" s="126" t="n">
        <v>7.36</v>
      </c>
      <c r="G30" s="54" t="n">
        <v>7.91</v>
      </c>
      <c r="H30" s="172" t="n">
        <v>7.32</v>
      </c>
      <c r="I30" s="176" t="n">
        <v>7.5</v>
      </c>
      <c r="J30" s="43" t="n">
        <v>8.59</v>
      </c>
      <c r="K30" s="168" t="inlineStr">
        <is>
          <t>B+</t>
        </is>
      </c>
      <c r="L30" s="164" t="inlineStr">
        <is>
          <t>A-</t>
        </is>
      </c>
      <c r="M30" s="226" t="inlineStr">
        <is>
          <t>A-</t>
        </is>
      </c>
      <c r="N30" s="47">
        <f>TRUNC(AVERAGE(D30:J30),2)</f>
        <v/>
      </c>
      <c r="O30" s="165" t="inlineStr">
        <is>
          <t>S</t>
        </is>
      </c>
      <c r="P30" s="77" t="inlineStr">
        <is>
          <t>PROMOVIDO</t>
        </is>
      </c>
    </row>
    <row r="31" ht="13.5" customHeight="1" s="254">
      <c r="A31" s="75" t="n">
        <v>24</v>
      </c>
      <c r="B31" s="157" t="inlineStr">
        <is>
          <t>ILLESCAS AVILA MAGABY ANAI</t>
        </is>
      </c>
      <c r="C31" s="158" t="n"/>
      <c r="D31" s="159" t="n">
        <v>7.7</v>
      </c>
      <c r="E31" s="160" t="n">
        <v>7.54</v>
      </c>
      <c r="F31" s="126" t="n">
        <v>7</v>
      </c>
      <c r="G31" s="54" t="n">
        <v>7.57</v>
      </c>
      <c r="H31" s="172" t="n">
        <v>7.09</v>
      </c>
      <c r="I31" s="176" t="n">
        <v>7.62</v>
      </c>
      <c r="J31" s="43" t="n">
        <v>7.38</v>
      </c>
      <c r="K31" s="168" t="inlineStr">
        <is>
          <t>B+</t>
        </is>
      </c>
      <c r="L31" s="164" t="inlineStr">
        <is>
          <t>B+</t>
        </is>
      </c>
      <c r="M31" s="226" t="inlineStr">
        <is>
          <t>B+</t>
        </is>
      </c>
      <c r="N31" s="47">
        <f>TRUNC(AVERAGE(D31:J31),2)</f>
        <v/>
      </c>
      <c r="O31" s="165" t="inlineStr">
        <is>
          <t>F</t>
        </is>
      </c>
      <c r="P31" s="77" t="inlineStr">
        <is>
          <t>PROMOVIDO</t>
        </is>
      </c>
    </row>
    <row r="32" ht="15" customHeight="1" s="254">
      <c r="A32" s="75" t="n">
        <v>25</v>
      </c>
      <c r="B32" s="157" t="inlineStr">
        <is>
          <t>LALANGUI NARANJO JEIMI MARISOL</t>
        </is>
      </c>
      <c r="C32" s="158" t="n"/>
      <c r="D32" s="159" t="n">
        <v>8.99</v>
      </c>
      <c r="E32" s="160" t="n">
        <v>8.76</v>
      </c>
      <c r="F32" s="126" t="n">
        <v>8.539999999999999</v>
      </c>
      <c r="G32" s="54" t="n">
        <v>8.98</v>
      </c>
      <c r="H32" s="175" t="n">
        <v>8.57</v>
      </c>
      <c r="I32" s="176" t="n">
        <v>8.57</v>
      </c>
      <c r="J32" s="43" t="n">
        <v>9.33</v>
      </c>
      <c r="K32" s="168" t="inlineStr">
        <is>
          <t>A+</t>
        </is>
      </c>
      <c r="L32" s="164" t="inlineStr">
        <is>
          <t>A+</t>
        </is>
      </c>
      <c r="M32" s="226" t="inlineStr">
        <is>
          <t>A+</t>
        </is>
      </c>
      <c r="N32" s="47">
        <f>TRUNC(AVERAGE(D32:J32),2)</f>
        <v/>
      </c>
      <c r="O32" s="165" t="inlineStr">
        <is>
          <t>S</t>
        </is>
      </c>
      <c r="P32" s="77" t="inlineStr">
        <is>
          <t>PROMOVIDO</t>
        </is>
      </c>
    </row>
    <row r="33" ht="15" customHeight="1" s="254">
      <c r="A33" s="75" t="n">
        <v>26</v>
      </c>
      <c r="B33" s="157" t="inlineStr">
        <is>
          <t>LEON AQUINO ANGHELY DAIANNA</t>
        </is>
      </c>
      <c r="C33" s="158" t="n"/>
      <c r="D33" s="159" t="n">
        <v>8.529999999999999</v>
      </c>
      <c r="E33" s="160" t="n">
        <v>7.82</v>
      </c>
      <c r="F33" s="126" t="n">
        <v>7.22</v>
      </c>
      <c r="G33" s="54" t="n">
        <v>7.07</v>
      </c>
      <c r="H33" s="172" t="n">
        <v>9.359999999999999</v>
      </c>
      <c r="I33" s="176" t="n">
        <v>8.57</v>
      </c>
      <c r="J33" s="43" t="n">
        <v>9.34</v>
      </c>
      <c r="K33" s="168" t="inlineStr">
        <is>
          <t>B+</t>
        </is>
      </c>
      <c r="L33" s="164" t="inlineStr">
        <is>
          <t>A-</t>
        </is>
      </c>
      <c r="M33" s="226" t="inlineStr">
        <is>
          <t>A+</t>
        </is>
      </c>
      <c r="N33" s="47">
        <f>TRUNC(AVERAGE(D33:J33),2)</f>
        <v/>
      </c>
      <c r="O33" s="165" t="inlineStr">
        <is>
          <t>S</t>
        </is>
      </c>
      <c r="P33" s="77" t="inlineStr">
        <is>
          <t>PROMOVIDO</t>
        </is>
      </c>
    </row>
    <row r="34" ht="15" customHeight="1" s="254">
      <c r="A34" s="75" t="n">
        <v>27</v>
      </c>
      <c r="B34" s="157" t="inlineStr">
        <is>
          <t>LOPEZ DELGADO DANNY LEONEL</t>
        </is>
      </c>
      <c r="C34" s="158" t="n"/>
      <c r="D34" s="159" t="n">
        <v>7.54</v>
      </c>
      <c r="E34" s="160" t="n">
        <v>7</v>
      </c>
      <c r="F34" s="126" t="n">
        <v>7</v>
      </c>
      <c r="G34" s="54" t="n">
        <v>7</v>
      </c>
      <c r="H34" s="172" t="n">
        <v>7.26</v>
      </c>
      <c r="I34" s="176" t="n">
        <v>7.22</v>
      </c>
      <c r="J34" s="43" t="n">
        <v>8.550000000000001</v>
      </c>
      <c r="K34" s="168" t="inlineStr">
        <is>
          <t>B+</t>
        </is>
      </c>
      <c r="L34" s="164" t="inlineStr">
        <is>
          <t>B+</t>
        </is>
      </c>
      <c r="M34" s="226" t="inlineStr">
        <is>
          <t>A-</t>
        </is>
      </c>
      <c r="N34" s="47">
        <f>TRUNC(AVERAGE(D34:J34),2)</f>
        <v/>
      </c>
      <c r="O34" s="165" t="inlineStr">
        <is>
          <t>S</t>
        </is>
      </c>
      <c r="P34" s="77" t="inlineStr">
        <is>
          <t>PROMOVIDO</t>
        </is>
      </c>
    </row>
    <row r="35" ht="15" customHeight="1" s="254">
      <c r="A35" s="75" t="n">
        <v>28</v>
      </c>
      <c r="B35" s="157" t="inlineStr">
        <is>
          <t>OLAYA GRANDA MIGUEL ANGEL</t>
        </is>
      </c>
      <c r="C35" s="158" t="n"/>
      <c r="D35" s="159" t="n">
        <v>8.35</v>
      </c>
      <c r="E35" s="160" t="n">
        <v>7.62</v>
      </c>
      <c r="F35" s="126" t="n">
        <v>8.1</v>
      </c>
      <c r="G35" s="54" t="n">
        <v>8.039999999999999</v>
      </c>
      <c r="H35" s="172" t="n">
        <v>8.050000000000001</v>
      </c>
      <c r="I35" s="176" t="n">
        <v>8.369999999999999</v>
      </c>
      <c r="J35" s="43" t="n">
        <v>8.52</v>
      </c>
      <c r="K35" s="168" t="inlineStr">
        <is>
          <t>A-</t>
        </is>
      </c>
      <c r="L35" s="164" t="inlineStr">
        <is>
          <t>A-</t>
        </is>
      </c>
      <c r="M35" s="226" t="inlineStr">
        <is>
          <t>A-</t>
        </is>
      </c>
      <c r="N35" s="47">
        <f>TRUNC(AVERAGE(D35:J35),2)</f>
        <v/>
      </c>
      <c r="O35" s="165" t="inlineStr">
        <is>
          <t>S</t>
        </is>
      </c>
      <c r="P35" s="77" t="inlineStr">
        <is>
          <t>PROMOVIDO</t>
        </is>
      </c>
    </row>
    <row r="36" ht="15" customHeight="1" s="254">
      <c r="A36" s="75" t="n">
        <v>29</v>
      </c>
      <c r="B36" s="157" t="inlineStr">
        <is>
          <t>OLAYA PINTADO AMBAR DANELLE</t>
        </is>
      </c>
      <c r="C36" s="158" t="n"/>
      <c r="D36" s="159" t="n">
        <v>8.73</v>
      </c>
      <c r="E36" s="160" t="n">
        <v>8.390000000000001</v>
      </c>
      <c r="F36" s="126" t="n">
        <v>8.369999999999999</v>
      </c>
      <c r="G36" s="54" t="n">
        <v>8.82</v>
      </c>
      <c r="H36" s="172" t="n">
        <v>8</v>
      </c>
      <c r="I36" s="176" t="n">
        <v>8.119999999999999</v>
      </c>
      <c r="J36" s="43" t="n">
        <v>8.9</v>
      </c>
      <c r="K36" s="168" t="inlineStr">
        <is>
          <t>A-</t>
        </is>
      </c>
      <c r="L36" s="164" t="inlineStr">
        <is>
          <t>A-</t>
        </is>
      </c>
      <c r="M36" s="226" t="inlineStr">
        <is>
          <t>A-</t>
        </is>
      </c>
      <c r="N36" s="47">
        <f>TRUNC(AVERAGE(D36:J36),2)</f>
        <v/>
      </c>
      <c r="O36" s="165" t="inlineStr">
        <is>
          <t>S</t>
        </is>
      </c>
      <c r="P36" s="77" t="inlineStr">
        <is>
          <t>PROMOVIDO</t>
        </is>
      </c>
    </row>
    <row r="37" ht="15" customHeight="1" s="254">
      <c r="A37" s="75" t="n">
        <v>30</v>
      </c>
      <c r="B37" s="157" t="inlineStr">
        <is>
          <t>PEÑAFIEL VELECELA NATALY PAMELA</t>
        </is>
      </c>
      <c r="C37" s="158" t="n"/>
      <c r="D37" s="159" t="n">
        <v>9.890000000000001</v>
      </c>
      <c r="E37" s="160" t="n">
        <v>9.83</v>
      </c>
      <c r="F37" s="126" t="n">
        <v>9.789999999999999</v>
      </c>
      <c r="G37" s="54" t="n">
        <v>9.949999999999999</v>
      </c>
      <c r="H37" s="172" t="n">
        <v>9.81</v>
      </c>
      <c r="I37" s="176" t="n">
        <v>10</v>
      </c>
      <c r="J37" s="43" t="n">
        <v>10</v>
      </c>
      <c r="K37" s="168" t="inlineStr">
        <is>
          <t>A+</t>
        </is>
      </c>
      <c r="L37" s="164" t="inlineStr">
        <is>
          <t>A+</t>
        </is>
      </c>
      <c r="M37" s="226" t="inlineStr">
        <is>
          <t>A+</t>
        </is>
      </c>
      <c r="N37" s="47">
        <f>TRUNC(AVERAGE(D37:J37),2)</f>
        <v/>
      </c>
      <c r="O37" s="165" t="inlineStr">
        <is>
          <t>S</t>
        </is>
      </c>
      <c r="P37" s="77" t="inlineStr">
        <is>
          <t>PROMOVIDO</t>
        </is>
      </c>
    </row>
    <row r="38" ht="15" customHeight="1" s="254">
      <c r="A38" s="75" t="n">
        <v>31</v>
      </c>
      <c r="B38" s="157" t="inlineStr">
        <is>
          <t>PIÑA BONETE BRYAN ISMAEL</t>
        </is>
      </c>
      <c r="C38" s="158" t="n"/>
      <c r="D38" s="159" t="n">
        <v>8.16</v>
      </c>
      <c r="E38" s="160" t="n">
        <v>8.039999999999999</v>
      </c>
      <c r="F38" s="126" t="n">
        <v>7.17</v>
      </c>
      <c r="G38" s="54" t="n">
        <v>8.199999999999999</v>
      </c>
      <c r="H38" s="172" t="n">
        <v>7.68</v>
      </c>
      <c r="I38" s="176" t="n">
        <v>8.109999999999999</v>
      </c>
      <c r="J38" s="177" t="n">
        <v>8.98</v>
      </c>
      <c r="K38" s="168" t="inlineStr">
        <is>
          <t>A-</t>
        </is>
      </c>
      <c r="L38" s="164" t="inlineStr">
        <is>
          <t>A-</t>
        </is>
      </c>
      <c r="M38" s="226" t="inlineStr">
        <is>
          <t>A-</t>
        </is>
      </c>
      <c r="N38" s="47">
        <f>TRUNC(AVERAGE(D38:J38),2)</f>
        <v/>
      </c>
      <c r="O38" s="165" t="inlineStr">
        <is>
          <t>S</t>
        </is>
      </c>
      <c r="P38" s="77" t="inlineStr">
        <is>
          <t>PROMOVIDO</t>
        </is>
      </c>
    </row>
    <row r="39" ht="15" customHeight="1" s="254">
      <c r="A39" s="75" t="n">
        <v>32</v>
      </c>
      <c r="B39" s="157" t="inlineStr">
        <is>
          <t>RODRIGUEZ SARMIENTO TATIANA JHOMAYRA</t>
        </is>
      </c>
      <c r="C39" s="158" t="n"/>
      <c r="D39" s="159" t="n">
        <v>9.4</v>
      </c>
      <c r="E39" s="160" t="n">
        <v>8.84</v>
      </c>
      <c r="F39" s="126" t="n">
        <v>8.859999999999999</v>
      </c>
      <c r="G39" s="54" t="n">
        <v>9.289999999999999</v>
      </c>
      <c r="H39" s="172" t="n">
        <v>9.41</v>
      </c>
      <c r="I39" s="176" t="n">
        <v>9.27</v>
      </c>
      <c r="J39" s="43" t="n">
        <v>9.98</v>
      </c>
      <c r="K39" s="168" t="inlineStr">
        <is>
          <t>A+</t>
        </is>
      </c>
      <c r="L39" s="164" t="inlineStr">
        <is>
          <t>A+</t>
        </is>
      </c>
      <c r="M39" s="226" t="inlineStr">
        <is>
          <t>A+</t>
        </is>
      </c>
      <c r="N39" s="47">
        <f>TRUNC(AVERAGE(D39:J39),2)</f>
        <v/>
      </c>
      <c r="O39" s="165" t="inlineStr">
        <is>
          <t>S</t>
        </is>
      </c>
      <c r="P39" s="77" t="inlineStr">
        <is>
          <t>PROMOVIDO</t>
        </is>
      </c>
    </row>
    <row r="40" ht="15" customHeight="1" s="254">
      <c r="A40" s="75" t="n">
        <v>33</v>
      </c>
      <c r="B40" s="157" t="inlineStr">
        <is>
          <t>SIMBAÑA CABRERA BIANCA ALEJANDRA</t>
        </is>
      </c>
      <c r="C40" s="158" t="n"/>
      <c r="D40" s="159" t="n">
        <v>7.85</v>
      </c>
      <c r="E40" s="160" t="n">
        <v>7.22</v>
      </c>
      <c r="F40" s="126" t="n">
        <v>7.28</v>
      </c>
      <c r="G40" s="54" t="n">
        <v>7.65</v>
      </c>
      <c r="H40" s="172" t="n">
        <v>7.36</v>
      </c>
      <c r="I40" s="176" t="n">
        <v>7.75</v>
      </c>
      <c r="J40" s="43" t="n">
        <v>8.24</v>
      </c>
      <c r="K40" s="168" t="inlineStr">
        <is>
          <t>B+</t>
        </is>
      </c>
      <c r="L40" s="164" t="inlineStr">
        <is>
          <t>B+</t>
        </is>
      </c>
      <c r="M40" s="226" t="inlineStr">
        <is>
          <t>A-</t>
        </is>
      </c>
      <c r="N40" s="47">
        <f>TRUNC(AVERAGE(D40:J40),2)</f>
        <v/>
      </c>
      <c r="O40" s="165" t="inlineStr">
        <is>
          <t>S</t>
        </is>
      </c>
      <c r="P40" s="77" t="inlineStr">
        <is>
          <t>PROMOVIDO</t>
        </is>
      </c>
    </row>
    <row r="41" ht="15" customHeight="1" s="254">
      <c r="A41" s="75" t="n">
        <v>34</v>
      </c>
      <c r="B41" s="157" t="inlineStr">
        <is>
          <t>SINCHI GARCIA ALEXIS JOEL</t>
        </is>
      </c>
      <c r="C41" s="158" t="n"/>
      <c r="D41" s="159" t="n">
        <v>8.869999999999999</v>
      </c>
      <c r="E41" s="160" t="n">
        <v>8.98</v>
      </c>
      <c r="F41" s="126" t="n">
        <v>7.85</v>
      </c>
      <c r="G41" s="54" t="n">
        <v>9.380000000000001</v>
      </c>
      <c r="H41" s="172" t="n">
        <v>8.84</v>
      </c>
      <c r="I41" s="176" t="n">
        <v>8.119999999999999</v>
      </c>
      <c r="J41" s="43" t="n">
        <v>9.130000000000001</v>
      </c>
      <c r="K41" s="168" t="inlineStr">
        <is>
          <t>A-</t>
        </is>
      </c>
      <c r="L41" s="164" t="inlineStr">
        <is>
          <t>A-</t>
        </is>
      </c>
      <c r="M41" s="226" t="inlineStr">
        <is>
          <t>A+</t>
        </is>
      </c>
      <c r="N41" s="47">
        <f>TRUNC(AVERAGE(D41:J41),2)</f>
        <v/>
      </c>
      <c r="O41" s="165" t="inlineStr">
        <is>
          <t>S</t>
        </is>
      </c>
      <c r="P41" s="77" t="inlineStr">
        <is>
          <t>PROMOVIDO</t>
        </is>
      </c>
    </row>
    <row r="42" ht="13.5" customHeight="1" s="254">
      <c r="A42" s="75" t="n">
        <v>35</v>
      </c>
      <c r="B42" s="157" t="inlineStr">
        <is>
          <t>TAMAYO SIAVICHAY EMILY ALEJANDRA</t>
        </is>
      </c>
      <c r="C42" s="158" t="n"/>
      <c r="D42" s="159" t="n">
        <v>9.51</v>
      </c>
      <c r="E42" s="160" t="n">
        <v>9.460000000000001</v>
      </c>
      <c r="F42" s="126" t="n">
        <v>8.98</v>
      </c>
      <c r="G42" s="54" t="n">
        <v>9.73</v>
      </c>
      <c r="H42" s="172" t="n">
        <v>8.84</v>
      </c>
      <c r="I42" s="176" t="n">
        <v>9.18</v>
      </c>
      <c r="J42" s="43" t="n">
        <v>9.48</v>
      </c>
      <c r="K42" s="168" t="inlineStr">
        <is>
          <t>A+</t>
        </is>
      </c>
      <c r="L42" s="164" t="inlineStr">
        <is>
          <t>A+</t>
        </is>
      </c>
      <c r="M42" s="226" t="inlineStr">
        <is>
          <t>A+</t>
        </is>
      </c>
      <c r="N42" s="47">
        <f>TRUNC(AVERAGE(D42:J42),2)</f>
        <v/>
      </c>
      <c r="O42" s="165" t="inlineStr">
        <is>
          <t>S</t>
        </is>
      </c>
      <c r="P42" s="77" t="inlineStr">
        <is>
          <t>PROMOVIDO</t>
        </is>
      </c>
    </row>
    <row r="43" ht="15" customHeight="1" s="254">
      <c r="A43" s="75" t="n">
        <v>36</v>
      </c>
      <c r="B43" s="157" t="inlineStr">
        <is>
          <t>TORRES LATA ADRIANA JAZU</t>
        </is>
      </c>
      <c r="C43" s="158" t="n"/>
      <c r="D43" s="159" t="n">
        <v>8.640000000000001</v>
      </c>
      <c r="E43" s="160" t="n">
        <v>8.18</v>
      </c>
      <c r="F43" s="126" t="n">
        <v>7.89</v>
      </c>
      <c r="G43" s="54" t="n">
        <v>7.82</v>
      </c>
      <c r="H43" s="175" t="n">
        <v>7.5</v>
      </c>
      <c r="I43" s="176" t="n">
        <v>8.51</v>
      </c>
      <c r="J43" s="43" t="n">
        <v>9.390000000000001</v>
      </c>
      <c r="K43" s="168" t="inlineStr">
        <is>
          <t>B+</t>
        </is>
      </c>
      <c r="L43" s="164" t="inlineStr">
        <is>
          <t>A-</t>
        </is>
      </c>
      <c r="M43" s="226" t="inlineStr">
        <is>
          <t>A+</t>
        </is>
      </c>
      <c r="N43" s="47">
        <f>TRUNC(AVERAGE(D43:J43),2)</f>
        <v/>
      </c>
      <c r="O43" s="165" t="inlineStr">
        <is>
          <t>S</t>
        </is>
      </c>
      <c r="P43" s="77" t="inlineStr">
        <is>
          <t>PROMOVIDO</t>
        </is>
      </c>
    </row>
    <row r="44" ht="14.25" customHeight="1" s="254">
      <c r="A44" s="217" t="n">
        <v>37</v>
      </c>
      <c r="B44" s="157" t="inlineStr">
        <is>
          <t>VACA GONZALEZ PAUL GEOVANNY</t>
        </is>
      </c>
      <c r="C44" s="158" t="n"/>
      <c r="D44" s="159" t="n">
        <v>7.54</v>
      </c>
      <c r="E44" s="160" t="n">
        <v>7.01</v>
      </c>
      <c r="F44" s="126" t="n">
        <v>7</v>
      </c>
      <c r="G44" s="54" t="n">
        <v>7</v>
      </c>
      <c r="H44" s="172" t="n">
        <v>7</v>
      </c>
      <c r="I44" s="176" t="n">
        <v>7.53</v>
      </c>
      <c r="J44" s="43" t="n">
        <v>7</v>
      </c>
      <c r="K44" s="168" t="inlineStr">
        <is>
          <t>B-</t>
        </is>
      </c>
      <c r="L44" s="164" t="inlineStr">
        <is>
          <t>B+</t>
        </is>
      </c>
      <c r="M44" s="226" t="inlineStr">
        <is>
          <t>B+</t>
        </is>
      </c>
      <c r="N44" s="47">
        <f>TRUNC(AVERAGE(D44:J44),2)</f>
        <v/>
      </c>
      <c r="O44" s="165" t="inlineStr">
        <is>
          <t>O</t>
        </is>
      </c>
      <c r="P44" s="173" t="inlineStr">
        <is>
          <t>NO PROMOVIDO</t>
        </is>
      </c>
    </row>
    <row r="45" ht="15" customHeight="1" s="254">
      <c r="A45" s="75" t="n">
        <v>38</v>
      </c>
      <c r="B45" s="291" t="inlineStr">
        <is>
          <t>VASQUEZ YUNGA JHOSUE DAMIAN</t>
        </is>
      </c>
      <c r="C45" s="158" t="n"/>
      <c r="D45" s="159" t="n">
        <v>8.17</v>
      </c>
      <c r="E45" s="160" t="n">
        <v>7.39</v>
      </c>
      <c r="F45" s="126" t="n">
        <v>7.29</v>
      </c>
      <c r="G45" s="261" t="n">
        <v>7.16</v>
      </c>
      <c r="H45" s="261" t="n">
        <v>7.1</v>
      </c>
      <c r="I45" s="176" t="n">
        <v>7.76</v>
      </c>
      <c r="J45" s="43" t="n">
        <v>8.33</v>
      </c>
      <c r="K45" s="168" t="inlineStr">
        <is>
          <t>B+</t>
        </is>
      </c>
      <c r="L45" s="164" t="inlineStr">
        <is>
          <t>B+</t>
        </is>
      </c>
      <c r="M45" s="226" t="inlineStr">
        <is>
          <t>B-</t>
        </is>
      </c>
      <c r="N45" s="287">
        <f>TRUNC(AVERAGE(D45:J45),2)</f>
        <v/>
      </c>
      <c r="O45" s="165" t="inlineStr">
        <is>
          <t>O</t>
        </is>
      </c>
      <c r="P45" s="77" t="inlineStr">
        <is>
          <t>PROMOVIDO</t>
        </is>
      </c>
    </row>
    <row r="46" ht="15" customHeight="1" s="254">
      <c r="A46" s="75" t="n">
        <v>39</v>
      </c>
      <c r="B46" s="291" t="inlineStr">
        <is>
          <t>YADAICELA SAICO JHOSTIN MATEO</t>
        </is>
      </c>
      <c r="C46" s="158" t="n"/>
      <c r="D46" s="159" t="n">
        <v>8.960000000000001</v>
      </c>
      <c r="E46" s="160" t="n">
        <v>9.01</v>
      </c>
      <c r="F46" s="126" t="n">
        <v>8.51</v>
      </c>
      <c r="G46" s="261" t="n">
        <v>8.58</v>
      </c>
      <c r="H46" s="172" t="n">
        <v>8.58</v>
      </c>
      <c r="I46" s="176" t="n">
        <v>8.630000000000001</v>
      </c>
      <c r="J46" s="43" t="n">
        <v>8.710000000000001</v>
      </c>
      <c r="K46" s="168" t="inlineStr">
        <is>
          <t>A-</t>
        </is>
      </c>
      <c r="L46" s="164" t="inlineStr">
        <is>
          <t>A-</t>
        </is>
      </c>
      <c r="M46" s="226" t="inlineStr">
        <is>
          <t>A-</t>
        </is>
      </c>
      <c r="N46" s="287">
        <f>TRUNC(AVERAGE(D46:J46),2)</f>
        <v/>
      </c>
      <c r="O46" s="165" t="inlineStr">
        <is>
          <t>S</t>
        </is>
      </c>
      <c r="P46" s="77" t="inlineStr">
        <is>
          <t>PROMOVIDO</t>
        </is>
      </c>
    </row>
    <row r="47" ht="15" customHeight="1" s="254">
      <c r="A47" s="75" t="n">
        <v>40</v>
      </c>
      <c r="B47" s="291" t="inlineStr">
        <is>
          <t>YANZA JARRIN JEFFREY ALBERTO</t>
        </is>
      </c>
      <c r="C47" s="158" t="n"/>
      <c r="D47" s="159" t="n">
        <v>9.039999999999999</v>
      </c>
      <c r="E47" s="160" t="n">
        <v>9.210000000000001</v>
      </c>
      <c r="F47" s="126" t="n">
        <v>7.93</v>
      </c>
      <c r="G47" s="261" t="n">
        <v>9.119999999999999</v>
      </c>
      <c r="H47" s="261" t="n">
        <v>9.07</v>
      </c>
      <c r="I47" s="180" t="n">
        <v>8.800000000000001</v>
      </c>
      <c r="J47" s="43" t="n">
        <v>9.32</v>
      </c>
      <c r="K47" s="179" t="inlineStr">
        <is>
          <t>A-</t>
        </is>
      </c>
      <c r="L47" s="164" t="inlineStr">
        <is>
          <t>A-</t>
        </is>
      </c>
      <c r="M47" s="226" t="inlineStr">
        <is>
          <t>A-</t>
        </is>
      </c>
      <c r="N47" s="47">
        <f>TRUNC(AVERAGE(D47:J47),2)</f>
        <v/>
      </c>
      <c r="O47" s="117" t="inlineStr">
        <is>
          <t>S</t>
        </is>
      </c>
      <c r="P47" s="77" t="inlineStr">
        <is>
          <t>PROMOVIDO</t>
        </is>
      </c>
    </row>
    <row r="48" ht="15" customHeight="1" s="254">
      <c r="A48" s="128" t="n">
        <v>40</v>
      </c>
      <c r="B48" s="263" t="inlineStr">
        <is>
          <t>Promedio</t>
        </is>
      </c>
      <c r="D48" s="135">
        <f>AVERAGE(D10:D47)</f>
        <v/>
      </c>
      <c r="E48" s="80">
        <f>AVERAGE(E10:E47)</f>
        <v/>
      </c>
      <c r="F48" s="81">
        <f>AVERAGE(F10:F47)</f>
        <v/>
      </c>
      <c r="G48" s="82">
        <f>AVERAGE(G10:G47)</f>
        <v/>
      </c>
      <c r="H48" s="83">
        <f>AVERAGE(H10:H47)</f>
        <v/>
      </c>
      <c r="I48" s="180">
        <f>AVERAGE(I10:I47)</f>
        <v/>
      </c>
      <c r="J48" s="181">
        <f>AVERAGE(J10:J47)</f>
        <v/>
      </c>
      <c r="K48" s="181" t="n"/>
      <c r="L48" s="183" t="n"/>
      <c r="M48" s="183" t="n"/>
      <c r="N48" s="181">
        <f>AVERAGE(N10:N47)</f>
        <v/>
      </c>
      <c r="O48" s="183" t="n"/>
      <c r="P48" s="184" t="n"/>
      <c r="Q48" s="134" t="n"/>
    </row>
    <row r="49" ht="15" customHeight="1" s="254">
      <c r="A49" s="34" t="n"/>
      <c r="B49" s="279">
        <f>IFERROR(IF(AND($C$4="OCTAVO A",$K$3="MATUTINA"),VLOOKUP(A49,OCTAVO_A_MAT,2,FALSE),IF(AND($C$4="OCTAVO B",$K$3="MATUTINA"),VLOOKUP(A49,OCTAVO_B_MAT,2,FALSE),IF(AND($C$4="NOVENO A",$K$3="MATUTINA"),VLOOKUP(A49,NOVENO_A_MAT,2,FALSE),IF(AND($C$4="NOVENO B",$K$3="MATUTINA"),VLOOKUP(A49,NOVENO_B_MAT,2,FALSE),IF(AND($C$4="DÉCIMO A",$K$3="MATUTINA"),VLOOKUP(A49,DECIMO_A_MAT,2,FALSE),IF(AND($C$4="DÉCIMO B",$K$3="MATUTINA"),VLOOKUP(A49,DECIMO_B_MAT,2,FALSE),IF(AND($C$4="OCTAVO A",$K$3="VESPERTINA"),VLOOKUP(A49,OCTAVO_A_VESP,2,FALSE),IF(AND($C$4="OCTAVO B",$K$3="VESPERTINA"),VLOOKUP(A49,OCTAVO_B_VESP,2,FALSE),IF(AND($C$4="NOVENO A",$K$3="VESPERTINA"),VLOOKUP(A49,NOVENO_A_VESP,2,FALSE),IF(AND($C$4="NOVENO B",$K$3="VESPERTINA"),VLOOKUP(A49,NOVENO_B_VESP,2,FALSE),IF(AND($C$4="DÉCIMO A",$K$3="VESPERTINA"),VLOOKUP(A49,DECIMO_A_VESP,2,FALSE),IF(AND($C$4="DÉCIMO B",$K$3="VESPERTINA"),VLOOKUP(A49,DECIMO_B_VESP,2,FALSE),IF(AND($C$4="QUINTO A",$K$3="MATUTINA"),VLOOKUP(A49,QUINTO_A_MAT,2,FALSE),IF(AND($C$4="QUINTO B",$K$3="MATUTINA"),VLOOKUP(A49,QUINTO_B_MAT,2,FALSE),IF(AND($C$4="SEXTO A",$K$3="MATUTINA"),VLOOKUP(A49,SEXTO_A_MAT,2,FALSE),IF(AND($C$4="SEXTO B",$K$3="MATUTINA"),VLOOKUP(A49,SEXTO_B_MAT,2,FALSE),IF(AND($C$4="SÉPTIMO A",$K$3="MATUTINA"),VLOOKUP(A49,SEPTIMO_A_MATU,2,FALSE),IF(AND($C$4="SÉPTIMO B",$K$3="MATUTINA"),VLOOKUP(A49,SEPTIMO_B_MAT,2,FALSE),IF(AND($C$4="QUINTO A",$K$3="VESPERTINA"),VLOOKUP(A49,QUINTO_A_VES,2,FALSE),IF(AND($C$4="QUINTO B",$K$3="VESPERTINA"),VLOOKUP(A49,QUINTO_B_VES,2,FALSE),IF(AND($C$4="SEXTO A",$K$3="VESPERTINA"),VLOOKUP(A49,SEXTO_A_VES,2,FALSE),IF(AND($C$4="SEXTO B",$K$3="VESPERTINA"),VLOOKUP(A49,SEXTO_B_VES,2,FALSE),IF(AND($C$4="SÉPTIMO A",$K$3="VESPERTINA"),VLOOKUP(A49,SEPTIMO_A_VES,2,FALSE),IF(AND($C$4="SÉPTIMO B",$K$3="VESPERTINA"),VLOOKUP(A49,SEPTIMO_B_VES,2,FALSE),"")))))))))))))))))))))))),"")</f>
        <v/>
      </c>
      <c r="C49" s="267" t="n"/>
      <c r="D49" s="186" t="n"/>
      <c r="E49" s="186" t="n"/>
      <c r="F49" s="186" t="n"/>
      <c r="G49" s="186" t="n"/>
      <c r="H49" s="186" t="n"/>
      <c r="I49" s="186" t="n"/>
      <c r="J49" s="187" t="n"/>
      <c r="K49" s="187" t="n"/>
      <c r="L49" s="187" t="n"/>
      <c r="M49" s="187" t="n"/>
      <c r="N49" s="186" t="n"/>
      <c r="O49" s="188" t="n"/>
      <c r="P49" s="141" t="n"/>
      <c r="Q49" s="134" t="n"/>
    </row>
    <row r="50" ht="14.25" customHeight="1" s="254">
      <c r="A50" s="34" t="n"/>
      <c r="B50" s="279">
        <f>IFERROR(IF(AND($C$4="OCTAVO A",$K$3="MATUTINA"),VLOOKUP(A50,OCTAVO_A_MAT,2,FALSE),IF(AND($C$4="OCTAVO B",$K$3="MATUTINA"),VLOOKUP(A50,OCTAVO_B_MAT,2,FALSE),IF(AND($C$4="NOVENO A",$K$3="MATUTINA"),VLOOKUP(A50,NOVENO_A_MAT,2,FALSE),IF(AND($C$4="NOVENO B",$K$3="MATUTINA"),VLOOKUP(A50,NOVENO_B_MAT,2,FALSE),IF(AND($C$4="DÉCIMO A",$K$3="MATUTINA"),VLOOKUP(A50,DECIMO_A_MAT,2,FALSE),IF(AND($C$4="DÉCIMO B",$K$3="MATUTINA"),VLOOKUP(A50,DECIMO_B_MAT,2,FALSE),IF(AND($C$4="OCTAVO A",$K$3="VESPERTINA"),VLOOKUP(A50,OCTAVO_A_VESP,2,FALSE),IF(AND($C$4="OCTAVO B",$K$3="VESPERTINA"),VLOOKUP(A50,OCTAVO_B_VESP,2,FALSE),IF(AND($C$4="NOVENO A",$K$3="VESPERTINA"),VLOOKUP(A50,NOVENO_A_VESP,2,FALSE),IF(AND($C$4="NOVENO B",$K$3="VESPERTINA"),VLOOKUP(A50,NOVENO_B_VESP,2,FALSE),IF(AND($C$4="DÉCIMO A",$K$3="VESPERTINA"),VLOOKUP(A50,DECIMO_A_VESP,2,FALSE),IF(AND($C$4="DÉCIMO B",$K$3="VESPERTINA"),VLOOKUP(A50,DECIMO_B_VESP,2,FALSE),IF(AND($C$4="QUINTO A",$K$3="MATUTINA"),VLOOKUP(A50,QUINTO_A_MAT,2,FALSE),IF(AND($C$4="QUINTO B",$K$3="MATUTINA"),VLOOKUP(A50,QUINTO_B_MAT,2,FALSE),IF(AND($C$4="SEXTO A",$K$3="MATUTINA"),VLOOKUP(A50,SEXTO_A_MAT,2,FALSE),IF(AND($C$4="SEXTO B",$K$3="MATUTINA"),VLOOKUP(A50,SEXTO_B_MAT,2,FALSE),IF(AND($C$4="SÉPTIMO A",$K$3="MATUTINA"),VLOOKUP(A50,SEPTIMO_A_MATU,2,FALSE),IF(AND($C$4="SÉPTIMO B",$K$3="MATUTINA"),VLOOKUP(A50,SEPTIMO_B_MAT,2,FALSE),IF(AND($C$4="QUINTO A",$K$3="VESPERTINA"),VLOOKUP(A50,QUINTO_A_VES,2,FALSE),IF(AND($C$4="QUINTO B",$K$3="VESPERTINA"),VLOOKUP(A50,QUINTO_B_VES,2,FALSE),IF(AND($C$4="SEXTO A",$K$3="VESPERTINA"),VLOOKUP(A50,SEXTO_A_VES,2,FALSE),IF(AND($C$4="SEXTO B",$K$3="VESPERTINA"),VLOOKUP(A50,SEXTO_B_VES,2,FALSE),IF(AND($C$4="SÉPTIMO A",$K$3="VESPERTINA"),VLOOKUP(A50,SEPTIMO_A_VES,2,FALSE),IF(AND($C$4="SÉPTIMO B",$K$3="VESPERTINA"),VLOOKUP(A50,SEPTIMO_B_VES,2,FALSE),"")))))))))))))))))))))))),"")</f>
        <v/>
      </c>
      <c r="C50" s="267" t="n"/>
      <c r="D50" s="189" t="n"/>
      <c r="E50" s="189" t="n"/>
      <c r="F50" s="189" t="n"/>
      <c r="G50" s="189" t="n"/>
      <c r="H50" s="189" t="n"/>
      <c r="I50" s="189" t="n"/>
      <c r="J50" s="190" t="n"/>
      <c r="K50" s="190" t="n"/>
      <c r="L50" s="190" t="n"/>
      <c r="M50" s="190" t="n"/>
      <c r="N50" s="191" t="n"/>
      <c r="O50" s="192" t="n"/>
      <c r="P50" s="141" t="n"/>
      <c r="Q50" s="134" t="n"/>
    </row>
    <row r="51" ht="14.25" customHeight="1" s="254">
      <c r="A51" s="151" t="n"/>
      <c r="B51" s="264" t="inlineStr">
        <is>
          <t xml:space="preserve">Ing. Sonia Chicaiza Mgtr. </t>
        </is>
      </c>
      <c r="D51" s="265" t="inlineStr">
        <is>
          <t xml:space="preserve">Lcda. Isabel Carpio Mgtr. </t>
        </is>
      </c>
      <c r="E51" s="266" t="n"/>
      <c r="F51" s="266" t="n"/>
      <c r="G51" s="267" t="n"/>
      <c r="H51" s="104" t="n"/>
      <c r="I51" s="265" t="inlineStr">
        <is>
          <t xml:space="preserve">Lcdo. Santiago Quezada Mgtr. </t>
        </is>
      </c>
      <c r="J51" s="266" t="n"/>
      <c r="K51" s="266" t="n"/>
      <c r="L51" s="266" t="n"/>
      <c r="M51" s="267" t="n"/>
      <c r="N51" s="191" t="n"/>
      <c r="O51" s="192" t="n"/>
      <c r="P51" s="141" t="n"/>
      <c r="Q51" s="134" t="n"/>
    </row>
    <row r="52" ht="14.25" customHeight="1" s="254">
      <c r="A52" s="151" t="n"/>
      <c r="B52" s="264" t="inlineStr">
        <is>
          <t>Rectora (e)</t>
        </is>
      </c>
      <c r="D52" s="265" t="inlineStr">
        <is>
          <t>Vicerrectora (e)Matutina</t>
        </is>
      </c>
      <c r="E52" s="266" t="n"/>
      <c r="F52" s="266" t="n"/>
      <c r="G52" s="267" t="n"/>
      <c r="H52" s="104" t="n"/>
      <c r="I52" s="265" t="inlineStr">
        <is>
          <t>Docente Tutor</t>
        </is>
      </c>
      <c r="J52" s="266" t="n"/>
      <c r="K52" s="266" t="n"/>
      <c r="L52" s="267" t="n"/>
      <c r="M52" s="190" t="n"/>
      <c r="N52" s="191" t="n"/>
      <c r="O52" s="192" t="n"/>
      <c r="P52" s="141" t="n"/>
      <c r="Q52" s="134" t="n"/>
    </row>
    <row r="53" ht="14.25" customHeight="1" s="254">
      <c r="P53" s="153" t="n"/>
    </row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4.25" customHeight="1" s="254"/>
    <row r="249" ht="14.25" customHeight="1" s="254"/>
    <row r="250" ht="14.25" customHeight="1" s="254"/>
    <row r="251" ht="14.25" customHeight="1" s="254"/>
    <row r="252" ht="14.2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</sheetData>
  <mergeCells count="16">
    <mergeCell ref="I52:L52"/>
    <mergeCell ref="B52:C52"/>
    <mergeCell ref="B6:P6"/>
    <mergeCell ref="I4:J4"/>
    <mergeCell ref="B2:P2"/>
    <mergeCell ref="B48:C48"/>
    <mergeCell ref="K3:N3"/>
    <mergeCell ref="A1:P1"/>
    <mergeCell ref="B51:C51"/>
    <mergeCell ref="I51:M51"/>
    <mergeCell ref="D52:G52"/>
    <mergeCell ref="C3:E3"/>
    <mergeCell ref="B50:C50"/>
    <mergeCell ref="D51:G51"/>
    <mergeCell ref="B49:C49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710000000000001" customWidth="1" style="254" min="5" max="5"/>
    <col width="6.29" customWidth="1" style="254" min="6" max="6"/>
    <col width="8.140000000000001" customWidth="1" style="254" min="14" max="14"/>
    <col width="7.57" customWidth="1" style="254" min="15" max="15"/>
    <col width="13" customWidth="1" style="254" min="16" max="16"/>
    <col width="20.71" customWidth="1" style="254" min="17" max="17"/>
    <col width="7.14" customWidth="1" style="254" min="18" max="18"/>
  </cols>
  <sheetData>
    <row r="1" ht="72.75" customHeight="1" s="254">
      <c r="A1" s="1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2" t="n"/>
      <c r="B2" s="3" t="inlineStr">
        <is>
          <t>AÑO LECTIVO: 2025-2026</t>
        </is>
      </c>
    </row>
    <row r="3" ht="14.25" customHeight="1" s="254">
      <c r="B3" s="4" t="inlineStr">
        <is>
          <t xml:space="preserve">DOCENTE:             </t>
        </is>
      </c>
      <c r="C3" s="5" t="inlineStr">
        <is>
          <t>Ing. Javier Velez</t>
        </is>
      </c>
      <c r="F3" s="6" t="n"/>
      <c r="G3" s="6" t="n"/>
      <c r="H3" s="6" t="n"/>
      <c r="I3" s="7" t="inlineStr">
        <is>
          <t xml:space="preserve">JORNADA: </t>
        </is>
      </c>
      <c r="K3" s="8" t="inlineStr">
        <is>
          <t>MATUTINA</t>
        </is>
      </c>
    </row>
    <row r="4" ht="14.25" customHeight="1" s="254">
      <c r="B4" s="9" t="inlineStr">
        <is>
          <t xml:space="preserve">AÑO DE EGB:        </t>
        </is>
      </c>
      <c r="C4" s="10" t="inlineStr">
        <is>
          <t>NOVENO B</t>
        </is>
      </c>
      <c r="D4" s="11" t="inlineStr">
        <is>
          <t>B</t>
        </is>
      </c>
      <c r="E4" s="6" t="n"/>
      <c r="F4" s="6" t="n"/>
      <c r="G4" s="6" t="n"/>
      <c r="H4" s="6" t="n"/>
      <c r="I4" s="7" t="n"/>
      <c r="K4" s="12" t="n"/>
      <c r="M4" s="6" t="n"/>
    </row>
    <row r="5" ht="6" customHeight="1" s="254">
      <c r="B5" s="13" t="n"/>
      <c r="C5" s="13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4.25" customHeight="1" s="254">
      <c r="B6" s="255" t="inlineStr">
        <is>
          <t>CONSOLIDADO FINAL</t>
        </is>
      </c>
    </row>
    <row r="7" ht="157.5" customHeight="1" s="254">
      <c r="A7" s="193" t="inlineStr">
        <is>
          <t>No</t>
        </is>
      </c>
      <c r="B7" s="280" t="inlineStr">
        <is>
          <t>NOMINA</t>
        </is>
      </c>
      <c r="C7" s="256" t="n"/>
      <c r="D7" s="195" t="inlineStr">
        <is>
          <t>LENGUA Y LITERATURA</t>
        </is>
      </c>
      <c r="E7" s="196" t="inlineStr">
        <is>
          <t>MATEMÁTICA</t>
        </is>
      </c>
      <c r="F7" s="197" t="inlineStr">
        <is>
          <t>CIENCIAS NATURALES</t>
        </is>
      </c>
      <c r="G7" s="198" t="inlineStr">
        <is>
          <t>ESTUDIOS SOCIALES</t>
        </is>
      </c>
      <c r="H7" s="199" t="inlineStr">
        <is>
          <t>INGLÉS</t>
        </is>
      </c>
      <c r="I7" s="200" t="inlineStr">
        <is>
          <t>EDUCACIÓN CULTURAL Y ARTISTICA</t>
        </is>
      </c>
      <c r="J7" s="201" t="inlineStr">
        <is>
          <t>EDUCACIÓN FÍSICA</t>
        </is>
      </c>
      <c r="K7" s="202" t="inlineStr">
        <is>
          <t>ANIMACIÓN A LA LECTURA</t>
        </is>
      </c>
      <c r="L7" s="203" t="inlineStr">
        <is>
          <t>ACOMPAÑAMIENTO INTEGRAL EN EL AULA</t>
        </is>
      </c>
      <c r="M7" s="204" t="inlineStr">
        <is>
          <t>ORIENTACIÓN VOCACIONAL</t>
        </is>
      </c>
      <c r="N7" s="205" t="inlineStr">
        <is>
          <t>PROMEDIO FINAL</t>
        </is>
      </c>
      <c r="O7" s="206" t="inlineStr">
        <is>
          <t>COMPORTAMIENTO</t>
        </is>
      </c>
      <c r="P7" s="33" t="inlineStr">
        <is>
          <t>OBSERVACIONES</t>
        </is>
      </c>
    </row>
    <row r="8" ht="14.25" customHeight="1" s="254">
      <c r="A8" s="75" t="n">
        <v>1</v>
      </c>
      <c r="B8" s="281" t="inlineStr">
        <is>
          <t>AGUAYZA URGILES ERICK HERNAN</t>
        </is>
      </c>
      <c r="C8" s="282" t="n"/>
      <c r="D8" s="159" t="n">
        <v>7.73</v>
      </c>
      <c r="E8" s="160" t="n">
        <v>8.06</v>
      </c>
      <c r="F8" s="126" t="n">
        <v>7.1</v>
      </c>
      <c r="G8" s="40" t="n">
        <v>7.47</v>
      </c>
      <c r="H8" s="114" t="n">
        <v>7.21</v>
      </c>
      <c r="I8" s="209" t="n">
        <v>7.96</v>
      </c>
      <c r="J8" s="43" t="n">
        <v>7.91</v>
      </c>
      <c r="K8" s="210" t="inlineStr">
        <is>
          <t>B-</t>
        </is>
      </c>
      <c r="L8" s="211" t="inlineStr">
        <is>
          <t>A-</t>
        </is>
      </c>
      <c r="M8" s="37" t="inlineStr">
        <is>
          <t>A+</t>
        </is>
      </c>
      <c r="N8" s="47">
        <f>TRUNC(AVERAGE(D8:J8),2)</f>
        <v/>
      </c>
      <c r="O8" s="212" t="inlineStr">
        <is>
          <t>F</t>
        </is>
      </c>
      <c r="P8" s="77" t="inlineStr">
        <is>
          <t>PROMOVIDO</t>
        </is>
      </c>
      <c r="Q8" s="213" t="n"/>
    </row>
    <row r="9" ht="15" customHeight="1" s="254">
      <c r="A9" s="75" t="n">
        <v>2</v>
      </c>
      <c r="B9" s="214" t="inlineStr">
        <is>
          <t>AVILA SANCHEZ ANDY SEBASTIAN</t>
        </is>
      </c>
      <c r="C9" s="215" t="n"/>
      <c r="D9" s="159" t="n">
        <v>7.95</v>
      </c>
      <c r="E9" s="160" t="n">
        <v>7.84</v>
      </c>
      <c r="F9" s="126" t="n">
        <v>7.35</v>
      </c>
      <c r="G9" s="54" t="n">
        <v>8.26</v>
      </c>
      <c r="H9" s="172" t="n">
        <v>7.27</v>
      </c>
      <c r="I9" s="216" t="n">
        <v>8.119999999999999</v>
      </c>
      <c r="J9" s="43" t="n">
        <v>8.869999999999999</v>
      </c>
      <c r="K9" s="210" t="inlineStr">
        <is>
          <t>B-</t>
        </is>
      </c>
      <c r="L9" s="211" t="inlineStr">
        <is>
          <t>A-</t>
        </is>
      </c>
      <c r="M9" s="37" t="inlineStr">
        <is>
          <t>A+</t>
        </is>
      </c>
      <c r="N9" s="47">
        <f>TRUNC(AVERAGE(D9:J9),2)</f>
        <v/>
      </c>
      <c r="O9" s="212" t="inlineStr">
        <is>
          <t>S</t>
        </is>
      </c>
      <c r="P9" s="77" t="inlineStr">
        <is>
          <t>PROMOVIDO</t>
        </is>
      </c>
      <c r="Q9" s="56" t="inlineStr">
        <is>
          <t>PRIMER LUGAR</t>
        </is>
      </c>
      <c r="R9" s="57">
        <f>LARGE(N8:N47,1)</f>
        <v/>
      </c>
      <c r="S9" s="62" t="inlineStr">
        <is>
          <t>PERALTA S</t>
        </is>
      </c>
    </row>
    <row r="10" ht="15" customHeight="1" s="254">
      <c r="A10" s="217" t="n">
        <v>3</v>
      </c>
      <c r="B10" s="214" t="inlineStr">
        <is>
          <t xml:space="preserve">AZANZA CHILLOGALLI JUAN CARLOS </t>
        </is>
      </c>
      <c r="C10" s="215" t="n"/>
      <c r="D10" s="159" t="n">
        <v>7.34</v>
      </c>
      <c r="E10" s="160" t="n">
        <v>7.31</v>
      </c>
      <c r="F10" s="126" t="n">
        <v>7.63</v>
      </c>
      <c r="G10" s="54" t="n">
        <v>7.3</v>
      </c>
      <c r="H10" s="172" t="n">
        <v>7.94</v>
      </c>
      <c r="I10" s="216" t="n">
        <v>7.64</v>
      </c>
      <c r="J10" s="43" t="n">
        <v>8.699999999999999</v>
      </c>
      <c r="K10" s="210" t="inlineStr">
        <is>
          <t>B+</t>
        </is>
      </c>
      <c r="L10" s="211" t="inlineStr">
        <is>
          <t>A+</t>
        </is>
      </c>
      <c r="M10" s="37" t="inlineStr">
        <is>
          <t>A+</t>
        </is>
      </c>
      <c r="N10" s="47">
        <f>TRUNC(AVERAGE(D10:J10),2)</f>
        <v/>
      </c>
      <c r="O10" s="212" t="inlineStr">
        <is>
          <t>S</t>
        </is>
      </c>
      <c r="P10" s="77" t="inlineStr">
        <is>
          <t>PROMOVIDO</t>
        </is>
      </c>
      <c r="Q10" s="56" t="inlineStr">
        <is>
          <t>SEGUNDO LUGAR</t>
        </is>
      </c>
      <c r="R10" s="59">
        <f>LARGE(N8:N47,2)</f>
        <v/>
      </c>
      <c r="S10" s="62" t="inlineStr">
        <is>
          <t>LLAPA E</t>
        </is>
      </c>
    </row>
    <row r="11" ht="15" customHeight="1" s="254">
      <c r="A11" s="75" t="n">
        <v>4</v>
      </c>
      <c r="B11" s="214" t="inlineStr">
        <is>
          <t>BARRETO UZHCA CHRISTOPHER ADRIAN</t>
        </is>
      </c>
      <c r="C11" s="215" t="n"/>
      <c r="D11" s="159" t="n">
        <v>8.970000000000001</v>
      </c>
      <c r="E11" s="160" t="n">
        <v>8.609999999999999</v>
      </c>
      <c r="F11" s="126" t="n">
        <v>8.050000000000001</v>
      </c>
      <c r="G11" s="54" t="n">
        <v>8.390000000000001</v>
      </c>
      <c r="H11" s="174" t="n">
        <v>8.01</v>
      </c>
      <c r="I11" s="216" t="n">
        <v>8.84</v>
      </c>
      <c r="J11" s="43" t="n">
        <v>9.24</v>
      </c>
      <c r="K11" s="210" t="inlineStr">
        <is>
          <t>A-</t>
        </is>
      </c>
      <c r="L11" s="211" t="inlineStr">
        <is>
          <t>A+</t>
        </is>
      </c>
      <c r="M11" s="37" t="inlineStr">
        <is>
          <t>A+</t>
        </is>
      </c>
      <c r="N11" s="47">
        <f>TRUNC(AVERAGE(D11:J11),2)</f>
        <v/>
      </c>
      <c r="O11" s="212" t="inlineStr">
        <is>
          <t>S</t>
        </is>
      </c>
      <c r="P11" s="77" t="inlineStr">
        <is>
          <t>PROMOVIDO</t>
        </is>
      </c>
      <c r="Q11" s="56" t="inlineStr">
        <is>
          <t>TERCER LUGAR</t>
        </is>
      </c>
      <c r="R11" s="59">
        <f>LARGE(N8:N47,3)</f>
        <v/>
      </c>
      <c r="S11" s="62" t="inlineStr">
        <is>
          <t>PINTADO</t>
        </is>
      </c>
    </row>
    <row r="12" ht="15" customHeight="1" s="254">
      <c r="A12" s="75" t="n">
        <v>5</v>
      </c>
      <c r="B12" s="292" t="inlineStr">
        <is>
          <t>CABRERA CANDO LIZBETH CAROLINA</t>
        </is>
      </c>
      <c r="C12" s="215" t="n"/>
      <c r="D12" s="159" t="n">
        <v>8.050000000000001</v>
      </c>
      <c r="E12" s="160" t="n">
        <v>7</v>
      </c>
      <c r="F12" s="126" t="n">
        <v>7</v>
      </c>
      <c r="G12" s="54" t="n">
        <v>7.13</v>
      </c>
      <c r="H12" s="172" t="n">
        <v>7</v>
      </c>
      <c r="I12" s="261" t="n">
        <v>8.43</v>
      </c>
      <c r="J12" s="43" t="n">
        <v>7.95</v>
      </c>
      <c r="K12" s="210" t="inlineStr">
        <is>
          <t>B-</t>
        </is>
      </c>
      <c r="L12" s="211" t="inlineStr">
        <is>
          <t>A-</t>
        </is>
      </c>
      <c r="M12" s="37" t="inlineStr">
        <is>
          <t>A-</t>
        </is>
      </c>
      <c r="N12" s="287">
        <f>TRUNC(AVERAGE(D12:J12),2)</f>
        <v/>
      </c>
      <c r="O12" s="212" t="inlineStr">
        <is>
          <t>F</t>
        </is>
      </c>
      <c r="P12" s="77" t="inlineStr">
        <is>
          <t>PROMOVIDO</t>
        </is>
      </c>
      <c r="Q12" s="213" t="n"/>
    </row>
    <row r="13" ht="15" customHeight="1" s="254">
      <c r="A13" s="217" t="n">
        <v>6</v>
      </c>
      <c r="B13" s="214" t="inlineStr">
        <is>
          <t>CABRERA PESANTEZ JESSICA ALEXANDRA</t>
        </is>
      </c>
      <c r="C13" s="215" t="n"/>
      <c r="D13" s="159" t="n">
        <v>9.08</v>
      </c>
      <c r="E13" s="160" t="n">
        <v>8.789999999999999</v>
      </c>
      <c r="F13" s="126" t="n">
        <v>8.35</v>
      </c>
      <c r="G13" s="54" t="n">
        <v>9.07</v>
      </c>
      <c r="H13" s="172" t="n">
        <v>9.01</v>
      </c>
      <c r="I13" s="216" t="n">
        <v>9.199999999999999</v>
      </c>
      <c r="J13" s="43" t="n">
        <v>8.81</v>
      </c>
      <c r="K13" s="210" t="inlineStr">
        <is>
          <t>A-</t>
        </is>
      </c>
      <c r="L13" s="211" t="inlineStr">
        <is>
          <t>A+</t>
        </is>
      </c>
      <c r="M13" s="37" t="inlineStr">
        <is>
          <t>A+</t>
        </is>
      </c>
      <c r="N13" s="47">
        <f>TRUNC(AVERAGE(D13:J13),2)</f>
        <v/>
      </c>
      <c r="O13" s="212" t="inlineStr">
        <is>
          <t>S</t>
        </is>
      </c>
      <c r="P13" s="77" t="inlineStr">
        <is>
          <t>PROMOVIDO</t>
        </is>
      </c>
      <c r="Q13" s="213" t="n"/>
    </row>
    <row r="14" ht="15" customHeight="1" s="254">
      <c r="A14" s="75" t="n">
        <v>7</v>
      </c>
      <c r="B14" s="214" t="inlineStr">
        <is>
          <t>CALDERON CORDOVA MAYKEL DE JESUS</t>
        </is>
      </c>
      <c r="C14" s="215" t="n"/>
      <c r="D14" s="159" t="n">
        <v>8.789999999999999</v>
      </c>
      <c r="E14" s="160" t="n">
        <v>9.07</v>
      </c>
      <c r="F14" s="126" t="n">
        <v>8.890000000000001</v>
      </c>
      <c r="G14" s="54" t="n">
        <v>8.960000000000001</v>
      </c>
      <c r="H14" s="172" t="n">
        <v>8.890000000000001</v>
      </c>
      <c r="I14" s="216" t="n">
        <v>9.369999999999999</v>
      </c>
      <c r="J14" s="43" t="n">
        <v>9.710000000000001</v>
      </c>
      <c r="K14" s="210" t="inlineStr">
        <is>
          <t>A-</t>
        </is>
      </c>
      <c r="L14" s="211" t="inlineStr">
        <is>
          <t>A+</t>
        </is>
      </c>
      <c r="M14" s="37" t="inlineStr">
        <is>
          <t>A+</t>
        </is>
      </c>
      <c r="N14" s="47">
        <f>TRUNC(AVERAGE(D14:J14),2)</f>
        <v/>
      </c>
      <c r="O14" s="212" t="inlineStr">
        <is>
          <t>S</t>
        </is>
      </c>
      <c r="P14" s="77" t="inlineStr">
        <is>
          <t>PROMOVIDO</t>
        </is>
      </c>
      <c r="Q14" s="213" t="n"/>
    </row>
    <row r="15" ht="15" customHeight="1" s="254">
      <c r="A15" s="75" t="n">
        <v>8</v>
      </c>
      <c r="B15" s="214" t="inlineStr">
        <is>
          <t>CAMPOVERDE NAULA DANNA MARISOL</t>
        </is>
      </c>
      <c r="C15" s="215" t="n"/>
      <c r="D15" s="159" t="n">
        <v>7.74</v>
      </c>
      <c r="E15" s="160" t="n">
        <v>7.35</v>
      </c>
      <c r="F15" s="126" t="n">
        <v>7.28</v>
      </c>
      <c r="G15" s="54" t="n">
        <v>7.6</v>
      </c>
      <c r="H15" s="172" t="n">
        <v>7</v>
      </c>
      <c r="I15" s="216" t="n">
        <v>8.34</v>
      </c>
      <c r="J15" s="43" t="n">
        <v>8.51</v>
      </c>
      <c r="K15" s="210" t="inlineStr">
        <is>
          <t>B+</t>
        </is>
      </c>
      <c r="L15" s="211" t="inlineStr">
        <is>
          <t>A-</t>
        </is>
      </c>
      <c r="M15" s="37" t="inlineStr">
        <is>
          <t>A-</t>
        </is>
      </c>
      <c r="N15" s="47">
        <f>TRUNC(AVERAGE(D15:J15),2)</f>
        <v/>
      </c>
      <c r="O15" s="212" t="inlineStr">
        <is>
          <t>S</t>
        </is>
      </c>
      <c r="P15" s="77" t="inlineStr">
        <is>
          <t>PROMOVIDO</t>
        </is>
      </c>
      <c r="Q15" s="213" t="n"/>
    </row>
    <row r="16" ht="15" customHeight="1" s="254">
      <c r="A16" s="217" t="n">
        <v>9</v>
      </c>
      <c r="B16" s="214" t="inlineStr">
        <is>
          <t>CAMPOVERDE NAULA LENIN ALEJANDRO</t>
        </is>
      </c>
      <c r="C16" s="215" t="n"/>
      <c r="D16" s="159" t="n">
        <v>8</v>
      </c>
      <c r="E16" s="160" t="n">
        <v>7.49</v>
      </c>
      <c r="F16" s="126" t="n">
        <v>7.44</v>
      </c>
      <c r="G16" s="54" t="n">
        <v>7.91</v>
      </c>
      <c r="H16" s="172" t="n">
        <v>7.28</v>
      </c>
      <c r="I16" s="216" t="n">
        <v>8.289999999999999</v>
      </c>
      <c r="J16" s="43" t="n">
        <v>8.74</v>
      </c>
      <c r="K16" s="210" t="inlineStr">
        <is>
          <t>B+</t>
        </is>
      </c>
      <c r="L16" s="211" t="inlineStr">
        <is>
          <t>A-</t>
        </is>
      </c>
      <c r="M16" s="37" t="inlineStr">
        <is>
          <t>B+</t>
        </is>
      </c>
      <c r="N16" s="47">
        <f>TRUNC(AVERAGE(D16:J16),2)</f>
        <v/>
      </c>
      <c r="O16" s="212" t="inlineStr">
        <is>
          <t>S</t>
        </is>
      </c>
      <c r="P16" s="77" t="inlineStr">
        <is>
          <t>PROMOVIDO</t>
        </is>
      </c>
      <c r="Q16" s="213" t="n"/>
    </row>
    <row r="17" ht="15" customHeight="1" s="254">
      <c r="A17" s="75" t="n">
        <v>10</v>
      </c>
      <c r="B17" s="214" t="inlineStr">
        <is>
          <t>CHUJUTALLI QUEZADA ARIEL MAURICIO</t>
        </is>
      </c>
      <c r="C17" s="215" t="n"/>
      <c r="D17" s="159" t="n">
        <v>8.24</v>
      </c>
      <c r="E17" s="160" t="n">
        <v>7.19</v>
      </c>
      <c r="F17" s="126" t="n">
        <v>7.02</v>
      </c>
      <c r="G17" s="54" t="n">
        <v>7.23</v>
      </c>
      <c r="H17" s="172" t="n">
        <v>7</v>
      </c>
      <c r="I17" s="216" t="n">
        <v>7.78</v>
      </c>
      <c r="J17" s="43" t="n">
        <v>8.24</v>
      </c>
      <c r="K17" s="210" t="inlineStr">
        <is>
          <t>B-</t>
        </is>
      </c>
      <c r="L17" s="211" t="inlineStr">
        <is>
          <t>A-</t>
        </is>
      </c>
      <c r="M17" s="37" t="inlineStr">
        <is>
          <t>B+</t>
        </is>
      </c>
      <c r="N17" s="47">
        <f>TRUNC(AVERAGE(D17:J17),2)</f>
        <v/>
      </c>
      <c r="O17" s="212" t="inlineStr">
        <is>
          <t>S</t>
        </is>
      </c>
      <c r="P17" s="77" t="inlineStr">
        <is>
          <t>PROMOVIDO</t>
        </is>
      </c>
      <c r="Q17" s="213" t="n"/>
    </row>
    <row r="18" ht="15" customHeight="1" s="254">
      <c r="A18" s="75" t="n">
        <v>11</v>
      </c>
      <c r="B18" s="214" t="inlineStr">
        <is>
          <t>CHUJUTALLI QUEZADA PAUL ESTEBAN</t>
        </is>
      </c>
      <c r="C18" s="215" t="n"/>
      <c r="D18" s="159" t="n">
        <v>7.86</v>
      </c>
      <c r="E18" s="160" t="n">
        <v>7.01</v>
      </c>
      <c r="F18" s="126" t="n">
        <v>7.04</v>
      </c>
      <c r="G18" s="54" t="n">
        <v>7.12</v>
      </c>
      <c r="H18" s="172" t="n">
        <v>7.06</v>
      </c>
      <c r="I18" s="216" t="n">
        <v>7.92</v>
      </c>
      <c r="J18" s="43" t="n">
        <v>8.24</v>
      </c>
      <c r="K18" s="210" t="inlineStr">
        <is>
          <t>A-</t>
        </is>
      </c>
      <c r="L18" s="211" t="inlineStr">
        <is>
          <t>A-</t>
        </is>
      </c>
      <c r="M18" s="37" t="inlineStr">
        <is>
          <t>A-</t>
        </is>
      </c>
      <c r="N18" s="47">
        <f>TRUNC(AVERAGE(D18:J18),2)</f>
        <v/>
      </c>
      <c r="O18" s="212" t="inlineStr">
        <is>
          <t>S</t>
        </is>
      </c>
      <c r="P18" s="77" t="inlineStr">
        <is>
          <t>PROMOVIDO</t>
        </is>
      </c>
      <c r="Q18" s="213" t="n"/>
    </row>
    <row r="19" ht="15" customHeight="1" s="254">
      <c r="A19" s="217" t="n">
        <v>12</v>
      </c>
      <c r="B19" s="214" t="inlineStr">
        <is>
          <t>CORONEL BERMEO JULIANA MICAELA</t>
        </is>
      </c>
      <c r="C19" s="215" t="n"/>
      <c r="D19" s="159" t="n">
        <v>7.74</v>
      </c>
      <c r="E19" s="160" t="n">
        <v>7</v>
      </c>
      <c r="F19" s="126" t="n">
        <v>7.12</v>
      </c>
      <c r="G19" s="54" t="n">
        <v>7.05</v>
      </c>
      <c r="H19" s="172" t="n">
        <v>7</v>
      </c>
      <c r="I19" s="216" t="n">
        <v>7.42</v>
      </c>
      <c r="J19" s="43" t="n">
        <v>8.539999999999999</v>
      </c>
      <c r="K19" s="210" t="inlineStr">
        <is>
          <t>B-</t>
        </is>
      </c>
      <c r="L19" s="211" t="inlineStr">
        <is>
          <t>A-</t>
        </is>
      </c>
      <c r="M19" s="37" t="inlineStr">
        <is>
          <t>B+</t>
        </is>
      </c>
      <c r="N19" s="47">
        <f>TRUNC(AVERAGE(D19:J19),2)</f>
        <v/>
      </c>
      <c r="O19" s="212" t="inlineStr">
        <is>
          <t>O</t>
        </is>
      </c>
      <c r="P19" s="77" t="inlineStr">
        <is>
          <t>PROMOVIDO</t>
        </is>
      </c>
      <c r="Q19" s="213" t="n"/>
    </row>
    <row r="20" ht="15" customHeight="1" s="254">
      <c r="A20" s="75" t="n">
        <v>13</v>
      </c>
      <c r="B20" s="214" t="inlineStr">
        <is>
          <t>DURAZNO LATA CINDY ELIZABETH</t>
        </is>
      </c>
      <c r="C20" s="215" t="n"/>
      <c r="D20" s="159" t="n">
        <v>9.23</v>
      </c>
      <c r="E20" s="160" t="n">
        <v>8.699999999999999</v>
      </c>
      <c r="F20" s="126" t="n">
        <v>8.33</v>
      </c>
      <c r="G20" s="54" t="n">
        <v>9</v>
      </c>
      <c r="H20" s="172" t="n">
        <v>8.33</v>
      </c>
      <c r="I20" s="216" t="n">
        <v>9.81</v>
      </c>
      <c r="J20" s="43" t="n">
        <v>9.49</v>
      </c>
      <c r="K20" s="210" t="inlineStr">
        <is>
          <t>A-</t>
        </is>
      </c>
      <c r="L20" s="211" t="inlineStr">
        <is>
          <t>A+</t>
        </is>
      </c>
      <c r="M20" s="37" t="inlineStr">
        <is>
          <t>A+</t>
        </is>
      </c>
      <c r="N20" s="47">
        <f>TRUNC(AVERAGE(D20:J20),2)</f>
        <v/>
      </c>
      <c r="O20" s="212" t="inlineStr">
        <is>
          <t>S</t>
        </is>
      </c>
      <c r="P20" s="77" t="inlineStr">
        <is>
          <t>PROMOVIDO</t>
        </is>
      </c>
      <c r="Q20" s="213" t="n"/>
    </row>
    <row r="21" ht="15" customHeight="1" s="254">
      <c r="A21" s="75" t="n">
        <v>14</v>
      </c>
      <c r="B21" s="214" t="inlineStr">
        <is>
          <t>ENRIQUEZ SINCHE PEDRO PABLO</t>
        </is>
      </c>
      <c r="C21" s="215" t="n"/>
      <c r="D21" s="159" t="n">
        <v>9.109999999999999</v>
      </c>
      <c r="E21" s="160" t="n">
        <v>8.34</v>
      </c>
      <c r="F21" s="126" t="n">
        <v>8.800000000000001</v>
      </c>
      <c r="G21" s="54" t="n">
        <v>9.140000000000001</v>
      </c>
      <c r="H21" s="172" t="n">
        <v>8.41</v>
      </c>
      <c r="I21" s="216" t="n">
        <v>9.5</v>
      </c>
      <c r="J21" s="43" t="n">
        <v>9.6</v>
      </c>
      <c r="K21" s="210" t="inlineStr">
        <is>
          <t>A-</t>
        </is>
      </c>
      <c r="L21" s="211" t="inlineStr">
        <is>
          <t>A+</t>
        </is>
      </c>
      <c r="M21" s="37" t="inlineStr">
        <is>
          <t>A+</t>
        </is>
      </c>
      <c r="N21" s="47">
        <f>TRUNC(AVERAGE(D21:J21),2)</f>
        <v/>
      </c>
      <c r="O21" s="212" t="inlineStr">
        <is>
          <t>S</t>
        </is>
      </c>
      <c r="P21" s="77" t="inlineStr">
        <is>
          <t>PROMOVIDO</t>
        </is>
      </c>
      <c r="Q21" s="213" t="n"/>
    </row>
    <row r="22" ht="15" customHeight="1" s="254">
      <c r="A22" s="217" t="n">
        <v>15</v>
      </c>
      <c r="B22" s="214" t="inlineStr">
        <is>
          <t>GUACHICHULLCA TADAY WILLIAN DAVID</t>
        </is>
      </c>
      <c r="C22" s="215" t="n"/>
      <c r="D22" s="159" t="n">
        <v>9.35</v>
      </c>
      <c r="E22" s="160" t="n">
        <v>9.35</v>
      </c>
      <c r="F22" s="126" t="n">
        <v>8.720000000000001</v>
      </c>
      <c r="G22" s="54" t="n">
        <v>9.16</v>
      </c>
      <c r="H22" s="172" t="n">
        <v>8.880000000000001</v>
      </c>
      <c r="I22" s="216" t="n">
        <v>9.880000000000001</v>
      </c>
      <c r="J22" s="43" t="n">
        <v>9.630000000000001</v>
      </c>
      <c r="K22" s="210" t="inlineStr">
        <is>
          <t>A-</t>
        </is>
      </c>
      <c r="L22" s="211" t="inlineStr">
        <is>
          <t>A+</t>
        </is>
      </c>
      <c r="M22" s="37" t="inlineStr">
        <is>
          <t>A+</t>
        </is>
      </c>
      <c r="N22" s="47">
        <f>TRUNC(AVERAGE(D22:J22),2)</f>
        <v/>
      </c>
      <c r="O22" s="212" t="inlineStr">
        <is>
          <t>S</t>
        </is>
      </c>
      <c r="P22" s="77" t="inlineStr">
        <is>
          <t>PROMOVIDO</t>
        </is>
      </c>
      <c r="Q22" s="213" t="n"/>
    </row>
    <row r="23" ht="15" customHeight="1" s="254">
      <c r="A23" s="75" t="n">
        <v>16</v>
      </c>
      <c r="B23" s="214" t="inlineStr">
        <is>
          <t>GUZHÑAY BARBECHO BELEN LILIANA</t>
        </is>
      </c>
      <c r="C23" s="215" t="n"/>
      <c r="D23" s="159" t="n">
        <v>9.300000000000001</v>
      </c>
      <c r="E23" s="160" t="n">
        <v>9.41</v>
      </c>
      <c r="F23" s="126" t="n">
        <v>8.720000000000001</v>
      </c>
      <c r="G23" s="54" t="n">
        <v>9.1</v>
      </c>
      <c r="H23" s="172" t="n">
        <v>9.56</v>
      </c>
      <c r="I23" s="216" t="n">
        <v>9.85</v>
      </c>
      <c r="J23" s="43" t="n">
        <v>9.630000000000001</v>
      </c>
      <c r="K23" s="210" t="inlineStr">
        <is>
          <t>A-</t>
        </is>
      </c>
      <c r="L23" s="211" t="inlineStr">
        <is>
          <t>A+</t>
        </is>
      </c>
      <c r="M23" s="37" t="inlineStr">
        <is>
          <t>A+</t>
        </is>
      </c>
      <c r="N23" s="47">
        <f>TRUNC(AVERAGE(D23:J23),2)</f>
        <v/>
      </c>
      <c r="O23" s="212" t="inlineStr">
        <is>
          <t>S</t>
        </is>
      </c>
      <c r="P23" s="77" t="inlineStr">
        <is>
          <t>PROMOVIDO</t>
        </is>
      </c>
      <c r="Q23" s="213" t="n"/>
    </row>
    <row r="24" ht="15" customHeight="1" s="254">
      <c r="A24" s="75" t="n">
        <v>17</v>
      </c>
      <c r="B24" s="214" t="inlineStr">
        <is>
          <t>IÑAMAGUA PATIÑO ANDREA LIZBETH</t>
        </is>
      </c>
      <c r="C24" s="215" t="n"/>
      <c r="D24" s="159" t="n">
        <v>9.039999999999999</v>
      </c>
      <c r="E24" s="160" t="n">
        <v>9.42</v>
      </c>
      <c r="F24" s="126" t="n">
        <v>7.8</v>
      </c>
      <c r="G24" s="54" t="n">
        <v>8.869999999999999</v>
      </c>
      <c r="H24" s="172" t="n">
        <v>8.48</v>
      </c>
      <c r="I24" s="216" t="n">
        <v>9.27</v>
      </c>
      <c r="J24" s="43" t="n">
        <v>8.31</v>
      </c>
      <c r="K24" s="210" t="inlineStr">
        <is>
          <t>A-</t>
        </is>
      </c>
      <c r="L24" s="211" t="inlineStr">
        <is>
          <t>A+</t>
        </is>
      </c>
      <c r="M24" s="37" t="inlineStr">
        <is>
          <t>A+</t>
        </is>
      </c>
      <c r="N24" s="47">
        <f>TRUNC(AVERAGE(D24:J24),2)</f>
        <v/>
      </c>
      <c r="O24" s="212" t="inlineStr">
        <is>
          <t>F</t>
        </is>
      </c>
      <c r="P24" s="77" t="inlineStr">
        <is>
          <t>PROMOVIDO</t>
        </is>
      </c>
      <c r="Q24" s="213" t="n"/>
    </row>
    <row r="25" ht="15" customHeight="1" s="254">
      <c r="A25" s="217" t="n">
        <v>18</v>
      </c>
      <c r="B25" s="214" t="inlineStr">
        <is>
          <t>LEMA PERALTA CARLOS DANIEL</t>
        </is>
      </c>
      <c r="C25" s="215" t="n"/>
      <c r="D25" s="159" t="n">
        <v>7.99</v>
      </c>
      <c r="E25" s="160" t="n">
        <v>7.07</v>
      </c>
      <c r="F25" s="126" t="n">
        <v>7.03</v>
      </c>
      <c r="G25" s="54" t="n">
        <v>7.2</v>
      </c>
      <c r="H25" s="172" t="n">
        <v>7.3</v>
      </c>
      <c r="I25" s="216" t="n">
        <v>8.050000000000001</v>
      </c>
      <c r="J25" s="43" t="n">
        <v>8.5</v>
      </c>
      <c r="K25" s="210" t="inlineStr">
        <is>
          <t>B+</t>
        </is>
      </c>
      <c r="L25" s="211" t="inlineStr">
        <is>
          <t>A-</t>
        </is>
      </c>
      <c r="M25" s="37" t="inlineStr">
        <is>
          <t>A-</t>
        </is>
      </c>
      <c r="N25" s="47">
        <f>TRUNC(AVERAGE(D25:J25),2)</f>
        <v/>
      </c>
      <c r="O25" s="212" t="inlineStr">
        <is>
          <t>S</t>
        </is>
      </c>
      <c r="P25" s="77" t="inlineStr">
        <is>
          <t>PROMOVIDO</t>
        </is>
      </c>
      <c r="Q25" s="213" t="n"/>
    </row>
    <row r="26" ht="15" customHeight="1" s="254">
      <c r="A26" s="75" t="n">
        <v>19</v>
      </c>
      <c r="B26" s="214" t="inlineStr">
        <is>
          <t>LLANGARI ALVAREZ ITZEL ABIGAIL</t>
        </is>
      </c>
      <c r="C26" s="215" t="n"/>
      <c r="D26" s="159" t="n">
        <v>8.720000000000001</v>
      </c>
      <c r="E26" s="160" t="n">
        <v>8.84</v>
      </c>
      <c r="F26" s="126" t="n">
        <v>9.06</v>
      </c>
      <c r="G26" s="54" t="n">
        <v>8.4</v>
      </c>
      <c r="H26" s="172" t="n">
        <v>8.960000000000001</v>
      </c>
      <c r="I26" s="216" t="n">
        <v>9.710000000000001</v>
      </c>
      <c r="J26" s="43" t="n">
        <v>9.640000000000001</v>
      </c>
      <c r="K26" s="210" t="inlineStr">
        <is>
          <t>A-</t>
        </is>
      </c>
      <c r="L26" s="211" t="inlineStr">
        <is>
          <t>A+</t>
        </is>
      </c>
      <c r="M26" s="37" t="inlineStr">
        <is>
          <t>A+</t>
        </is>
      </c>
      <c r="N26" s="47">
        <f>TRUNC(AVERAGE(D26:J26),2)</f>
        <v/>
      </c>
      <c r="O26" s="212" t="inlineStr">
        <is>
          <t>S</t>
        </is>
      </c>
      <c r="P26" s="77" t="inlineStr">
        <is>
          <t>PROMOVIDO</t>
        </is>
      </c>
      <c r="Q26" s="213" t="n"/>
    </row>
    <row r="27" ht="18" customHeight="1" s="254">
      <c r="A27" s="75" t="n">
        <v>20</v>
      </c>
      <c r="B27" s="214" t="inlineStr">
        <is>
          <t>LLAPA JUNCAL BETSY ANABEL</t>
        </is>
      </c>
      <c r="C27" s="215" t="n"/>
      <c r="D27" s="159" t="n">
        <v>9</v>
      </c>
      <c r="E27" s="160" t="n">
        <v>9.06</v>
      </c>
      <c r="F27" s="126" t="n">
        <v>8.779999999999999</v>
      </c>
      <c r="G27" s="54" t="n">
        <v>8.880000000000001</v>
      </c>
      <c r="H27" s="172" t="n">
        <v>8.31</v>
      </c>
      <c r="I27" s="216" t="n">
        <v>9.77</v>
      </c>
      <c r="J27" s="43" t="n">
        <v>9.83</v>
      </c>
      <c r="K27" s="218" t="inlineStr">
        <is>
          <t>A-</t>
        </is>
      </c>
      <c r="L27" s="211" t="inlineStr">
        <is>
          <t>A+</t>
        </is>
      </c>
      <c r="M27" s="37" t="inlineStr">
        <is>
          <t>A+</t>
        </is>
      </c>
      <c r="N27" s="47">
        <f>TRUNC(AVERAGE(D27:J27),2)</f>
        <v/>
      </c>
      <c r="O27" s="212" t="inlineStr">
        <is>
          <t>S</t>
        </is>
      </c>
      <c r="P27" s="77" t="inlineStr">
        <is>
          <t>PROMOVIDO</t>
        </is>
      </c>
      <c r="Q27" s="213" t="n"/>
    </row>
    <row r="28" ht="15" customHeight="1" s="254">
      <c r="A28" s="217" t="n">
        <v>21</v>
      </c>
      <c r="B28" s="214" t="inlineStr">
        <is>
          <t>LLAPA SIBRI EILEEN MAYTE</t>
        </is>
      </c>
      <c r="C28" s="215" t="n"/>
      <c r="D28" s="159" t="n">
        <v>9.359999999999999</v>
      </c>
      <c r="E28" s="160" t="n">
        <v>9.6</v>
      </c>
      <c r="F28" s="126" t="n">
        <v>9.23</v>
      </c>
      <c r="G28" s="54" t="n">
        <v>9.800000000000001</v>
      </c>
      <c r="H28" s="172" t="n">
        <v>9.5</v>
      </c>
      <c r="I28" s="216" t="n">
        <v>9.66</v>
      </c>
      <c r="J28" s="43" t="n">
        <v>9.91</v>
      </c>
      <c r="K28" s="218" t="inlineStr">
        <is>
          <t>A+</t>
        </is>
      </c>
      <c r="L28" s="211" t="inlineStr">
        <is>
          <t>A+</t>
        </is>
      </c>
      <c r="M28" s="37" t="inlineStr">
        <is>
          <t>A+</t>
        </is>
      </c>
      <c r="N28" s="47">
        <f>TRUNC(AVERAGE(D28:J28),2)</f>
        <v/>
      </c>
      <c r="O28" s="212" t="inlineStr">
        <is>
          <t>S</t>
        </is>
      </c>
      <c r="P28" s="77" t="inlineStr">
        <is>
          <t>PROMOVIDO</t>
        </is>
      </c>
      <c r="Q28" s="213" t="n"/>
    </row>
    <row r="29" ht="18" customHeight="1" s="254">
      <c r="A29" s="75" t="n">
        <v>22</v>
      </c>
      <c r="B29" s="292" t="inlineStr">
        <is>
          <t>LONDA VIÑANZACA NATHALY DANIELA</t>
        </is>
      </c>
      <c r="C29" s="215" t="n"/>
      <c r="D29" s="159" t="n">
        <v>9.119999999999999</v>
      </c>
      <c r="E29" s="160" t="n">
        <v>9.19</v>
      </c>
      <c r="F29" s="126" t="n">
        <v>8.970000000000001</v>
      </c>
      <c r="G29" s="54" t="n">
        <v>9.460000000000001</v>
      </c>
      <c r="H29" s="172" t="n">
        <v>9.16</v>
      </c>
      <c r="I29" s="261" t="n">
        <v>9.23</v>
      </c>
      <c r="J29" s="43" t="n">
        <v>9.69</v>
      </c>
      <c r="K29" s="218" t="inlineStr">
        <is>
          <t>A-</t>
        </is>
      </c>
      <c r="L29" s="211" t="inlineStr">
        <is>
          <t>A+</t>
        </is>
      </c>
      <c r="M29" s="37" t="inlineStr">
        <is>
          <t>A+</t>
        </is>
      </c>
      <c r="N29" s="47">
        <f>TRUNC(AVERAGE(D29:J29),2)</f>
        <v/>
      </c>
      <c r="O29" s="212" t="inlineStr">
        <is>
          <t>S</t>
        </is>
      </c>
      <c r="P29" s="77" t="inlineStr">
        <is>
          <t>PROMOVIDO</t>
        </is>
      </c>
      <c r="Q29" s="213" t="n"/>
    </row>
    <row r="30" ht="15" customHeight="1" s="254">
      <c r="A30" s="75" t="n">
        <v>23</v>
      </c>
      <c r="B30" s="214" t="inlineStr">
        <is>
          <t>MARIN GOMEZ ANDREA BELEN</t>
        </is>
      </c>
      <c r="C30" s="215" t="n"/>
      <c r="D30" s="159" t="n">
        <v>8.23</v>
      </c>
      <c r="E30" s="160" t="n">
        <v>7.5</v>
      </c>
      <c r="F30" s="126" t="n">
        <v>7.78</v>
      </c>
      <c r="G30" s="54" t="n">
        <v>8.199999999999999</v>
      </c>
      <c r="H30" s="172" t="n">
        <v>7.54</v>
      </c>
      <c r="I30" s="216" t="n">
        <v>9.19</v>
      </c>
      <c r="J30" s="43" t="n">
        <v>8.18</v>
      </c>
      <c r="K30" s="218" t="inlineStr">
        <is>
          <t>B+</t>
        </is>
      </c>
      <c r="L30" s="211" t="inlineStr">
        <is>
          <t>A-</t>
        </is>
      </c>
      <c r="M30" s="37" t="inlineStr">
        <is>
          <t>A+</t>
        </is>
      </c>
      <c r="N30" s="47">
        <f>TRUNC(AVERAGE(D30:J30),2)</f>
        <v/>
      </c>
      <c r="O30" s="212" t="inlineStr">
        <is>
          <t>S</t>
        </is>
      </c>
      <c r="P30" s="77" t="inlineStr">
        <is>
          <t>PROMOVIDO</t>
        </is>
      </c>
      <c r="Q30" s="213" t="n"/>
    </row>
    <row r="31" ht="15" customHeight="1" s="254">
      <c r="A31" s="217" t="n">
        <v>24</v>
      </c>
      <c r="B31" s="214" t="inlineStr">
        <is>
          <t>MOROCHO PELAEZ DANIELA FERNANDA</t>
        </is>
      </c>
      <c r="C31" s="215" t="n"/>
      <c r="D31" s="159" t="n">
        <v>8.69</v>
      </c>
      <c r="E31" s="160" t="n">
        <v>7.68</v>
      </c>
      <c r="F31" s="126" t="n">
        <v>7.78</v>
      </c>
      <c r="G31" s="54" t="n">
        <v>7.78</v>
      </c>
      <c r="H31" s="175" t="n">
        <v>8.119999999999999</v>
      </c>
      <c r="I31" s="216" t="n">
        <v>9.33</v>
      </c>
      <c r="J31" s="43" t="n">
        <v>9.24</v>
      </c>
      <c r="K31" s="218" t="inlineStr">
        <is>
          <t>B+</t>
        </is>
      </c>
      <c r="L31" s="211" t="inlineStr">
        <is>
          <t>A-</t>
        </is>
      </c>
      <c r="M31" s="37" t="inlineStr">
        <is>
          <t>A+</t>
        </is>
      </c>
      <c r="N31" s="47">
        <f>TRUNC(AVERAGE(D31:J31),2)</f>
        <v/>
      </c>
      <c r="O31" s="212" t="inlineStr">
        <is>
          <t>S</t>
        </is>
      </c>
      <c r="P31" s="77" t="inlineStr">
        <is>
          <t>PROMOVIDO</t>
        </is>
      </c>
      <c r="Q31" s="213" t="n"/>
    </row>
    <row r="32" ht="15" customHeight="1" s="254">
      <c r="A32" s="75" t="n">
        <v>25</v>
      </c>
      <c r="B32" s="214" t="inlineStr">
        <is>
          <t>OVILLO GUALLPA JIMMY XAVIER</t>
        </is>
      </c>
      <c r="C32" s="215" t="n"/>
      <c r="D32" s="159" t="n">
        <v>9.140000000000001</v>
      </c>
      <c r="E32" s="160" t="n">
        <v>9.48</v>
      </c>
      <c r="F32" s="126" t="n">
        <v>9.09</v>
      </c>
      <c r="G32" s="54" t="n">
        <v>9.289999999999999</v>
      </c>
      <c r="H32" s="172" t="n">
        <v>8.859999999999999</v>
      </c>
      <c r="I32" s="216" t="n">
        <v>9.85</v>
      </c>
      <c r="J32" s="43" t="n">
        <v>9.94</v>
      </c>
      <c r="K32" s="218" t="inlineStr">
        <is>
          <t>A-</t>
        </is>
      </c>
      <c r="L32" s="211" t="inlineStr">
        <is>
          <t>A+</t>
        </is>
      </c>
      <c r="M32" s="37" t="inlineStr">
        <is>
          <t>A+</t>
        </is>
      </c>
      <c r="N32" s="47">
        <f>TRUNC(AVERAGE(D32:J32),2)</f>
        <v/>
      </c>
      <c r="O32" s="212" t="inlineStr">
        <is>
          <t>S</t>
        </is>
      </c>
      <c r="P32" s="77" t="inlineStr">
        <is>
          <t>PROMOVIDO</t>
        </is>
      </c>
      <c r="Q32" s="213" t="n"/>
    </row>
    <row r="33" ht="15" customHeight="1" s="254">
      <c r="A33" s="75" t="n">
        <v>26</v>
      </c>
      <c r="B33" s="214" t="inlineStr">
        <is>
          <t>PERALTA MENDEZ SAMUEL MATEO</t>
        </is>
      </c>
      <c r="C33" s="215" t="n"/>
      <c r="D33" s="159" t="n">
        <v>9.59</v>
      </c>
      <c r="E33" s="160" t="n">
        <v>9.58</v>
      </c>
      <c r="F33" s="126" t="n">
        <v>9.49</v>
      </c>
      <c r="G33" s="54" t="n">
        <v>9.4</v>
      </c>
      <c r="H33" s="175" t="n">
        <v>9.9</v>
      </c>
      <c r="I33" s="216" t="n">
        <v>9.720000000000001</v>
      </c>
      <c r="J33" s="43" t="n">
        <v>9.74</v>
      </c>
      <c r="K33" s="218" t="inlineStr">
        <is>
          <t>A+</t>
        </is>
      </c>
      <c r="L33" s="211" t="inlineStr">
        <is>
          <t>A+</t>
        </is>
      </c>
      <c r="M33" s="37" t="inlineStr">
        <is>
          <t>A+</t>
        </is>
      </c>
      <c r="N33" s="47">
        <f>TRUNC(AVERAGE(D33:J33),2)</f>
        <v/>
      </c>
      <c r="O33" s="212" t="inlineStr">
        <is>
          <t>S</t>
        </is>
      </c>
      <c r="P33" s="77" t="inlineStr">
        <is>
          <t>PROMOVIDO</t>
        </is>
      </c>
      <c r="Q33" s="213" t="n"/>
    </row>
    <row r="34" ht="15" customHeight="1" s="254">
      <c r="A34" s="217" t="n">
        <v>27</v>
      </c>
      <c r="B34" s="214" t="inlineStr">
        <is>
          <t>PEÑA ORELLANA MATEO ALEXANDER</t>
        </is>
      </c>
      <c r="C34" s="215" t="n"/>
      <c r="D34" s="159" t="n">
        <v>8.789999999999999</v>
      </c>
      <c r="E34" s="160" t="n">
        <v>8.93</v>
      </c>
      <c r="F34" s="126" t="n">
        <v>8.42</v>
      </c>
      <c r="G34" s="54" t="n">
        <v>8.52</v>
      </c>
      <c r="H34" s="175" t="n">
        <v>8.9</v>
      </c>
      <c r="I34" s="216" t="n">
        <v>9.4</v>
      </c>
      <c r="J34" s="43" t="n">
        <v>9.800000000000001</v>
      </c>
      <c r="K34" s="218" t="inlineStr">
        <is>
          <t>A-</t>
        </is>
      </c>
      <c r="L34" s="211" t="inlineStr">
        <is>
          <t>A+</t>
        </is>
      </c>
      <c r="M34" s="37" t="inlineStr">
        <is>
          <t>A+</t>
        </is>
      </c>
      <c r="N34" s="47">
        <f>TRUNC(AVERAGE(D34:J34),2)</f>
        <v/>
      </c>
      <c r="O34" s="212" t="inlineStr">
        <is>
          <t>S</t>
        </is>
      </c>
      <c r="P34" s="77" t="inlineStr">
        <is>
          <t>PROMOVIDO</t>
        </is>
      </c>
      <c r="Q34" s="213" t="n"/>
    </row>
    <row r="35" ht="15" customHeight="1" s="254">
      <c r="A35" s="75" t="n">
        <v>28</v>
      </c>
      <c r="B35" s="214" t="inlineStr">
        <is>
          <t>PINTADO ROBLES ADELA BELEN</t>
        </is>
      </c>
      <c r="C35" s="215" t="n"/>
      <c r="D35" s="159" t="n">
        <v>9.77</v>
      </c>
      <c r="E35" s="160" t="n">
        <v>9.369999999999999</v>
      </c>
      <c r="F35" s="126" t="n">
        <v>9.07</v>
      </c>
      <c r="G35" s="54" t="n">
        <v>9.18</v>
      </c>
      <c r="H35" s="172" t="n">
        <v>9.539999999999999</v>
      </c>
      <c r="I35" s="216" t="n">
        <v>9.84</v>
      </c>
      <c r="J35" s="43" t="n">
        <v>9.93</v>
      </c>
      <c r="K35" s="218" t="inlineStr">
        <is>
          <t>A-</t>
        </is>
      </c>
      <c r="L35" s="211" t="inlineStr">
        <is>
          <t>A+</t>
        </is>
      </c>
      <c r="M35" s="37" t="inlineStr">
        <is>
          <t>A+</t>
        </is>
      </c>
      <c r="N35" s="47">
        <f>TRUNC(AVERAGE(D35:J35),2)</f>
        <v/>
      </c>
      <c r="O35" s="212" t="inlineStr">
        <is>
          <t>S</t>
        </is>
      </c>
      <c r="P35" s="77" t="inlineStr">
        <is>
          <t>PROMOVIDO</t>
        </is>
      </c>
      <c r="Q35" s="213" t="n"/>
    </row>
    <row r="36" ht="15" customHeight="1" s="254">
      <c r="A36" s="75" t="n">
        <v>29</v>
      </c>
      <c r="B36" s="292" t="inlineStr">
        <is>
          <t>PONCE SANCHEZ NAOMI MADELEIN</t>
        </is>
      </c>
      <c r="C36" s="215" t="n"/>
      <c r="D36" s="159" t="n">
        <v>8.23</v>
      </c>
      <c r="E36" s="160" t="n">
        <v>7.53</v>
      </c>
      <c r="F36" s="290" t="n">
        <v>7.38</v>
      </c>
      <c r="G36" s="54" t="n">
        <v>7.69</v>
      </c>
      <c r="H36" s="172" t="n">
        <v>7.43</v>
      </c>
      <c r="I36" s="216" t="n">
        <v>8.949999999999999</v>
      </c>
      <c r="J36" s="43" t="n">
        <v>8.44</v>
      </c>
      <c r="K36" s="218" t="inlineStr">
        <is>
          <t>A-</t>
        </is>
      </c>
      <c r="L36" s="211" t="inlineStr">
        <is>
          <t>A-</t>
        </is>
      </c>
      <c r="M36" s="37" t="inlineStr">
        <is>
          <t>A-</t>
        </is>
      </c>
      <c r="N36" s="47">
        <f>TRUNC(AVERAGE(D36:J36),2)</f>
        <v/>
      </c>
      <c r="O36" s="212" t="inlineStr">
        <is>
          <t>F</t>
        </is>
      </c>
      <c r="P36" s="77" t="inlineStr">
        <is>
          <t>PROMOVIDO</t>
        </is>
      </c>
      <c r="Q36" s="213" t="n"/>
    </row>
    <row r="37" ht="15" customHeight="1" s="254">
      <c r="A37" s="217" t="n">
        <v>30</v>
      </c>
      <c r="B37" s="214" t="inlineStr">
        <is>
          <t>QUIZHPE MUÑOZ JHON ESTIVEN</t>
        </is>
      </c>
      <c r="C37" s="215" t="n"/>
      <c r="D37" s="159" t="n">
        <v>7.56</v>
      </c>
      <c r="E37" s="160" t="n">
        <v>7</v>
      </c>
      <c r="F37" s="126" t="n">
        <v>7</v>
      </c>
      <c r="G37" s="54" t="n">
        <v>7</v>
      </c>
      <c r="H37" s="172" t="n">
        <v>7</v>
      </c>
      <c r="I37" s="216" t="n">
        <v>8.17</v>
      </c>
      <c r="J37" s="43" t="n">
        <v>8.66</v>
      </c>
      <c r="K37" s="218" t="inlineStr">
        <is>
          <t>B+</t>
        </is>
      </c>
      <c r="L37" s="211" t="inlineStr">
        <is>
          <t>A-</t>
        </is>
      </c>
      <c r="M37" s="37" t="inlineStr">
        <is>
          <t>B+</t>
        </is>
      </c>
      <c r="N37" s="47">
        <f>TRUNC(AVERAGE(D37:J37),2)</f>
        <v/>
      </c>
      <c r="O37" s="212" t="inlineStr">
        <is>
          <t>S</t>
        </is>
      </c>
      <c r="P37" s="77" t="inlineStr">
        <is>
          <t>PROMOVIDO</t>
        </is>
      </c>
      <c r="Q37" s="213" t="n"/>
    </row>
    <row r="38" ht="15" customHeight="1" s="254">
      <c r="A38" s="75" t="n">
        <v>31</v>
      </c>
      <c r="B38" s="214" t="inlineStr">
        <is>
          <t>RIVERA GARCIA EMILY MICHELLE</t>
        </is>
      </c>
      <c r="C38" s="215" t="n"/>
      <c r="D38" s="159" t="n">
        <v>8.94</v>
      </c>
      <c r="E38" s="160" t="n">
        <v>7.98</v>
      </c>
      <c r="F38" s="126" t="n">
        <v>8.18</v>
      </c>
      <c r="G38" s="54" t="n">
        <v>8.43</v>
      </c>
      <c r="H38" s="172" t="n">
        <v>8.630000000000001</v>
      </c>
      <c r="I38" s="216" t="n">
        <v>9.220000000000001</v>
      </c>
      <c r="J38" s="43" t="n">
        <v>9.029999999999999</v>
      </c>
      <c r="K38" s="218" t="inlineStr">
        <is>
          <t>B+</t>
        </is>
      </c>
      <c r="L38" s="211" t="inlineStr">
        <is>
          <t>A+</t>
        </is>
      </c>
      <c r="M38" s="37" t="inlineStr">
        <is>
          <t>A-</t>
        </is>
      </c>
      <c r="N38" s="47">
        <f>TRUNC(AVERAGE(D38:J38),2)</f>
        <v/>
      </c>
      <c r="O38" s="212" t="inlineStr">
        <is>
          <t>S</t>
        </is>
      </c>
      <c r="P38" s="77" t="inlineStr">
        <is>
          <t>PROMOVIDO</t>
        </is>
      </c>
      <c r="Q38" s="213" t="n"/>
    </row>
    <row r="39" ht="16.5" customHeight="1" s="254">
      <c r="A39" s="75" t="n">
        <v>32</v>
      </c>
      <c r="B39" s="214" t="inlineStr">
        <is>
          <t>ROMERO ORELLANA AMILIS SOFIA</t>
        </is>
      </c>
      <c r="C39" s="215" t="n"/>
      <c r="D39" s="159" t="n">
        <v>9.16</v>
      </c>
      <c r="E39" s="160" t="n">
        <v>8.73</v>
      </c>
      <c r="F39" s="126" t="n">
        <v>8.9</v>
      </c>
      <c r="G39" s="54" t="n">
        <v>9.56</v>
      </c>
      <c r="H39" s="172" t="n">
        <v>9.210000000000001</v>
      </c>
      <c r="I39" s="216" t="n">
        <v>9.880000000000001</v>
      </c>
      <c r="J39" s="43" t="n">
        <v>9.56</v>
      </c>
      <c r="K39" s="218" t="inlineStr">
        <is>
          <t>A-</t>
        </is>
      </c>
      <c r="L39" s="211" t="inlineStr">
        <is>
          <t>A+</t>
        </is>
      </c>
      <c r="M39" s="37" t="inlineStr">
        <is>
          <t>A+</t>
        </is>
      </c>
      <c r="N39" s="47">
        <f>TRUNC(AVERAGE(D39:J39),2)</f>
        <v/>
      </c>
      <c r="O39" s="212" t="inlineStr">
        <is>
          <t>S</t>
        </is>
      </c>
      <c r="P39" s="77" t="inlineStr">
        <is>
          <t>PROMOVIDO</t>
        </is>
      </c>
      <c r="Q39" s="213" t="n"/>
    </row>
    <row r="40" ht="15" customHeight="1" s="254">
      <c r="A40" s="217" t="n">
        <v>33</v>
      </c>
      <c r="B40" s="214" t="inlineStr">
        <is>
          <t>SARAGURO CARCHIPULLA JOAN ALEXANDER</t>
        </is>
      </c>
      <c r="C40" s="215" t="n"/>
      <c r="D40" s="159" t="n">
        <v>8.210000000000001</v>
      </c>
      <c r="E40" s="160" t="n">
        <v>8.1</v>
      </c>
      <c r="F40" s="126" t="n">
        <v>7.31</v>
      </c>
      <c r="G40" s="54" t="n">
        <v>7.92</v>
      </c>
      <c r="H40" s="172" t="n">
        <v>7.32</v>
      </c>
      <c r="I40" s="216" t="n">
        <v>8.300000000000001</v>
      </c>
      <c r="J40" s="43" t="n">
        <v>7.92</v>
      </c>
      <c r="K40" s="218" t="inlineStr">
        <is>
          <t>B+</t>
        </is>
      </c>
      <c r="L40" s="211" t="inlineStr">
        <is>
          <t>A-</t>
        </is>
      </c>
      <c r="M40" s="37" t="inlineStr">
        <is>
          <t>A-</t>
        </is>
      </c>
      <c r="N40" s="47">
        <f>TRUNC(AVERAGE(D40:J40),2)</f>
        <v/>
      </c>
      <c r="O40" s="212" t="inlineStr">
        <is>
          <t>O</t>
        </is>
      </c>
      <c r="P40" s="77" t="inlineStr">
        <is>
          <t>PROMOVIDO</t>
        </is>
      </c>
      <c r="Q40" s="213" t="n"/>
    </row>
    <row r="41" ht="14.25" customHeight="1" s="254">
      <c r="A41" s="75" t="n">
        <v>34</v>
      </c>
      <c r="B41" s="292" t="inlineStr">
        <is>
          <t>SOLIZ GUZHÑAY MATEO ISMAEL</t>
        </is>
      </c>
      <c r="C41" s="215" t="n"/>
      <c r="D41" s="159" t="n">
        <v>8.539999999999999</v>
      </c>
      <c r="E41" s="160" t="n">
        <v>7.89</v>
      </c>
      <c r="F41" s="126" t="n">
        <v>7.77</v>
      </c>
      <c r="G41" s="54" t="n">
        <v>8.17</v>
      </c>
      <c r="H41" s="172" t="n">
        <v>7.57</v>
      </c>
      <c r="I41" s="216" t="n">
        <v>8.970000000000001</v>
      </c>
      <c r="J41" s="290" t="n">
        <v>8.4</v>
      </c>
      <c r="K41" s="218" t="inlineStr">
        <is>
          <t>A-</t>
        </is>
      </c>
      <c r="L41" s="211" t="inlineStr">
        <is>
          <t>A-</t>
        </is>
      </c>
      <c r="M41" s="37" t="inlineStr">
        <is>
          <t>A-</t>
        </is>
      </c>
      <c r="N41" s="47">
        <f>TRUNC(AVERAGE(D41:J41),2)</f>
        <v/>
      </c>
      <c r="O41" s="212" t="inlineStr">
        <is>
          <t>S</t>
        </is>
      </c>
      <c r="P41" s="77" t="inlineStr">
        <is>
          <t>PROMOVIDO</t>
        </is>
      </c>
      <c r="Q41" s="213" t="n"/>
    </row>
    <row r="42" ht="15" customHeight="1" s="254">
      <c r="A42" s="75" t="n">
        <v>35</v>
      </c>
      <c r="B42" s="214" t="inlineStr">
        <is>
          <t>SONGOR LLIVISACA DAYANNA DEL CISNE</t>
        </is>
      </c>
      <c r="C42" s="215" t="n"/>
      <c r="D42" s="159" t="n">
        <v>8.33</v>
      </c>
      <c r="E42" s="160" t="n">
        <v>7.54</v>
      </c>
      <c r="F42" s="126" t="n">
        <v>7.05</v>
      </c>
      <c r="G42" s="54" t="n">
        <v>7.2</v>
      </c>
      <c r="H42" s="172" t="n">
        <v>7.21</v>
      </c>
      <c r="I42" s="216" t="n">
        <v>8.9</v>
      </c>
      <c r="J42" s="43" t="n">
        <v>8.630000000000001</v>
      </c>
      <c r="K42" s="218" t="inlineStr">
        <is>
          <t>A-</t>
        </is>
      </c>
      <c r="L42" s="211" t="inlineStr">
        <is>
          <t>A-</t>
        </is>
      </c>
      <c r="M42" s="37" t="inlineStr">
        <is>
          <t>A-</t>
        </is>
      </c>
      <c r="N42" s="47">
        <f>TRUNC(AVERAGE(D42:J42),2)</f>
        <v/>
      </c>
      <c r="O42" s="212" t="inlineStr">
        <is>
          <t>S</t>
        </is>
      </c>
      <c r="P42" s="77" t="inlineStr">
        <is>
          <t>PROMOVIDO</t>
        </is>
      </c>
      <c r="Q42" s="213" t="n"/>
    </row>
    <row r="43" ht="15" customHeight="1" s="254">
      <c r="A43" s="217" t="n">
        <v>36</v>
      </c>
      <c r="B43" s="214" t="inlineStr">
        <is>
          <t>TENEZACA JARRIN JEYKING NICOLAS</t>
        </is>
      </c>
      <c r="C43" s="215" t="n"/>
      <c r="D43" s="159" t="n">
        <v>8.59</v>
      </c>
      <c r="E43" s="160" t="n">
        <v>8.16</v>
      </c>
      <c r="F43" s="126" t="n">
        <v>7.6</v>
      </c>
      <c r="G43" s="54" t="n">
        <v>8.369999999999999</v>
      </c>
      <c r="H43" s="172" t="n">
        <v>8</v>
      </c>
      <c r="I43" s="216" t="n">
        <v>9.09</v>
      </c>
      <c r="J43" s="43" t="n">
        <v>8.869999999999999</v>
      </c>
      <c r="K43" s="218" t="inlineStr">
        <is>
          <t>B+</t>
        </is>
      </c>
      <c r="L43" s="211" t="inlineStr">
        <is>
          <t>A-</t>
        </is>
      </c>
      <c r="M43" s="37" t="inlineStr">
        <is>
          <t>A-</t>
        </is>
      </c>
      <c r="N43" s="47">
        <f>TRUNC(AVERAGE(D43:J43),2)</f>
        <v/>
      </c>
      <c r="O43" s="212" t="inlineStr">
        <is>
          <t>S</t>
        </is>
      </c>
      <c r="P43" s="77" t="inlineStr">
        <is>
          <t>PROMOVIDO</t>
        </is>
      </c>
      <c r="Q43" s="213" t="n"/>
    </row>
    <row r="44" ht="15" customHeight="1" s="254">
      <c r="A44" s="75" t="n">
        <v>37</v>
      </c>
      <c r="B44" s="214" t="inlineStr">
        <is>
          <t>TOCTE CORRALES JORDY ALEXANDER</t>
        </is>
      </c>
      <c r="C44" s="215" t="n"/>
      <c r="D44" s="159" t="n">
        <v>8.109999999999999</v>
      </c>
      <c r="E44" s="160" t="n">
        <v>7.31</v>
      </c>
      <c r="F44" s="126" t="n">
        <v>7.79</v>
      </c>
      <c r="G44" s="54" t="n">
        <v>8.359999999999999</v>
      </c>
      <c r="H44" s="172" t="n">
        <v>7.41</v>
      </c>
      <c r="I44" s="216" t="n">
        <v>8.93</v>
      </c>
      <c r="J44" s="43" t="n">
        <v>8.859999999999999</v>
      </c>
      <c r="K44" s="218" t="inlineStr">
        <is>
          <t>B+</t>
        </is>
      </c>
      <c r="L44" s="211" t="inlineStr">
        <is>
          <t>A+</t>
        </is>
      </c>
      <c r="M44" s="37" t="inlineStr">
        <is>
          <t>A-</t>
        </is>
      </c>
      <c r="N44" s="47">
        <f>TRUNC(AVERAGE(D44:J44),2)</f>
        <v/>
      </c>
      <c r="O44" s="212" t="inlineStr">
        <is>
          <t>S</t>
        </is>
      </c>
      <c r="P44" s="77" t="inlineStr">
        <is>
          <t>PROMOVIDO</t>
        </is>
      </c>
      <c r="Q44" s="213" t="n"/>
    </row>
    <row r="45" ht="15" customHeight="1" s="254">
      <c r="A45" s="75" t="n">
        <v>38</v>
      </c>
      <c r="B45" s="214" t="inlineStr">
        <is>
          <t>TORRES SARMIENTO DANIEL MAXIMILIANO</t>
        </is>
      </c>
      <c r="C45" s="215" t="n"/>
      <c r="D45" s="159" t="n">
        <v>8.460000000000001</v>
      </c>
      <c r="E45" s="160" t="n">
        <v>7.85</v>
      </c>
      <c r="F45" s="126" t="n">
        <v>7.44</v>
      </c>
      <c r="G45" s="54" t="n">
        <v>8.279999999999999</v>
      </c>
      <c r="H45" s="172" t="n">
        <v>7.36</v>
      </c>
      <c r="I45" s="216" t="n">
        <v>9.029999999999999</v>
      </c>
      <c r="J45" s="43" t="n">
        <v>8.93</v>
      </c>
      <c r="K45" s="218" t="inlineStr">
        <is>
          <t>B-</t>
        </is>
      </c>
      <c r="L45" s="211" t="inlineStr">
        <is>
          <t>A-</t>
        </is>
      </c>
      <c r="M45" s="37" t="inlineStr">
        <is>
          <t>A-</t>
        </is>
      </c>
      <c r="N45" s="47">
        <f>TRUNC(AVERAGE(D45:J45),2)</f>
        <v/>
      </c>
      <c r="O45" s="212" t="inlineStr">
        <is>
          <t>F</t>
        </is>
      </c>
      <c r="P45" s="77" t="inlineStr">
        <is>
          <t>PROMOVIDO</t>
        </is>
      </c>
      <c r="Q45" s="12" t="n"/>
    </row>
    <row r="46" ht="15" customHeight="1" s="254">
      <c r="A46" s="217" t="n">
        <v>39</v>
      </c>
      <c r="B46" s="214" t="inlineStr">
        <is>
          <t>VILLAVICENCIO NAVARRO DARWIN ADRIAN</t>
        </is>
      </c>
      <c r="C46" s="215" t="n"/>
      <c r="D46" s="135" t="n">
        <v>8.460000000000001</v>
      </c>
      <c r="E46" s="160" t="n">
        <v>7.44</v>
      </c>
      <c r="F46" s="126" t="n">
        <v>7.43</v>
      </c>
      <c r="G46" s="54" t="n">
        <v>7.77</v>
      </c>
      <c r="H46" s="172" t="n">
        <v>8.07</v>
      </c>
      <c r="I46" s="216" t="n">
        <v>8.59</v>
      </c>
      <c r="J46" s="43" t="n">
        <v>8.51</v>
      </c>
      <c r="K46" s="218" t="inlineStr">
        <is>
          <t>A-</t>
        </is>
      </c>
      <c r="L46" s="211" t="inlineStr">
        <is>
          <t>A+</t>
        </is>
      </c>
      <c r="M46" s="37" t="inlineStr">
        <is>
          <t>A-</t>
        </is>
      </c>
      <c r="N46" s="47">
        <f>TRUNC(AVERAGE(D46:J46),2)</f>
        <v/>
      </c>
      <c r="O46" s="212" t="inlineStr">
        <is>
          <t>S</t>
        </is>
      </c>
      <c r="P46" s="219" t="inlineStr">
        <is>
          <t>PROMOVIDO</t>
        </is>
      </c>
      <c r="Q46" s="12" t="n"/>
    </row>
    <row r="47" ht="14.25" customHeight="1" s="254">
      <c r="A47" s="75" t="n">
        <v>40</v>
      </c>
      <c r="B47" s="214" t="inlineStr">
        <is>
          <t>VIÑANZACA VIÑANSACA DAYANNA GUADALUPE</t>
        </is>
      </c>
      <c r="C47" s="215" t="n"/>
      <c r="D47" s="135" t="n">
        <v>8.73</v>
      </c>
      <c r="E47" s="160" t="n">
        <v>8.51</v>
      </c>
      <c r="F47" s="126" t="n">
        <v>8.779999999999999</v>
      </c>
      <c r="G47" s="54" t="n">
        <v>9.039999999999999</v>
      </c>
      <c r="H47" s="172" t="n">
        <v>8.359999999999999</v>
      </c>
      <c r="I47" s="216" t="n">
        <v>9.44</v>
      </c>
      <c r="J47" s="43" t="n">
        <v>9.34</v>
      </c>
      <c r="K47" s="218" t="inlineStr">
        <is>
          <t>A-</t>
        </is>
      </c>
      <c r="L47" s="211" t="inlineStr">
        <is>
          <t>A+</t>
        </is>
      </c>
      <c r="M47" s="37" t="inlineStr">
        <is>
          <t>A+</t>
        </is>
      </c>
      <c r="N47" s="47">
        <f>TRUNC(AVERAGE(D47:J47),2)</f>
        <v/>
      </c>
      <c r="O47" s="212" t="inlineStr">
        <is>
          <t>S</t>
        </is>
      </c>
      <c r="P47" s="219" t="inlineStr">
        <is>
          <t>PROMOVIDO</t>
        </is>
      </c>
      <c r="Q47" s="12" t="n"/>
    </row>
    <row r="48" ht="14.25" customHeight="1" s="254">
      <c r="B48" s="263" t="inlineStr">
        <is>
          <t>Promedio</t>
        </is>
      </c>
      <c r="D48" s="135">
        <f>AVERAGE(D10:D47)</f>
        <v/>
      </c>
      <c r="E48" s="80">
        <f>AVERAGE(E10:E47)</f>
        <v/>
      </c>
      <c r="F48" s="81">
        <f>AVERAGE(F10:F47)</f>
        <v/>
      </c>
      <c r="G48" s="82">
        <f>AVERAGE(G10:G47)</f>
        <v/>
      </c>
      <c r="H48" s="83">
        <f>AVERAGE(H10:H47)</f>
        <v/>
      </c>
      <c r="I48" s="180">
        <f>AVERAGE(I10:I47)</f>
        <v/>
      </c>
      <c r="J48" s="85">
        <f>AVERAGE(J10:J47)</f>
        <v/>
      </c>
      <c r="K48" s="181" t="n"/>
      <c r="L48" s="220" t="n"/>
      <c r="M48" s="220" t="n"/>
      <c r="N48" s="47">
        <f>AVERAGE(N10:N47)</f>
        <v/>
      </c>
      <c r="O48" s="221" t="n"/>
      <c r="P48" s="153" t="n"/>
    </row>
    <row r="49" ht="14.25" customHeight="1" s="254"/>
    <row r="50" ht="14.25" customHeight="1" s="254">
      <c r="B50" s="264" t="inlineStr">
        <is>
          <t xml:space="preserve">Ing. Sonia Chicaiza Mgtr. </t>
        </is>
      </c>
      <c r="D50" s="283" t="inlineStr">
        <is>
          <t xml:space="preserve">Lcda. Isabel Carpio Mgtr. </t>
        </is>
      </c>
      <c r="E50" s="266" t="n"/>
      <c r="F50" s="266" t="n"/>
      <c r="G50" s="267" t="n"/>
      <c r="H50" s="223" t="n"/>
      <c r="I50" s="283" t="inlineStr">
        <is>
          <t>Ing. Javier Velez</t>
        </is>
      </c>
      <c r="J50" s="266" t="n"/>
      <c r="K50" s="266" t="n"/>
      <c r="L50" s="267" t="n"/>
    </row>
    <row r="51" ht="14.25" customHeight="1" s="254">
      <c r="B51" s="264" t="inlineStr">
        <is>
          <t>Rectora (e)</t>
        </is>
      </c>
      <c r="D51" s="283" t="inlineStr">
        <is>
          <t>Vicerrectora (e)Matutina</t>
        </is>
      </c>
      <c r="E51" s="266" t="n"/>
      <c r="F51" s="266" t="n"/>
      <c r="G51" s="267" t="n"/>
      <c r="H51" s="223" t="n"/>
      <c r="I51" s="283" t="inlineStr">
        <is>
          <t>Docente Tutor</t>
        </is>
      </c>
      <c r="J51" s="266" t="n"/>
      <c r="K51" s="266" t="n"/>
      <c r="L51" s="267" t="n"/>
    </row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</sheetData>
  <mergeCells count="16">
    <mergeCell ref="I50:L50"/>
    <mergeCell ref="B6:P6"/>
    <mergeCell ref="I4:J4"/>
    <mergeCell ref="B2:P2"/>
    <mergeCell ref="B7:C7"/>
    <mergeCell ref="B48:C48"/>
    <mergeCell ref="K3:N3"/>
    <mergeCell ref="A1:P1"/>
    <mergeCell ref="D50:G50"/>
    <mergeCell ref="B51:C51"/>
    <mergeCell ref="I51:L51"/>
    <mergeCell ref="C3:E3"/>
    <mergeCell ref="B50:C50"/>
    <mergeCell ref="D51:G51"/>
    <mergeCell ref="B8:C8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3.86" customWidth="1" style="254" min="16" max="16"/>
    <col width="20.57" customWidth="1" style="254" min="17" max="17"/>
    <col width="8" customWidth="1" style="254" min="18" max="18"/>
  </cols>
  <sheetData>
    <row r="1" ht="72.75" customHeight="1" s="254">
      <c r="A1" s="1" t="inlineStr">
        <is>
          <t>UNIDAD EDUCATIVA "ESTADOS UNIDOS DE NORTE AMÉRICA" 
Correo electrónico: eeuuescuela@gmail.com  eeuuvicerrectorado@gmail.com
Teléfono: (07)289-0677 Distrito: 01D01  Zona:6</t>
        </is>
      </c>
    </row>
    <row r="2" ht="15.75" customHeight="1" s="254">
      <c r="A2" s="284" t="inlineStr">
        <is>
          <t>AÑO LECTIVO: 2025-2026</t>
        </is>
      </c>
    </row>
    <row r="3" ht="14.25" customHeight="1" s="254">
      <c r="B3" s="4" t="inlineStr">
        <is>
          <t xml:space="preserve">DOCENTE:             </t>
        </is>
      </c>
      <c r="C3" s="5" t="n"/>
      <c r="F3" s="6" t="n"/>
      <c r="G3" s="6" t="n"/>
      <c r="H3" s="6" t="n"/>
      <c r="I3" s="7" t="inlineStr">
        <is>
          <t xml:space="preserve">JORNADA: </t>
        </is>
      </c>
      <c r="K3" s="8" t="inlineStr">
        <is>
          <t>MATUTINA</t>
        </is>
      </c>
    </row>
    <row r="4" ht="14.25" customHeight="1" s="254">
      <c r="B4" s="9" t="inlineStr">
        <is>
          <t xml:space="preserve">AÑO DE EGB:        </t>
        </is>
      </c>
      <c r="C4" s="10" t="inlineStr">
        <is>
          <t>DÉCIMO A</t>
        </is>
      </c>
      <c r="E4" s="6" t="n"/>
      <c r="F4" s="6" t="n"/>
      <c r="G4" s="6" t="n"/>
      <c r="H4" s="6" t="n"/>
      <c r="I4" s="7" t="n"/>
      <c r="K4" s="12" t="n"/>
      <c r="M4" s="6" t="n"/>
    </row>
    <row r="5" ht="15.75" customHeight="1" s="254">
      <c r="B5" s="255" t="inlineStr">
        <is>
          <t>CONSOLIDADO FINAL</t>
        </is>
      </c>
    </row>
    <row r="6" ht="157.5" customHeight="1" s="254">
      <c r="A6" s="193" t="inlineStr">
        <is>
          <t>No</t>
        </is>
      </c>
      <c r="B6" s="280" t="inlineStr">
        <is>
          <t>NOMINA</t>
        </is>
      </c>
      <c r="C6" s="256" t="n"/>
      <c r="D6" s="21" t="inlineStr">
        <is>
          <t>LENGUA Y LITERATURA</t>
        </is>
      </c>
      <c r="E6" s="22" t="inlineStr">
        <is>
          <t>MATEMÁTICA</t>
        </is>
      </c>
      <c r="F6" s="23" t="inlineStr">
        <is>
          <t>CIENCIAS NATURALES</t>
        </is>
      </c>
      <c r="G6" s="24" t="inlineStr">
        <is>
          <t>ESTUDIOS SOCIALES</t>
        </is>
      </c>
      <c r="H6" s="25" t="inlineStr">
        <is>
          <t>INGLÉS</t>
        </is>
      </c>
      <c r="I6" s="26" t="inlineStr">
        <is>
          <t>EDUCACIÓN CULTURAL Y ARTISTICA</t>
        </is>
      </c>
      <c r="J6" s="27" t="inlineStr">
        <is>
          <t>EDUCACIÓN FÍSICA</t>
        </is>
      </c>
      <c r="K6" s="28" t="inlineStr">
        <is>
          <t>ANIMACIÓN A LA LECTURA</t>
        </is>
      </c>
      <c r="L6" s="29" t="inlineStr">
        <is>
          <t>ACOMPAÑAMIENTO INTEGRAL EN EL AULA</t>
        </is>
      </c>
      <c r="M6" s="30" t="inlineStr">
        <is>
          <t>ORIENTACIÓN VOCACIONAL</t>
        </is>
      </c>
      <c r="N6" s="31" t="inlineStr">
        <is>
          <t>PROMEDIO FINAL</t>
        </is>
      </c>
      <c r="O6" s="32" t="inlineStr">
        <is>
          <t>CCOMPORTAMIENTO</t>
        </is>
      </c>
      <c r="P6" s="33" t="inlineStr">
        <is>
          <t>OBSERVACIONES</t>
        </is>
      </c>
    </row>
    <row r="7" ht="14.25" customHeight="1" s="254">
      <c r="A7" s="75" t="n">
        <v>1</v>
      </c>
      <c r="B7" s="225" t="inlineStr">
        <is>
          <t>ALBARRACIN QUIZHPI CRISTOPHER SEBASTIAN</t>
        </is>
      </c>
      <c r="C7" s="225" t="n"/>
      <c r="D7" s="135" t="n">
        <v>9.039999999999999</v>
      </c>
      <c r="E7" s="160" t="n">
        <v>8.4</v>
      </c>
      <c r="F7" s="126" t="n">
        <v>7.97</v>
      </c>
      <c r="G7" s="40" t="n">
        <v>9.24</v>
      </c>
      <c r="H7" s="114" t="n">
        <v>7.98</v>
      </c>
      <c r="I7" s="209" t="n">
        <v>9.27</v>
      </c>
      <c r="J7" s="43" t="n">
        <v>8.69</v>
      </c>
      <c r="K7" s="163" t="inlineStr">
        <is>
          <t>A+</t>
        </is>
      </c>
      <c r="L7" s="164" t="inlineStr">
        <is>
          <t>A+</t>
        </is>
      </c>
      <c r="M7" s="226" t="inlineStr">
        <is>
          <t>A-</t>
        </is>
      </c>
      <c r="N7" s="47">
        <f>TRUNC(AVERAGE(D7:J7),2)</f>
        <v/>
      </c>
      <c r="O7" s="165" t="inlineStr">
        <is>
          <t>S</t>
        </is>
      </c>
      <c r="P7" s="227" t="inlineStr">
        <is>
          <t>PROMOVIDO</t>
        </is>
      </c>
      <c r="Q7" s="213" t="n"/>
    </row>
    <row r="8" ht="15" customHeight="1" s="254">
      <c r="A8" s="75" t="n">
        <v>2</v>
      </c>
      <c r="B8" s="225" t="inlineStr">
        <is>
          <t>ALMACHI ALCIVAR FREDDY NERON</t>
        </is>
      </c>
      <c r="C8" s="225" t="n"/>
      <c r="D8" s="135" t="n">
        <v>9.619999999999999</v>
      </c>
      <c r="E8" s="160" t="n">
        <v>9.449999999999999</v>
      </c>
      <c r="F8" s="126" t="n">
        <v>9.16</v>
      </c>
      <c r="G8" s="54" t="n">
        <v>9.85</v>
      </c>
      <c r="H8" s="172" t="n">
        <v>9.77</v>
      </c>
      <c r="I8" s="216" t="n">
        <v>9.84</v>
      </c>
      <c r="J8" s="43" t="n">
        <v>9.85</v>
      </c>
      <c r="K8" s="163" t="inlineStr">
        <is>
          <t>A-</t>
        </is>
      </c>
      <c r="L8" s="164" t="inlineStr">
        <is>
          <t>A+</t>
        </is>
      </c>
      <c r="M8" s="228" t="inlineStr">
        <is>
          <t>A+</t>
        </is>
      </c>
      <c r="N8" s="47">
        <f>TRUNC(AVERAGE(D8:J8),2)</f>
        <v/>
      </c>
      <c r="O8" s="165" t="inlineStr">
        <is>
          <t>S</t>
        </is>
      </c>
      <c r="P8" s="227" t="inlineStr">
        <is>
          <t>PROMOVIDO</t>
        </is>
      </c>
      <c r="Q8" s="56" t="n"/>
      <c r="R8" s="57" t="n"/>
    </row>
    <row r="9" ht="15" customHeight="1" s="254">
      <c r="A9" s="75" t="n">
        <v>3</v>
      </c>
      <c r="B9" s="225" t="inlineStr">
        <is>
          <t>ANASICHA LEMACHE JHON ESTEVAN</t>
        </is>
      </c>
      <c r="C9" s="225" t="n"/>
      <c r="D9" s="135" t="n">
        <v>8.83</v>
      </c>
      <c r="E9" s="160" t="n">
        <v>8.109999999999999</v>
      </c>
      <c r="F9" s="126" t="n">
        <v>8.4</v>
      </c>
      <c r="G9" s="54" t="n">
        <v>8.76</v>
      </c>
      <c r="H9" s="172" t="n">
        <v>8.26</v>
      </c>
      <c r="I9" s="216" t="n">
        <v>9.220000000000001</v>
      </c>
      <c r="J9" s="43" t="n">
        <v>9.17</v>
      </c>
      <c r="K9" s="163" t="inlineStr">
        <is>
          <t>A-</t>
        </is>
      </c>
      <c r="L9" s="164" t="inlineStr">
        <is>
          <t>A+</t>
        </is>
      </c>
      <c r="M9" s="228" t="inlineStr">
        <is>
          <t>A-</t>
        </is>
      </c>
      <c r="N9" s="47">
        <f>TRUNC(AVERAGE(D9:J9),2)</f>
        <v/>
      </c>
      <c r="O9" s="165" t="inlineStr">
        <is>
          <t>S</t>
        </is>
      </c>
      <c r="P9" s="227" t="inlineStr">
        <is>
          <t>PROMOVIDO</t>
        </is>
      </c>
      <c r="Q9" s="56" t="n"/>
      <c r="R9" s="59" t="n"/>
    </row>
    <row r="10" ht="15" customHeight="1" s="254">
      <c r="A10" s="75" t="n">
        <v>4</v>
      </c>
      <c r="B10" s="69" t="inlineStr">
        <is>
          <t>APOLO ENRIQUEZ JAVIER SNYDER</t>
        </is>
      </c>
      <c r="C10" s="256" t="n"/>
      <c r="D10" s="135" t="n">
        <v>7.27</v>
      </c>
      <c r="E10" s="160" t="n">
        <v>7</v>
      </c>
      <c r="F10" s="126" t="n">
        <v>7</v>
      </c>
      <c r="G10" s="54" t="n">
        <v>7.02</v>
      </c>
      <c r="H10" s="175" t="n">
        <v>7</v>
      </c>
      <c r="I10" s="216" t="n">
        <v>7.68</v>
      </c>
      <c r="J10" s="43" t="n">
        <v>7.18</v>
      </c>
      <c r="K10" s="163" t="inlineStr">
        <is>
          <t>B-</t>
        </is>
      </c>
      <c r="L10" s="164" t="inlineStr">
        <is>
          <t>B-</t>
        </is>
      </c>
      <c r="M10" s="228" t="inlineStr">
        <is>
          <t>B+</t>
        </is>
      </c>
      <c r="N10" s="47">
        <f>TRUNC(AVERAGE(D10:J10),2)</f>
        <v/>
      </c>
      <c r="O10" s="165" t="inlineStr">
        <is>
          <t>F</t>
        </is>
      </c>
      <c r="P10" s="227" t="inlineStr">
        <is>
          <t>NO PROMOVIDO</t>
        </is>
      </c>
      <c r="Q10" s="229" t="n">
        <v>6.25</v>
      </c>
      <c r="R10" s="57" t="inlineStr">
        <is>
          <t>MMTT</t>
        </is>
      </c>
    </row>
    <row r="11" ht="15" customHeight="1" s="254">
      <c r="A11" s="75" t="n">
        <v>5</v>
      </c>
      <c r="B11" s="225" t="inlineStr">
        <is>
          <t>ARMIJOS HIDALGO ANTHONY ANDRES</t>
        </is>
      </c>
      <c r="C11" s="225" t="n"/>
      <c r="D11" s="135" t="n">
        <v>7.82</v>
      </c>
      <c r="E11" s="160" t="n">
        <v>7</v>
      </c>
      <c r="F11" s="126" t="n">
        <v>7</v>
      </c>
      <c r="G11" s="54" t="n">
        <v>7.43</v>
      </c>
      <c r="H11" s="172" t="n">
        <v>7</v>
      </c>
      <c r="I11" s="216" t="n">
        <v>8.210000000000001</v>
      </c>
      <c r="J11" s="43" t="n">
        <v>7</v>
      </c>
      <c r="K11" s="163" t="inlineStr">
        <is>
          <t>B+</t>
        </is>
      </c>
      <c r="L11" s="164" t="inlineStr">
        <is>
          <t>C-</t>
        </is>
      </c>
      <c r="M11" s="228" t="inlineStr">
        <is>
          <t>B+</t>
        </is>
      </c>
      <c r="N11" s="47">
        <f>TRUNC(AVERAGE(D11:J11),2)</f>
        <v/>
      </c>
      <c r="O11" s="165" t="inlineStr">
        <is>
          <t>O</t>
        </is>
      </c>
      <c r="P11" s="227" t="inlineStr">
        <is>
          <t>PROMOVIDO</t>
        </is>
      </c>
      <c r="Q11" s="213" t="n"/>
    </row>
    <row r="12" ht="15" customHeight="1" s="254">
      <c r="A12" s="75" t="n">
        <v>6</v>
      </c>
      <c r="B12" s="225" t="inlineStr">
        <is>
          <t>AYABACA ANDRADE PRISCILA TATIANA</t>
        </is>
      </c>
      <c r="C12" s="225" t="n"/>
      <c r="D12" s="135" t="n">
        <v>8.109999999999999</v>
      </c>
      <c r="E12" s="160" t="n">
        <v>7.93</v>
      </c>
      <c r="F12" s="126" t="n">
        <v>7.65</v>
      </c>
      <c r="G12" s="54" t="n">
        <v>8.31</v>
      </c>
      <c r="H12" s="172" t="n">
        <v>7.39</v>
      </c>
      <c r="I12" s="216" t="n">
        <v>9.5</v>
      </c>
      <c r="J12" s="43" t="n">
        <v>7.63</v>
      </c>
      <c r="K12" s="163" t="inlineStr">
        <is>
          <t>C+</t>
        </is>
      </c>
      <c r="L12" s="164" t="inlineStr">
        <is>
          <t>A+</t>
        </is>
      </c>
      <c r="M12" s="228" t="inlineStr">
        <is>
          <t>A-</t>
        </is>
      </c>
      <c r="N12" s="47">
        <f>TRUNC(AVERAGE(D12:J12),2)</f>
        <v/>
      </c>
      <c r="O12" s="165" t="inlineStr">
        <is>
          <t>S</t>
        </is>
      </c>
      <c r="P12" s="227" t="inlineStr">
        <is>
          <t>PROMOVIDO</t>
        </is>
      </c>
      <c r="Q12" s="213" t="n"/>
    </row>
    <row r="13" ht="15" customHeight="1" s="254">
      <c r="A13" s="75" t="n">
        <v>7</v>
      </c>
      <c r="B13" s="293" t="inlineStr">
        <is>
          <t>BARROS VELESACA EMILIO NICOLAS</t>
        </is>
      </c>
      <c r="C13" s="225" t="n"/>
      <c r="D13" s="135" t="n">
        <v>8.57</v>
      </c>
      <c r="E13" s="160" t="n">
        <v>7.24</v>
      </c>
      <c r="F13" s="126" t="n">
        <v>7.51</v>
      </c>
      <c r="G13" s="54" t="n">
        <v>7.59</v>
      </c>
      <c r="H13" s="175" t="n">
        <v>7.38</v>
      </c>
      <c r="I13" s="261" t="n">
        <v>8.390000000000001</v>
      </c>
      <c r="J13" s="43" t="n">
        <v>9.17</v>
      </c>
      <c r="K13" s="163" t="inlineStr">
        <is>
          <t>B-</t>
        </is>
      </c>
      <c r="L13" s="164" t="inlineStr">
        <is>
          <t>A+</t>
        </is>
      </c>
      <c r="M13" s="228" t="inlineStr">
        <is>
          <t>A-</t>
        </is>
      </c>
      <c r="N13" s="287">
        <f>TRUNC(AVERAGE(D13:J13),2)</f>
        <v/>
      </c>
      <c r="O13" s="165" t="inlineStr">
        <is>
          <t>S</t>
        </is>
      </c>
      <c r="P13" s="227" t="inlineStr">
        <is>
          <t>PROMOVIDO</t>
        </is>
      </c>
      <c r="Q13" s="213" t="n"/>
    </row>
    <row r="14" ht="15" customHeight="1" s="254">
      <c r="A14" s="75" t="n">
        <v>8</v>
      </c>
      <c r="B14" s="225" t="inlineStr">
        <is>
          <t>BARSALLO CORAISACA ANAHI NATALIA</t>
        </is>
      </c>
      <c r="C14" s="225" t="n"/>
      <c r="D14" s="135" t="n">
        <v>8.630000000000001</v>
      </c>
      <c r="E14" s="160" t="n">
        <v>8.57</v>
      </c>
      <c r="F14" s="126" t="n">
        <v>8.15</v>
      </c>
      <c r="G14" s="54" t="n">
        <v>8.460000000000001</v>
      </c>
      <c r="H14" s="175" t="n">
        <v>7.72</v>
      </c>
      <c r="I14" s="216" t="n">
        <v>9.220000000000001</v>
      </c>
      <c r="J14" s="43" t="n">
        <v>8.6</v>
      </c>
      <c r="K14" s="163" t="inlineStr">
        <is>
          <t>B+</t>
        </is>
      </c>
      <c r="L14" s="164" t="inlineStr">
        <is>
          <t>B-</t>
        </is>
      </c>
      <c r="M14" s="228" t="inlineStr">
        <is>
          <t>A-</t>
        </is>
      </c>
      <c r="N14" s="47">
        <f>TRUNC(AVERAGE(D14:J14),2)</f>
        <v/>
      </c>
      <c r="O14" s="165" t="inlineStr">
        <is>
          <t>F</t>
        </is>
      </c>
      <c r="P14" s="227" t="inlineStr">
        <is>
          <t>PROMOVIDO</t>
        </is>
      </c>
      <c r="Q14" s="213" t="n"/>
    </row>
    <row r="15" ht="15" customHeight="1" s="254">
      <c r="A15" s="75" t="n">
        <v>9</v>
      </c>
      <c r="B15" s="225" t="inlineStr">
        <is>
          <t>BASANTES LONDA JENNIFER VALERIA</t>
        </is>
      </c>
      <c r="C15" s="225" t="n"/>
      <c r="D15" s="135" t="n">
        <v>8.640000000000001</v>
      </c>
      <c r="E15" s="160" t="n">
        <v>8.529999999999999</v>
      </c>
      <c r="F15" s="126" t="n">
        <v>7.72</v>
      </c>
      <c r="G15" s="54" t="n">
        <v>8.859999999999999</v>
      </c>
      <c r="H15" s="175" t="n">
        <v>8.07</v>
      </c>
      <c r="I15" s="216" t="n">
        <v>9.289999999999999</v>
      </c>
      <c r="J15" s="43" t="n">
        <v>8.82</v>
      </c>
      <c r="K15" s="163" t="inlineStr">
        <is>
          <t>B+</t>
        </is>
      </c>
      <c r="L15" s="164" t="inlineStr">
        <is>
          <t>B-</t>
        </is>
      </c>
      <c r="M15" s="228" t="inlineStr">
        <is>
          <t>A-</t>
        </is>
      </c>
      <c r="N15" s="47">
        <f>TRUNC(AVERAGE(D15:J15),2)</f>
        <v/>
      </c>
      <c r="O15" s="165" t="inlineStr">
        <is>
          <t>F</t>
        </is>
      </c>
      <c r="P15" s="227" t="inlineStr">
        <is>
          <t>PROMOVIDO</t>
        </is>
      </c>
      <c r="Q15" s="213" t="n"/>
    </row>
    <row r="16" ht="15" customHeight="1" s="254">
      <c r="A16" s="75" t="n">
        <v>10</v>
      </c>
      <c r="B16" s="225" t="inlineStr">
        <is>
          <t>CABRERA CABRERA CRISTOFER REINALDO</t>
        </is>
      </c>
      <c r="C16" s="225" t="n"/>
      <c r="D16" s="135" t="n">
        <v>9.41</v>
      </c>
      <c r="E16" s="160" t="n">
        <v>9.27</v>
      </c>
      <c r="F16" s="126" t="n">
        <v>9.1</v>
      </c>
      <c r="G16" s="54" t="n">
        <v>9.92</v>
      </c>
      <c r="H16" s="172" t="n">
        <v>9.09</v>
      </c>
      <c r="I16" s="216" t="n">
        <v>9.869999999999999</v>
      </c>
      <c r="J16" s="43" t="n">
        <v>9.949999999999999</v>
      </c>
      <c r="K16" s="163" t="inlineStr">
        <is>
          <t>A-</t>
        </is>
      </c>
      <c r="L16" s="164" t="inlineStr">
        <is>
          <t>A+</t>
        </is>
      </c>
      <c r="M16" s="228" t="inlineStr">
        <is>
          <t>A+</t>
        </is>
      </c>
      <c r="N16" s="47">
        <f>TRUNC(AVERAGE(D16:J16),2)</f>
        <v/>
      </c>
      <c r="O16" s="165" t="inlineStr">
        <is>
          <t>S</t>
        </is>
      </c>
      <c r="P16" s="227" t="inlineStr">
        <is>
          <t>PROMOVIDO</t>
        </is>
      </c>
      <c r="Q16" s="213" t="n"/>
    </row>
    <row r="17" ht="15" customHeight="1" s="254">
      <c r="A17" s="75" t="n">
        <v>11</v>
      </c>
      <c r="B17" s="225" t="inlineStr">
        <is>
          <t>CALDAS GARCIA DAYANNA RASHEL</t>
        </is>
      </c>
      <c r="C17" s="225" t="n"/>
      <c r="D17" s="135" t="n">
        <v>9.5</v>
      </c>
      <c r="E17" s="160" t="n">
        <v>9.44</v>
      </c>
      <c r="F17" s="126" t="n">
        <v>9.369999999999999</v>
      </c>
      <c r="G17" s="54" t="n">
        <v>9.67</v>
      </c>
      <c r="H17" s="172" t="n">
        <v>9.49</v>
      </c>
      <c r="I17" s="216" t="n">
        <v>9.859999999999999</v>
      </c>
      <c r="J17" s="43" t="n">
        <v>9.949999999999999</v>
      </c>
      <c r="K17" s="163" t="inlineStr">
        <is>
          <t>A-</t>
        </is>
      </c>
      <c r="L17" s="164" t="inlineStr">
        <is>
          <t>B-</t>
        </is>
      </c>
      <c r="M17" s="228" t="inlineStr">
        <is>
          <t>A+</t>
        </is>
      </c>
      <c r="N17" s="47">
        <f>TRUNC(AVERAGE(D17:J17),2)</f>
        <v/>
      </c>
      <c r="O17" s="165" t="inlineStr">
        <is>
          <t>F</t>
        </is>
      </c>
      <c r="P17" s="227" t="inlineStr">
        <is>
          <t>PROMOVIDO</t>
        </is>
      </c>
      <c r="Q17" s="213" t="n"/>
    </row>
    <row r="18" ht="15" customHeight="1" s="254">
      <c r="A18" s="75" t="n">
        <v>12</v>
      </c>
      <c r="B18" s="69" t="inlineStr">
        <is>
          <t>CALI TINOCO MELANY ANAHÍ</t>
        </is>
      </c>
      <c r="C18" s="256" t="n"/>
      <c r="D18" s="135" t="n">
        <v>9.199999999999999</v>
      </c>
      <c r="E18" s="160" t="n">
        <v>8.02</v>
      </c>
      <c r="F18" s="126" t="n">
        <v>7.19</v>
      </c>
      <c r="G18" s="54" t="n">
        <v>8.289999999999999</v>
      </c>
      <c r="H18" s="172" t="n">
        <v>7.79</v>
      </c>
      <c r="I18" s="216" t="n">
        <v>9.56</v>
      </c>
      <c r="J18" s="43" t="n">
        <v>7.83</v>
      </c>
      <c r="K18" s="163" t="inlineStr">
        <is>
          <t>B+</t>
        </is>
      </c>
      <c r="L18" s="164" t="inlineStr">
        <is>
          <t>B-</t>
        </is>
      </c>
      <c r="M18" s="228" t="inlineStr">
        <is>
          <t>A-</t>
        </is>
      </c>
      <c r="N18" s="47">
        <f>TRUNC(AVERAGE(D18:J18),2)</f>
        <v/>
      </c>
      <c r="O18" s="165" t="inlineStr">
        <is>
          <t>F</t>
        </is>
      </c>
      <c r="P18" s="227" t="inlineStr">
        <is>
          <t>PROMOVIDO</t>
        </is>
      </c>
      <c r="Q18" s="213" t="n"/>
    </row>
    <row r="19" ht="15" customHeight="1" s="254">
      <c r="A19" s="75" t="n">
        <v>13</v>
      </c>
      <c r="B19" s="225" t="inlineStr">
        <is>
          <t>CARDENAS NIEMES ANTHONY DANIEL</t>
        </is>
      </c>
      <c r="C19" s="225" t="n"/>
      <c r="D19" s="135" t="n">
        <v>8.5</v>
      </c>
      <c r="E19" s="160" t="n">
        <v>8.130000000000001</v>
      </c>
      <c r="F19" s="126" t="n">
        <v>7.58</v>
      </c>
      <c r="G19" s="54" t="n">
        <v>8.06</v>
      </c>
      <c r="H19" s="172" t="n">
        <v>7.65</v>
      </c>
      <c r="I19" s="216" t="n">
        <v>9.15</v>
      </c>
      <c r="J19" s="43" t="n">
        <v>8.279999999999999</v>
      </c>
      <c r="K19" s="163" t="inlineStr">
        <is>
          <t>B+</t>
        </is>
      </c>
      <c r="L19" s="164" t="inlineStr">
        <is>
          <t>A+</t>
        </is>
      </c>
      <c r="M19" s="228" t="inlineStr">
        <is>
          <t>A-</t>
        </is>
      </c>
      <c r="N19" s="47">
        <f>TRUNC(AVERAGE(D19:J19),2)</f>
        <v/>
      </c>
      <c r="O19" s="165" t="inlineStr">
        <is>
          <t>S</t>
        </is>
      </c>
      <c r="P19" s="227" t="inlineStr">
        <is>
          <t>PROMOVIDO</t>
        </is>
      </c>
      <c r="Q19" s="213" t="n"/>
    </row>
    <row r="20" ht="15" customHeight="1" s="254">
      <c r="A20" s="75" t="n">
        <v>14</v>
      </c>
      <c r="B20" s="69" t="inlineStr">
        <is>
          <t>CHIQUI TIGSI PAMELA DAMARIS</t>
        </is>
      </c>
      <c r="C20" s="256" t="n"/>
      <c r="D20" s="135" t="n">
        <v>8.529999999999999</v>
      </c>
      <c r="E20" s="160" t="n">
        <v>8.23</v>
      </c>
      <c r="F20" s="126" t="n">
        <v>8.18</v>
      </c>
      <c r="G20" s="54" t="n">
        <v>9.6</v>
      </c>
      <c r="H20" s="172" t="n">
        <v>7.61</v>
      </c>
      <c r="I20" s="216" t="n">
        <v>9.69</v>
      </c>
      <c r="J20" s="43" t="n">
        <v>9.68</v>
      </c>
      <c r="K20" s="163" t="inlineStr">
        <is>
          <t>A-</t>
        </is>
      </c>
      <c r="L20" s="164" t="inlineStr">
        <is>
          <t>A+</t>
        </is>
      </c>
      <c r="M20" s="228" t="inlineStr">
        <is>
          <t>A-</t>
        </is>
      </c>
      <c r="N20" s="47">
        <f>TRUNC(AVERAGE(D20:J20),2)</f>
        <v/>
      </c>
      <c r="O20" s="165" t="inlineStr">
        <is>
          <t>S</t>
        </is>
      </c>
      <c r="P20" s="227" t="inlineStr">
        <is>
          <t>PROMOVIDO</t>
        </is>
      </c>
      <c r="Q20" s="213" t="n"/>
    </row>
    <row r="21" ht="15" customHeight="1" s="254">
      <c r="A21" s="75" t="n">
        <v>15</v>
      </c>
      <c r="B21" s="225" t="inlineStr">
        <is>
          <t>DELGADO UZHCA ISDRAEL ARMANDO</t>
        </is>
      </c>
      <c r="C21" s="225" t="n"/>
      <c r="D21" s="135" t="n">
        <v>8.07</v>
      </c>
      <c r="E21" s="160" t="n">
        <v>7.59</v>
      </c>
      <c r="F21" s="126" t="n">
        <v>7.2</v>
      </c>
      <c r="G21" s="54" t="n">
        <v>8.619999999999999</v>
      </c>
      <c r="H21" s="172" t="n">
        <v>7.31</v>
      </c>
      <c r="I21" s="216" t="n">
        <v>8.68</v>
      </c>
      <c r="J21" s="43" t="n">
        <v>7.78</v>
      </c>
      <c r="K21" s="163" t="inlineStr">
        <is>
          <t>B-</t>
        </is>
      </c>
      <c r="L21" s="164" t="inlineStr">
        <is>
          <t>B-</t>
        </is>
      </c>
      <c r="M21" s="228" t="inlineStr">
        <is>
          <t>A-</t>
        </is>
      </c>
      <c r="N21" s="47">
        <f>TRUNC(AVERAGE(D21:J21),2)</f>
        <v/>
      </c>
      <c r="O21" s="165" t="inlineStr">
        <is>
          <t>F</t>
        </is>
      </c>
      <c r="P21" s="227" t="inlineStr">
        <is>
          <t>PROMOVIDO</t>
        </is>
      </c>
      <c r="Q21" s="213" t="n"/>
    </row>
    <row r="22" ht="15" customHeight="1" s="254">
      <c r="A22" s="230" t="n">
        <v>16</v>
      </c>
      <c r="B22" s="225" t="inlineStr">
        <is>
          <t>DIAZ MISHQUERO KATHERINE MICHELLE</t>
        </is>
      </c>
      <c r="C22" s="225" t="n"/>
      <c r="D22" s="135" t="n">
        <v>9.23</v>
      </c>
      <c r="E22" s="160" t="n">
        <v>8.789999999999999</v>
      </c>
      <c r="F22" s="126" t="n">
        <v>7.74</v>
      </c>
      <c r="G22" s="54" t="n">
        <v>8.949999999999999</v>
      </c>
      <c r="H22" s="172" t="n">
        <v>7.76</v>
      </c>
      <c r="I22" s="216" t="n">
        <v>9.44</v>
      </c>
      <c r="J22" s="43" t="n">
        <v>8.82</v>
      </c>
      <c r="K22" s="163" t="inlineStr">
        <is>
          <t>B+</t>
        </is>
      </c>
      <c r="L22" s="164" t="inlineStr">
        <is>
          <t>B-</t>
        </is>
      </c>
      <c r="M22" s="228" t="inlineStr">
        <is>
          <t>A-</t>
        </is>
      </c>
      <c r="N22" s="47">
        <f>TRUNC(AVERAGE(D22:J22),2)</f>
        <v/>
      </c>
      <c r="O22" s="165" t="inlineStr">
        <is>
          <t>O</t>
        </is>
      </c>
      <c r="P22" s="227" t="inlineStr">
        <is>
          <t>PROMOVIDO</t>
        </is>
      </c>
      <c r="Q22" s="213" t="n"/>
    </row>
    <row r="23" ht="15" customHeight="1" s="254">
      <c r="A23" s="75" t="n">
        <v>17</v>
      </c>
      <c r="B23" s="69" t="inlineStr">
        <is>
          <t>DUTA ESPINOZA MIKE ANTHONY</t>
        </is>
      </c>
      <c r="C23" s="256" t="n"/>
      <c r="D23" s="135" t="n">
        <v>8.35</v>
      </c>
      <c r="E23" s="160" t="n">
        <v>7.05</v>
      </c>
      <c r="F23" s="126" t="n">
        <v>7.21</v>
      </c>
      <c r="G23" s="54" t="n">
        <v>8.41</v>
      </c>
      <c r="H23" s="172" t="n">
        <v>7.91</v>
      </c>
      <c r="I23" s="216" t="n">
        <v>8.529999999999999</v>
      </c>
      <c r="J23" s="43" t="n">
        <v>8.25</v>
      </c>
      <c r="K23" s="163" t="inlineStr">
        <is>
          <t>B+</t>
        </is>
      </c>
      <c r="L23" s="164" t="inlineStr">
        <is>
          <t>B-</t>
        </is>
      </c>
      <c r="M23" s="228" t="inlineStr">
        <is>
          <t>A-</t>
        </is>
      </c>
      <c r="N23" s="47">
        <f>TRUNC(AVERAGE(D23:J23),2)</f>
        <v/>
      </c>
      <c r="O23" s="165" t="inlineStr">
        <is>
          <t>F</t>
        </is>
      </c>
      <c r="P23" s="227" t="inlineStr">
        <is>
          <t>PROMOVIDO</t>
        </is>
      </c>
      <c r="Q23" s="213" t="n"/>
    </row>
    <row r="24" ht="15" customHeight="1" s="254">
      <c r="A24" s="75" t="n">
        <v>18</v>
      </c>
      <c r="B24" s="225" t="inlineStr">
        <is>
          <t>GONZALEZ CALLE SCARLETTE ABIGAIL</t>
        </is>
      </c>
      <c r="C24" s="225" t="n"/>
      <c r="D24" s="135" t="n">
        <v>9.34</v>
      </c>
      <c r="E24" s="160" t="n">
        <v>8.66</v>
      </c>
      <c r="F24" s="126" t="n">
        <v>8.31</v>
      </c>
      <c r="G24" s="54" t="n">
        <v>9.539999999999999</v>
      </c>
      <c r="H24" s="172" t="n">
        <v>7.56</v>
      </c>
      <c r="I24" s="216" t="n">
        <v>9.94</v>
      </c>
      <c r="J24" s="43" t="n">
        <v>9.51</v>
      </c>
      <c r="K24" s="163" t="inlineStr">
        <is>
          <t>A-</t>
        </is>
      </c>
      <c r="L24" s="164" t="inlineStr">
        <is>
          <t>A+</t>
        </is>
      </c>
      <c r="M24" s="228" t="inlineStr">
        <is>
          <t>A+</t>
        </is>
      </c>
      <c r="N24" s="47">
        <f>TRUNC(AVERAGE(D24:J24),2)</f>
        <v/>
      </c>
      <c r="O24" s="165" t="inlineStr">
        <is>
          <t>S</t>
        </is>
      </c>
      <c r="P24" s="227" t="inlineStr">
        <is>
          <t>PROMOVIDO</t>
        </is>
      </c>
      <c r="Q24" s="213" t="n"/>
    </row>
    <row r="25" ht="15" customHeight="1" s="254">
      <c r="A25" s="75" t="n">
        <v>19</v>
      </c>
      <c r="B25" s="293" t="inlineStr">
        <is>
          <t>GONZALEZ VALDES ANTHONY JHULIAN</t>
        </is>
      </c>
      <c r="C25" s="225" t="n"/>
      <c r="D25" s="135" t="n">
        <v>8.17</v>
      </c>
      <c r="E25" s="160" t="n">
        <v>7.6</v>
      </c>
      <c r="F25" s="290" t="n">
        <v>7</v>
      </c>
      <c r="G25" s="54" t="n">
        <v>8.19</v>
      </c>
      <c r="H25" s="175" t="n">
        <v>7.03</v>
      </c>
      <c r="I25" s="216" t="n">
        <v>8.85</v>
      </c>
      <c r="J25" s="43" t="n">
        <v>7.65</v>
      </c>
      <c r="K25" s="163" t="inlineStr">
        <is>
          <t>C+</t>
        </is>
      </c>
      <c r="L25" s="164" t="inlineStr">
        <is>
          <t>C-</t>
        </is>
      </c>
      <c r="M25" s="228" t="inlineStr">
        <is>
          <t>B+</t>
        </is>
      </c>
      <c r="N25" s="287">
        <f>TRUNC(AVERAGE(D25:J25),2)</f>
        <v/>
      </c>
      <c r="O25" s="165" t="inlineStr">
        <is>
          <t>O</t>
        </is>
      </c>
      <c r="P25" s="227" t="inlineStr">
        <is>
          <t>PROMOVIDO</t>
        </is>
      </c>
      <c r="Q25" s="213" t="n"/>
    </row>
    <row r="26" ht="15" customHeight="1" s="254">
      <c r="A26" s="75" t="n">
        <v>20</v>
      </c>
      <c r="B26" s="225" t="inlineStr">
        <is>
          <t>GONZALEZ VALDES CRISTHOPHER JOAO</t>
        </is>
      </c>
      <c r="C26" s="225" t="n"/>
      <c r="D26" s="135" t="n">
        <v>7.54</v>
      </c>
      <c r="E26" s="160" t="n">
        <v>7.16</v>
      </c>
      <c r="F26" s="126" t="n">
        <v>7.28</v>
      </c>
      <c r="G26" s="54" t="n">
        <v>7.79</v>
      </c>
      <c r="H26" s="172" t="n">
        <v>7.24</v>
      </c>
      <c r="I26" s="216" t="n">
        <v>8.68</v>
      </c>
      <c r="J26" s="43" t="n">
        <v>8.460000000000001</v>
      </c>
      <c r="K26" s="163" t="inlineStr">
        <is>
          <t>C-</t>
        </is>
      </c>
      <c r="L26" s="164" t="inlineStr">
        <is>
          <t>C-</t>
        </is>
      </c>
      <c r="M26" s="228" t="inlineStr">
        <is>
          <t>B+</t>
        </is>
      </c>
      <c r="N26" s="47">
        <f>TRUNC(AVERAGE(D26:J26),2)</f>
        <v/>
      </c>
      <c r="O26" s="165" t="inlineStr">
        <is>
          <t>O</t>
        </is>
      </c>
      <c r="P26" s="227" t="inlineStr">
        <is>
          <t>PROMOVIDO</t>
        </is>
      </c>
      <c r="Q26" s="213" t="n"/>
    </row>
    <row r="27" ht="15" customHeight="1" s="254">
      <c r="A27" s="75" t="n">
        <v>21</v>
      </c>
      <c r="B27" s="225" t="inlineStr">
        <is>
          <t>GUACHICHULLCA SIAVICHAY JOHN FERNANDO</t>
        </is>
      </c>
      <c r="C27" s="225" t="n"/>
      <c r="D27" s="135" t="n">
        <v>9.06</v>
      </c>
      <c r="E27" s="160" t="n">
        <v>8.710000000000001</v>
      </c>
      <c r="F27" s="126" t="n">
        <v>7.44</v>
      </c>
      <c r="G27" s="54" t="n">
        <v>8.529999999999999</v>
      </c>
      <c r="H27" s="172" t="n">
        <v>7.63</v>
      </c>
      <c r="I27" s="216" t="n">
        <v>8.949999999999999</v>
      </c>
      <c r="J27" s="43" t="n">
        <v>8.49</v>
      </c>
      <c r="K27" s="163" t="inlineStr">
        <is>
          <t>B+</t>
        </is>
      </c>
      <c r="L27" s="164" t="inlineStr">
        <is>
          <t>A+</t>
        </is>
      </c>
      <c r="M27" s="228" t="inlineStr">
        <is>
          <t>A+</t>
        </is>
      </c>
      <c r="N27" s="47">
        <f>TRUNC(AVERAGE(D27:J27),2)</f>
        <v/>
      </c>
      <c r="O27" s="165" t="inlineStr">
        <is>
          <t>S</t>
        </is>
      </c>
      <c r="P27" s="227" t="inlineStr">
        <is>
          <t>PROMOVIDO</t>
        </is>
      </c>
      <c r="Q27" s="213" t="n"/>
    </row>
    <row r="28" ht="18" customHeight="1" s="254">
      <c r="A28" s="75" t="n">
        <v>22</v>
      </c>
      <c r="B28" s="225" t="inlineStr">
        <is>
          <t>GUALAN YUNGA DAYANNA DEL CISNE</t>
        </is>
      </c>
      <c r="C28" s="225" t="n"/>
      <c r="D28" s="135" t="n">
        <v>9.48</v>
      </c>
      <c r="E28" s="160" t="n">
        <v>9.57</v>
      </c>
      <c r="F28" s="126" t="n">
        <v>9.24</v>
      </c>
      <c r="G28" s="54" t="n">
        <v>9.66</v>
      </c>
      <c r="H28" s="172" t="n">
        <v>9.19</v>
      </c>
      <c r="I28" s="216" t="n">
        <v>9.98</v>
      </c>
      <c r="J28" s="43" t="n">
        <v>9.869999999999999</v>
      </c>
      <c r="K28" s="163" t="inlineStr">
        <is>
          <t>A+</t>
        </is>
      </c>
      <c r="L28" s="164" t="inlineStr">
        <is>
          <t>A+</t>
        </is>
      </c>
      <c r="M28" s="228" t="inlineStr">
        <is>
          <t>A+</t>
        </is>
      </c>
      <c r="N28" s="47">
        <f>TRUNC(AVERAGE(D28:J28),2)</f>
        <v/>
      </c>
      <c r="O28" s="165" t="inlineStr">
        <is>
          <t>S</t>
        </is>
      </c>
      <c r="P28" s="227" t="inlineStr">
        <is>
          <t>PROMOVIDO</t>
        </is>
      </c>
      <c r="Q28" s="213" t="n"/>
    </row>
    <row r="29" ht="15" customHeight="1" s="254">
      <c r="A29" s="75" t="n">
        <v>23</v>
      </c>
      <c r="B29" s="293" t="inlineStr">
        <is>
          <t>GUALLPA QUITUISACA SANTIAGO NICOLAS</t>
        </is>
      </c>
      <c r="C29" s="225" t="n"/>
      <c r="D29" s="135" t="n">
        <v>9.15</v>
      </c>
      <c r="E29" s="160" t="n">
        <v>8.390000000000001</v>
      </c>
      <c r="F29" s="290" t="n">
        <v>8.33</v>
      </c>
      <c r="G29" s="54" t="n">
        <v>9.59</v>
      </c>
      <c r="H29" s="175" t="n">
        <v>8.02</v>
      </c>
      <c r="I29" s="216" t="n">
        <v>9.720000000000001</v>
      </c>
      <c r="J29" s="43" t="n">
        <v>9.119999999999999</v>
      </c>
      <c r="K29" s="163" t="inlineStr">
        <is>
          <t>A-</t>
        </is>
      </c>
      <c r="L29" s="164" t="inlineStr">
        <is>
          <t>A+</t>
        </is>
      </c>
      <c r="M29" s="228" t="inlineStr">
        <is>
          <t>A-</t>
        </is>
      </c>
      <c r="N29" s="47">
        <f>TRUNC(AVERAGE(D29:J29),2)</f>
        <v/>
      </c>
      <c r="O29" s="165" t="inlineStr">
        <is>
          <t>F</t>
        </is>
      </c>
      <c r="P29" s="227" t="inlineStr">
        <is>
          <t>PROMOVIDO</t>
        </is>
      </c>
      <c r="Q29" s="213" t="n"/>
    </row>
    <row r="30" ht="18" customHeight="1" s="254">
      <c r="A30" s="75" t="n">
        <v>24</v>
      </c>
      <c r="B30" s="293" t="inlineStr">
        <is>
          <t>GUALPA DELGADO EVELYN TATIANA</t>
        </is>
      </c>
      <c r="C30" s="225" t="n"/>
      <c r="D30" s="135" t="n">
        <v>9.050000000000001</v>
      </c>
      <c r="E30" s="160" t="n">
        <v>9.18</v>
      </c>
      <c r="F30" s="290" t="n">
        <v>8.51</v>
      </c>
      <c r="G30" s="54" t="n">
        <v>9.67</v>
      </c>
      <c r="H30" s="261" t="n">
        <v>8.09</v>
      </c>
      <c r="I30" s="216" t="n">
        <v>9.98</v>
      </c>
      <c r="J30" s="43" t="n">
        <v>9.57</v>
      </c>
      <c r="K30" s="163" t="inlineStr">
        <is>
          <t>A-</t>
        </is>
      </c>
      <c r="L30" s="164" t="inlineStr">
        <is>
          <t>A+</t>
        </is>
      </c>
      <c r="M30" s="228" t="inlineStr">
        <is>
          <t>A+</t>
        </is>
      </c>
      <c r="N30" s="287">
        <f>TRUNC(AVERAGE(D30:J30),2)</f>
        <v/>
      </c>
      <c r="O30" s="165" t="inlineStr">
        <is>
          <t>S</t>
        </is>
      </c>
      <c r="P30" s="227" t="inlineStr">
        <is>
          <t>PROMOVIDO</t>
        </is>
      </c>
      <c r="Q30" s="213" t="n"/>
    </row>
    <row r="31" ht="15" customHeight="1" s="254">
      <c r="A31" s="75" t="n">
        <v>25</v>
      </c>
      <c r="B31" s="225" t="inlineStr">
        <is>
          <t>GUAMAN LLAMBA CAMILA ALEJANDRA</t>
        </is>
      </c>
      <c r="C31" s="225" t="n"/>
      <c r="D31" s="135" t="n">
        <v>8.33</v>
      </c>
      <c r="E31" s="160" t="n">
        <v>8.369999999999999</v>
      </c>
      <c r="F31" s="126" t="n">
        <v>7.54</v>
      </c>
      <c r="G31" s="54" t="n">
        <v>7.96</v>
      </c>
      <c r="H31" s="172" t="n">
        <v>7.42</v>
      </c>
      <c r="I31" s="216" t="n">
        <v>9.16</v>
      </c>
      <c r="J31" s="43" t="n">
        <v>8.380000000000001</v>
      </c>
      <c r="K31" s="163" t="inlineStr">
        <is>
          <t>B-</t>
        </is>
      </c>
      <c r="L31" s="164" t="inlineStr">
        <is>
          <t>B-</t>
        </is>
      </c>
      <c r="M31" s="228" t="inlineStr">
        <is>
          <t>A-</t>
        </is>
      </c>
      <c r="N31" s="47">
        <f>TRUNC(AVERAGE(D31:J31),2)</f>
        <v/>
      </c>
      <c r="O31" s="165" t="inlineStr">
        <is>
          <t>O</t>
        </is>
      </c>
      <c r="P31" s="227" t="inlineStr">
        <is>
          <t>PROMOVIDO</t>
        </is>
      </c>
      <c r="Q31" s="213" t="n"/>
    </row>
    <row r="32" ht="15" customHeight="1" s="254">
      <c r="A32" s="75" t="n">
        <v>26</v>
      </c>
      <c r="B32" s="225" t="inlineStr">
        <is>
          <t>GUAMAN SIGUA DOMENICA ALEXANDRA</t>
        </is>
      </c>
      <c r="C32" s="225" t="n"/>
      <c r="D32" s="135" t="n">
        <v>9</v>
      </c>
      <c r="E32" s="160" t="n">
        <v>7.94</v>
      </c>
      <c r="F32" s="126" t="n">
        <v>7.56</v>
      </c>
      <c r="G32" s="54" t="n">
        <v>8.68</v>
      </c>
      <c r="H32" s="172" t="n">
        <v>7.3</v>
      </c>
      <c r="I32" s="216" t="n">
        <v>8.92</v>
      </c>
      <c r="J32" s="43" t="n">
        <v>7.54</v>
      </c>
      <c r="K32" s="163" t="inlineStr">
        <is>
          <t>B+</t>
        </is>
      </c>
      <c r="L32" s="164" t="inlineStr">
        <is>
          <t>B-</t>
        </is>
      </c>
      <c r="M32" s="228" t="inlineStr">
        <is>
          <t>A+</t>
        </is>
      </c>
      <c r="N32" s="47">
        <f>TRUNC(AVERAGE(D32:J32),2)</f>
        <v/>
      </c>
      <c r="O32" s="165" t="inlineStr">
        <is>
          <t>F</t>
        </is>
      </c>
      <c r="P32" s="227" t="inlineStr">
        <is>
          <t>PROMOVIDO</t>
        </is>
      </c>
      <c r="Q32" s="213" t="n"/>
    </row>
    <row r="33" ht="15" customHeight="1" s="254">
      <c r="A33" s="75" t="n">
        <v>27</v>
      </c>
      <c r="B33" s="225" t="inlineStr">
        <is>
          <t>HERRERA ASMAL ESTEBAN NICOLAS</t>
        </is>
      </c>
      <c r="C33" s="225" t="n"/>
      <c r="D33" s="135" t="n">
        <v>8.67</v>
      </c>
      <c r="E33" s="160" t="n">
        <v>8.17</v>
      </c>
      <c r="F33" s="126" t="n">
        <v>7.47</v>
      </c>
      <c r="G33" s="54" t="n">
        <v>8.539999999999999</v>
      </c>
      <c r="H33" s="172" t="n">
        <v>8.140000000000001</v>
      </c>
      <c r="I33" s="216" t="n">
        <v>8.99</v>
      </c>
      <c r="J33" s="43" t="n">
        <v>8.529999999999999</v>
      </c>
      <c r="K33" s="163" t="inlineStr">
        <is>
          <t>B-</t>
        </is>
      </c>
      <c r="L33" s="164" t="inlineStr">
        <is>
          <t>B-</t>
        </is>
      </c>
      <c r="M33" s="228" t="inlineStr">
        <is>
          <t>A-</t>
        </is>
      </c>
      <c r="N33" s="47">
        <f>TRUNC(AVERAGE(D33:J33),2)</f>
        <v/>
      </c>
      <c r="O33" s="165" t="inlineStr">
        <is>
          <t>S</t>
        </is>
      </c>
      <c r="P33" s="227" t="inlineStr">
        <is>
          <t>PROMOVIDO</t>
        </is>
      </c>
      <c r="Q33" s="213" t="n"/>
    </row>
    <row r="34" ht="15" customHeight="1" s="254">
      <c r="A34" s="230" t="n">
        <v>28</v>
      </c>
      <c r="B34" s="69" t="inlineStr">
        <is>
          <t>JARRIN DAVILA MARLON STEVEN</t>
        </is>
      </c>
      <c r="C34" s="256" t="n"/>
      <c r="D34" s="135" t="n">
        <v>8.01</v>
      </c>
      <c r="E34" s="160" t="n">
        <v>7.02</v>
      </c>
      <c r="F34" s="126" t="n">
        <v>7.01</v>
      </c>
      <c r="G34" s="54" t="n">
        <v>7.19</v>
      </c>
      <c r="H34" s="175" t="n">
        <v>7</v>
      </c>
      <c r="I34" s="216" t="n">
        <v>8.44</v>
      </c>
      <c r="J34" s="43" t="n">
        <v>8.31</v>
      </c>
      <c r="K34" s="163" t="inlineStr">
        <is>
          <t>C-</t>
        </is>
      </c>
      <c r="L34" s="164" t="inlineStr">
        <is>
          <t>B+</t>
        </is>
      </c>
      <c r="M34" s="228" t="inlineStr">
        <is>
          <t>A-</t>
        </is>
      </c>
      <c r="N34" s="47">
        <f>TRUNC(AVERAGE(D34:J34),2)</f>
        <v/>
      </c>
      <c r="O34" s="165" t="inlineStr">
        <is>
          <t>F</t>
        </is>
      </c>
      <c r="P34" s="227" t="inlineStr">
        <is>
          <t>PROMOVIDO</t>
        </is>
      </c>
      <c r="Q34" s="213" t="n"/>
    </row>
    <row r="35" ht="15" customHeight="1" s="254">
      <c r="A35" s="75" t="n">
        <v>29</v>
      </c>
      <c r="B35" s="225" t="inlineStr">
        <is>
          <t>LEMA PAUCAR MIGUEL ALEJANDRO</t>
        </is>
      </c>
      <c r="C35" s="225" t="n"/>
      <c r="D35" s="135" t="n">
        <v>8.619999999999999</v>
      </c>
      <c r="E35" s="160" t="n">
        <v>8.24</v>
      </c>
      <c r="F35" s="126" t="n">
        <v>8.119999999999999</v>
      </c>
      <c r="G35" s="54" t="n">
        <v>9.09</v>
      </c>
      <c r="H35" s="172" t="n">
        <v>8.210000000000001</v>
      </c>
      <c r="I35" s="216" t="n">
        <v>9.19</v>
      </c>
      <c r="J35" s="43" t="n">
        <v>9.59</v>
      </c>
      <c r="K35" s="163" t="inlineStr">
        <is>
          <t>A-</t>
        </is>
      </c>
      <c r="L35" s="164" t="inlineStr">
        <is>
          <t>A+</t>
        </is>
      </c>
      <c r="M35" s="228" t="inlineStr">
        <is>
          <t>A-</t>
        </is>
      </c>
      <c r="N35" s="47">
        <f>TRUNC(AVERAGE(D35:J35),2)</f>
        <v/>
      </c>
      <c r="O35" s="165" t="inlineStr">
        <is>
          <t>S</t>
        </is>
      </c>
      <c r="P35" s="227" t="inlineStr">
        <is>
          <t>PROMOVIDO</t>
        </is>
      </c>
      <c r="Q35" s="213" t="n"/>
    </row>
    <row r="36" ht="15" customHeight="1" s="254">
      <c r="A36" s="75" t="n">
        <v>30</v>
      </c>
      <c r="B36" s="69" t="inlineStr">
        <is>
          <t>LEON CRUZ LUIS ALFREDO</t>
        </is>
      </c>
      <c r="C36" s="256" t="n"/>
      <c r="D36" s="135" t="n">
        <v>7.2</v>
      </c>
      <c r="E36" s="160" t="n">
        <v>7.09</v>
      </c>
      <c r="F36" s="126" t="n">
        <v>7.27</v>
      </c>
      <c r="G36" s="54" t="n">
        <v>7.02</v>
      </c>
      <c r="H36" s="172" t="n">
        <v>7</v>
      </c>
      <c r="I36" s="216" t="n">
        <v>8.43</v>
      </c>
      <c r="J36" s="43" t="n">
        <v>8.140000000000001</v>
      </c>
      <c r="K36" s="163" t="inlineStr">
        <is>
          <t>B-</t>
        </is>
      </c>
      <c r="L36" s="164" t="inlineStr">
        <is>
          <t>C-</t>
        </is>
      </c>
      <c r="M36" s="228" t="inlineStr">
        <is>
          <t>B+</t>
        </is>
      </c>
      <c r="N36" s="47">
        <f>TRUNC(AVERAGE(D36:J36),2)</f>
        <v/>
      </c>
      <c r="O36" s="165" t="inlineStr">
        <is>
          <t>O</t>
        </is>
      </c>
      <c r="P36" s="227" t="inlineStr">
        <is>
          <t>PROMOVIDO</t>
        </is>
      </c>
      <c r="Q36" s="213" t="n"/>
    </row>
    <row r="37" ht="15" customHeight="1" s="254">
      <c r="A37" s="75" t="n">
        <v>31</v>
      </c>
      <c r="B37" s="225" t="inlineStr">
        <is>
          <t>MARCATOMA RODRIGUEZ NICOLE STEPHANY</t>
        </is>
      </c>
      <c r="C37" s="225" t="n"/>
      <c r="D37" s="135" t="n">
        <v>8.109999999999999</v>
      </c>
      <c r="E37" s="160" t="n">
        <v>7.4</v>
      </c>
      <c r="F37" s="126" t="n">
        <v>7.08</v>
      </c>
      <c r="G37" s="54" t="n">
        <v>7.91</v>
      </c>
      <c r="H37" s="175" t="n">
        <v>7.05</v>
      </c>
      <c r="I37" s="216" t="n">
        <v>8.720000000000001</v>
      </c>
      <c r="J37" s="43" t="n">
        <v>7.93</v>
      </c>
      <c r="K37" s="163" t="inlineStr">
        <is>
          <t>B-</t>
        </is>
      </c>
      <c r="L37" s="164" t="inlineStr">
        <is>
          <t>A+</t>
        </is>
      </c>
      <c r="M37" s="228" t="inlineStr">
        <is>
          <t>A-</t>
        </is>
      </c>
      <c r="N37" s="47">
        <f>TRUNC(AVERAGE(D37:J37),2)</f>
        <v/>
      </c>
      <c r="O37" s="165" t="inlineStr">
        <is>
          <t>S</t>
        </is>
      </c>
      <c r="P37" s="227" t="inlineStr">
        <is>
          <t>PROMOVIDO</t>
        </is>
      </c>
      <c r="Q37" s="213" t="n"/>
    </row>
    <row r="38" ht="15" customHeight="1" s="254">
      <c r="A38" s="75" t="n">
        <v>32</v>
      </c>
      <c r="B38" s="225" t="inlineStr">
        <is>
          <t>MOROCHO PELAEZ MATEO ALEJANDRO</t>
        </is>
      </c>
      <c r="C38" s="225" t="n"/>
      <c r="D38" s="135" t="n">
        <v>8.779999999999999</v>
      </c>
      <c r="E38" s="160" t="n">
        <v>7.65</v>
      </c>
      <c r="F38" s="126" t="n">
        <v>7.73</v>
      </c>
      <c r="G38" s="54" t="n">
        <v>8.390000000000001</v>
      </c>
      <c r="H38" s="172" t="n">
        <v>7.67</v>
      </c>
      <c r="I38" s="216" t="n">
        <v>8.91</v>
      </c>
      <c r="J38" s="43" t="n">
        <v>8.699999999999999</v>
      </c>
      <c r="K38" s="163" t="inlineStr">
        <is>
          <t>B-</t>
        </is>
      </c>
      <c r="L38" s="164" t="inlineStr">
        <is>
          <t>B-</t>
        </is>
      </c>
      <c r="M38" s="228" t="inlineStr">
        <is>
          <t>A-</t>
        </is>
      </c>
      <c r="N38" s="47">
        <f>TRUNC(AVERAGE(D38:J38),2)</f>
        <v/>
      </c>
      <c r="O38" s="165" t="inlineStr">
        <is>
          <t>F</t>
        </is>
      </c>
      <c r="P38" s="227" t="inlineStr">
        <is>
          <t>PROMOVIDO</t>
        </is>
      </c>
      <c r="Q38" s="213" t="n"/>
    </row>
    <row r="39" ht="18" customHeight="1" s="254">
      <c r="A39" s="217" t="n">
        <v>33</v>
      </c>
      <c r="B39" s="225" t="inlineStr">
        <is>
          <t>ORTIZ PAUCAR JOSTIN ALEXANDER</t>
        </is>
      </c>
      <c r="C39" s="225" t="n"/>
      <c r="D39" s="135" t="n">
        <v>9.23</v>
      </c>
      <c r="E39" s="160" t="n">
        <v>7.98</v>
      </c>
      <c r="F39" s="126" t="n">
        <v>9.119999999999999</v>
      </c>
      <c r="G39" s="54" t="n">
        <v>9.43</v>
      </c>
      <c r="H39" s="175" t="n">
        <v>8.289999999999999</v>
      </c>
      <c r="I39" s="216" t="n">
        <v>9.869999999999999</v>
      </c>
      <c r="J39" s="43" t="n">
        <v>8.970000000000001</v>
      </c>
      <c r="K39" s="163" t="inlineStr">
        <is>
          <t>A-</t>
        </is>
      </c>
      <c r="L39" s="164" t="inlineStr">
        <is>
          <t>A+</t>
        </is>
      </c>
      <c r="M39" s="228" t="inlineStr">
        <is>
          <t>A+</t>
        </is>
      </c>
      <c r="N39" s="47">
        <f>TRUNC(AVERAGE(D39:J39),2)</f>
        <v/>
      </c>
      <c r="O39" s="165" t="inlineStr">
        <is>
          <t>S</t>
        </is>
      </c>
      <c r="P39" s="227" t="inlineStr">
        <is>
          <t>PROMOVIDO</t>
        </is>
      </c>
      <c r="Q39" s="213" t="n"/>
    </row>
    <row r="40" ht="15" customHeight="1" s="254">
      <c r="A40" s="217" t="n">
        <v>34</v>
      </c>
      <c r="B40" s="225" t="inlineStr">
        <is>
          <t>QUINDE VIÑANSACA AILYN TAMARA</t>
        </is>
      </c>
      <c r="C40" s="225" t="n"/>
      <c r="D40" s="135" t="n">
        <v>8.880000000000001</v>
      </c>
      <c r="E40" s="160" t="n">
        <v>9.27</v>
      </c>
      <c r="F40" s="126" t="n">
        <v>8.57</v>
      </c>
      <c r="G40" s="54" t="n">
        <v>8.779999999999999</v>
      </c>
      <c r="H40" s="172" t="n">
        <v>8.449999999999999</v>
      </c>
      <c r="I40" s="216" t="n">
        <v>9.73</v>
      </c>
      <c r="J40" s="43" t="n">
        <v>7.98</v>
      </c>
      <c r="K40" s="163" t="inlineStr">
        <is>
          <t>A-</t>
        </is>
      </c>
      <c r="L40" s="164" t="inlineStr">
        <is>
          <t>A+</t>
        </is>
      </c>
      <c r="M40" s="228" t="inlineStr">
        <is>
          <t>A+</t>
        </is>
      </c>
      <c r="N40" s="47">
        <f>TRUNC(AVERAGE(D40:J40),2)</f>
        <v/>
      </c>
      <c r="O40" s="165" t="inlineStr">
        <is>
          <t>S</t>
        </is>
      </c>
      <c r="P40" s="227" t="inlineStr">
        <is>
          <t>PROMOVIDO</t>
        </is>
      </c>
      <c r="Q40" s="213" t="n"/>
    </row>
    <row r="41" ht="14.25" customHeight="1" s="254">
      <c r="A41" s="217" t="n">
        <v>35</v>
      </c>
      <c r="B41" s="293" t="inlineStr">
        <is>
          <t>ROMERO NARVAEZ KATHERINE ANAHI</t>
        </is>
      </c>
      <c r="C41" s="225" t="n"/>
      <c r="D41" s="135" t="n">
        <v>9.44</v>
      </c>
      <c r="E41" s="160" t="n">
        <v>9.35</v>
      </c>
      <c r="F41" s="290" t="n">
        <v>8.199999999999999</v>
      </c>
      <c r="G41" s="54" t="n">
        <v>9.34</v>
      </c>
      <c r="H41" s="172" t="n">
        <v>8.44</v>
      </c>
      <c r="I41" s="216" t="n">
        <v>9.94</v>
      </c>
      <c r="J41" s="43" t="n">
        <v>9.609999999999999</v>
      </c>
      <c r="K41" s="163" t="inlineStr">
        <is>
          <t>A-</t>
        </is>
      </c>
      <c r="L41" s="164" t="inlineStr">
        <is>
          <t>A+</t>
        </is>
      </c>
      <c r="M41" s="228" t="inlineStr">
        <is>
          <t>A+</t>
        </is>
      </c>
      <c r="N41" s="287">
        <f>TRUNC(AVERAGE(D41:J41),2)</f>
        <v/>
      </c>
      <c r="O41" s="165" t="inlineStr">
        <is>
          <t>S</t>
        </is>
      </c>
      <c r="P41" s="227" t="inlineStr">
        <is>
          <t>PROMOVIDO</t>
        </is>
      </c>
      <c r="Q41" s="213" t="n"/>
    </row>
    <row r="42" ht="15" customHeight="1" s="254">
      <c r="A42" s="217" t="n">
        <v>36</v>
      </c>
      <c r="B42" s="225" t="inlineStr">
        <is>
          <t>SAETEROS ALLAICO DAVID ALEXANDER</t>
        </is>
      </c>
      <c r="C42" s="225" t="n"/>
      <c r="D42" s="135" t="n">
        <v>9.18</v>
      </c>
      <c r="E42" s="160" t="n">
        <v>8.92</v>
      </c>
      <c r="F42" s="126" t="n">
        <v>8.199999999999999</v>
      </c>
      <c r="G42" s="54" t="n">
        <v>8.949999999999999</v>
      </c>
      <c r="H42" s="172" t="n">
        <v>8.34</v>
      </c>
      <c r="I42" s="216" t="n">
        <v>9.789999999999999</v>
      </c>
      <c r="J42" s="43" t="n">
        <v>9.279999999999999</v>
      </c>
      <c r="K42" s="163" t="inlineStr">
        <is>
          <t>B+</t>
        </is>
      </c>
      <c r="L42" s="164" t="inlineStr">
        <is>
          <t>A+</t>
        </is>
      </c>
      <c r="M42" s="228" t="inlineStr">
        <is>
          <t>A-</t>
        </is>
      </c>
      <c r="N42" s="47">
        <f>TRUNC(AVERAGE(D42:J42),2)</f>
        <v/>
      </c>
      <c r="O42" s="165" t="inlineStr">
        <is>
          <t>S</t>
        </is>
      </c>
      <c r="P42" s="227" t="inlineStr">
        <is>
          <t>PROMOVIDO</t>
        </is>
      </c>
      <c r="Q42" s="213" t="n"/>
    </row>
    <row r="43" ht="15" customHeight="1" s="254">
      <c r="A43" s="217" t="n">
        <v>37</v>
      </c>
      <c r="B43" s="225" t="inlineStr">
        <is>
          <t>VIÑANZACA QUITO KIMBERLY GUADALUPE</t>
        </is>
      </c>
      <c r="C43" s="225" t="n"/>
      <c r="D43" s="135" t="n">
        <v>9.130000000000001</v>
      </c>
      <c r="E43" s="160" t="n">
        <v>9.51</v>
      </c>
      <c r="F43" s="126" t="n">
        <v>9.460000000000001</v>
      </c>
      <c r="G43" s="54" t="n">
        <v>9.94</v>
      </c>
      <c r="H43" s="172" t="n">
        <v>9.119999999999999</v>
      </c>
      <c r="I43" s="216" t="n">
        <v>10</v>
      </c>
      <c r="J43" s="43" t="n">
        <v>9.92</v>
      </c>
      <c r="K43" s="163" t="inlineStr">
        <is>
          <t>A-</t>
        </is>
      </c>
      <c r="L43" s="164" t="inlineStr">
        <is>
          <t>A+</t>
        </is>
      </c>
      <c r="M43" s="228" t="inlineStr">
        <is>
          <t>A+</t>
        </is>
      </c>
      <c r="N43" s="47">
        <f>TRUNC(AVERAGE(D43:J43),2)</f>
        <v/>
      </c>
      <c r="O43" s="165" t="inlineStr">
        <is>
          <t>S</t>
        </is>
      </c>
      <c r="P43" s="227" t="inlineStr">
        <is>
          <t>PROMOVIDO</t>
        </is>
      </c>
      <c r="Q43" s="213" t="n"/>
    </row>
    <row r="44" ht="15" customHeight="1" s="254">
      <c r="A44" s="217" t="n">
        <v>38</v>
      </c>
      <c r="B44" s="225" t="inlineStr">
        <is>
          <t>ZHUNGO FERNANDEZ EUNISE MAYTE</t>
        </is>
      </c>
      <c r="C44" s="225" t="n"/>
      <c r="D44" s="135" t="n">
        <v>8.460000000000001</v>
      </c>
      <c r="E44" s="160" t="n">
        <v>8.02</v>
      </c>
      <c r="F44" s="126" t="n">
        <v>7.76</v>
      </c>
      <c r="G44" s="54" t="n">
        <v>8.720000000000001</v>
      </c>
      <c r="H44" s="172" t="n">
        <v>7.45</v>
      </c>
      <c r="I44" s="216" t="n">
        <v>9.43</v>
      </c>
      <c r="J44" s="43" t="n">
        <v>8.890000000000001</v>
      </c>
      <c r="K44" s="163" t="inlineStr">
        <is>
          <t>B-</t>
        </is>
      </c>
      <c r="L44" s="164" t="inlineStr">
        <is>
          <t>A+</t>
        </is>
      </c>
      <c r="M44" s="228" t="inlineStr">
        <is>
          <t>A-</t>
        </is>
      </c>
      <c r="N44" s="47">
        <f>TRUNC(AVERAGE(D44:J44),2)</f>
        <v/>
      </c>
      <c r="O44" s="165" t="inlineStr">
        <is>
          <t>S</t>
        </is>
      </c>
      <c r="P44" s="227" t="inlineStr">
        <is>
          <t>PROMOVIDO</t>
        </is>
      </c>
      <c r="Q44" s="213" t="n"/>
    </row>
    <row r="45" ht="14.25" customHeight="1" s="254">
      <c r="B45" s="263" t="inlineStr">
        <is>
          <t>Promedio</t>
        </is>
      </c>
      <c r="D45" s="231">
        <f>AVERAGE(D8:D44)</f>
        <v/>
      </c>
      <c r="E45" s="232">
        <f>AVERAGE(E8:E44)</f>
        <v/>
      </c>
      <c r="F45" s="233">
        <f>AVERAGE(F8:F44)</f>
        <v/>
      </c>
      <c r="G45" s="234">
        <f>AVERAGE(G8:G44)</f>
        <v/>
      </c>
      <c r="H45" s="235">
        <f>AVERAGE(H8:H44)</f>
        <v/>
      </c>
      <c r="I45" s="236">
        <f>AVERAGE(I8:I44)</f>
        <v/>
      </c>
      <c r="J45" s="237">
        <f>AVERAGE(J8:J44)</f>
        <v/>
      </c>
      <c r="K45" s="238" t="n"/>
      <c r="L45" s="238" t="n"/>
      <c r="M45" s="238" t="n"/>
      <c r="N45" s="239">
        <f>AVERAGE(N8:N44)</f>
        <v/>
      </c>
      <c r="O45" s="240" t="n"/>
      <c r="P45" s="241" t="n"/>
    </row>
    <row r="46" ht="14.25" customHeight="1" s="254"/>
    <row r="47" ht="14.25" customHeight="1" s="254"/>
    <row r="48" ht="14.25" customHeight="1" s="254">
      <c r="B48" s="264" t="inlineStr">
        <is>
          <t xml:space="preserve">Ing. Sonia Chicaiza Mgtr. </t>
        </is>
      </c>
      <c r="D48" s="283" t="inlineStr">
        <is>
          <t xml:space="preserve">Lcda. Isabel Carpio Mgtr. </t>
        </is>
      </c>
      <c r="E48" s="266" t="n"/>
      <c r="F48" s="266" t="n"/>
      <c r="G48" s="267" t="n"/>
      <c r="H48" s="223" t="n"/>
      <c r="I48" s="283" t="inlineStr">
        <is>
          <t xml:space="preserve">Psic.. Lourdes Pomaquiza Mgtr. </t>
        </is>
      </c>
      <c r="J48" s="266" t="n"/>
      <c r="K48" s="266" t="n"/>
      <c r="L48" s="266" t="n"/>
      <c r="M48" s="266" t="n"/>
      <c r="N48" s="267" t="n"/>
    </row>
    <row r="49" ht="14.25" customHeight="1" s="254">
      <c r="B49" s="264" t="inlineStr">
        <is>
          <t>Rectora (e)</t>
        </is>
      </c>
      <c r="D49" s="283" t="inlineStr">
        <is>
          <t>Vicerrectora (e)Matutina</t>
        </is>
      </c>
      <c r="E49" s="266" t="n"/>
      <c r="F49" s="266" t="n"/>
      <c r="G49" s="267" t="n"/>
      <c r="H49" s="223" t="n"/>
      <c r="I49" s="283" t="inlineStr">
        <is>
          <t>Docente Tutora</t>
        </is>
      </c>
      <c r="J49" s="266" t="n"/>
      <c r="K49" s="266" t="n"/>
      <c r="L49" s="267" t="n"/>
    </row>
    <row r="50" ht="14.25" customHeight="1" s="254"/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</sheetData>
  <mergeCells count="21">
    <mergeCell ref="B18:C18"/>
    <mergeCell ref="B48:C48"/>
    <mergeCell ref="K3:N3"/>
    <mergeCell ref="I48:N48"/>
    <mergeCell ref="B23:C23"/>
    <mergeCell ref="I49:L49"/>
    <mergeCell ref="I3:J3"/>
    <mergeCell ref="A1:P1"/>
    <mergeCell ref="B34:C34"/>
    <mergeCell ref="B5:P5"/>
    <mergeCell ref="B10:C10"/>
    <mergeCell ref="C3:E3"/>
    <mergeCell ref="D49:G49"/>
    <mergeCell ref="B49:C49"/>
    <mergeCell ref="B6:C6"/>
    <mergeCell ref="I4:J4"/>
    <mergeCell ref="D48:G48"/>
    <mergeCell ref="B20:C20"/>
    <mergeCell ref="B45:C45"/>
    <mergeCell ref="B36:C36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1.86" customWidth="1" style="254" min="16" max="16"/>
    <col width="19.29" customWidth="1" style="254" min="17" max="17"/>
    <col width="7" customWidth="1" style="254" min="18" max="18"/>
  </cols>
  <sheetData>
    <row r="1" ht="72.75" customHeight="1" s="254">
      <c r="A1" s="1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2" t="n"/>
      <c r="B2" s="3" t="inlineStr">
        <is>
          <t>AÑO LECTIVO: 2025-2026</t>
        </is>
      </c>
    </row>
    <row r="3" ht="14.25" customHeight="1" s="254">
      <c r="B3" s="4" t="inlineStr">
        <is>
          <t xml:space="preserve">DOCENTE:             </t>
        </is>
      </c>
      <c r="C3" s="5" t="n"/>
      <c r="F3" s="6" t="n"/>
      <c r="G3" s="6" t="n"/>
      <c r="H3" s="6" t="n"/>
      <c r="I3" s="7" t="inlineStr">
        <is>
          <t xml:space="preserve">JORNADA: </t>
        </is>
      </c>
      <c r="K3" s="8" t="inlineStr">
        <is>
          <t>MATUTINA</t>
        </is>
      </c>
    </row>
    <row r="4" ht="14.25" customHeight="1" s="254">
      <c r="B4" s="9" t="inlineStr">
        <is>
          <t xml:space="preserve">AÑO DE EGB:        </t>
        </is>
      </c>
      <c r="C4" s="10" t="inlineStr">
        <is>
          <t>DÉCIMO B</t>
        </is>
      </c>
      <c r="E4" s="6" t="n"/>
      <c r="F4" s="6" t="n"/>
      <c r="G4" s="6" t="n"/>
      <c r="H4" s="6" t="n"/>
      <c r="I4" s="7" t="n"/>
      <c r="K4" s="12" t="n"/>
      <c r="M4" s="6" t="n"/>
    </row>
    <row r="5" ht="14.25" customHeight="1" s="254">
      <c r="B5" s="255" t="inlineStr">
        <is>
          <t>CONSOLIDADO FINAL</t>
        </is>
      </c>
    </row>
    <row r="6" ht="157.5" customHeight="1" s="254">
      <c r="A6" s="155" t="inlineStr">
        <is>
          <t>No</t>
        </is>
      </c>
      <c r="B6" s="19" t="inlineStr">
        <is>
          <t>NOMINA</t>
        </is>
      </c>
      <c r="C6" s="20" t="n"/>
      <c r="D6" s="21" t="inlineStr">
        <is>
          <t>LENGUA Y LITERATURA</t>
        </is>
      </c>
      <c r="E6" s="22" t="inlineStr">
        <is>
          <t>MATEMÁTICA</t>
        </is>
      </c>
      <c r="F6" s="23" t="inlineStr">
        <is>
          <t>CIENCIAS NATURALES</t>
        </is>
      </c>
      <c r="G6" s="24" t="inlineStr">
        <is>
          <t>ESTUDIOS SOCIALES</t>
        </is>
      </c>
      <c r="H6" s="25" t="inlineStr">
        <is>
          <t>INGLÉS</t>
        </is>
      </c>
      <c r="I6" s="26" t="inlineStr">
        <is>
          <t>EDUCACIÓN CULTURAL Y ARTISTICA</t>
        </is>
      </c>
      <c r="J6" s="27" t="inlineStr">
        <is>
          <t>EDUCACIÓN FÍSICA</t>
        </is>
      </c>
      <c r="K6" s="28" t="inlineStr">
        <is>
          <t>ANIMACIÓN A LA LECTURA</t>
        </is>
      </c>
      <c r="L6" s="29" t="inlineStr">
        <is>
          <t>ACOMPAÑAMIENTO INTEGRAL EN EL AULA</t>
        </is>
      </c>
      <c r="M6" s="30" t="inlineStr">
        <is>
          <t>ORIENTACIÓN VOCACIONAL</t>
        </is>
      </c>
      <c r="N6" s="31" t="inlineStr">
        <is>
          <t>PROMEDIO FINAL</t>
        </is>
      </c>
      <c r="O6" s="32" t="inlineStr">
        <is>
          <t>CCOMPORTAMIENTO</t>
        </is>
      </c>
      <c r="P6" s="33" t="inlineStr">
        <is>
          <t>OBSERVACIONES</t>
        </is>
      </c>
      <c r="R6" s="242" t="n"/>
    </row>
    <row r="7" ht="14.25" customHeight="1" s="254">
      <c r="A7" s="75" t="n">
        <v>1</v>
      </c>
      <c r="B7" s="294" t="inlineStr">
        <is>
          <t>APOLO GUZMAN ANTHONY IVAN</t>
        </is>
      </c>
      <c r="C7" s="69" t="n"/>
      <c r="D7" s="135" t="n">
        <v>9.460000000000001</v>
      </c>
      <c r="E7" s="160" t="n">
        <v>9.43</v>
      </c>
      <c r="F7" s="126" t="n">
        <v>8.98</v>
      </c>
      <c r="G7" s="40" t="n">
        <v>9.67</v>
      </c>
      <c r="H7" s="166" t="n">
        <v>8.949999999999999</v>
      </c>
      <c r="I7" s="290" t="n">
        <v>9.67</v>
      </c>
      <c r="J7" s="43" t="n">
        <v>9.93</v>
      </c>
      <c r="K7" s="244" t="inlineStr">
        <is>
          <t>A-</t>
        </is>
      </c>
      <c r="L7" s="245" t="inlineStr">
        <is>
          <t>A-</t>
        </is>
      </c>
      <c r="M7" s="226" t="inlineStr">
        <is>
          <t>A+</t>
        </is>
      </c>
      <c r="N7" s="47">
        <f>TRUNC(AVERAGE(D7:J7),2)</f>
        <v/>
      </c>
      <c r="O7" s="117" t="inlineStr">
        <is>
          <t>S</t>
        </is>
      </c>
      <c r="P7" s="227" t="inlineStr">
        <is>
          <t>PROMOVIDO</t>
        </is>
      </c>
    </row>
    <row r="8" ht="15" customHeight="1" s="254">
      <c r="A8" s="75" t="n">
        <v>2</v>
      </c>
      <c r="B8" s="243" t="inlineStr">
        <is>
          <t>ARIAS LUCERO KERLY GUADALUPE</t>
        </is>
      </c>
      <c r="C8" s="69" t="n"/>
      <c r="D8" s="135" t="n">
        <v>9.279999999999999</v>
      </c>
      <c r="E8" s="160" t="n">
        <v>9.26</v>
      </c>
      <c r="F8" s="126" t="n">
        <v>9.34</v>
      </c>
      <c r="G8" s="54" t="n">
        <v>9.94</v>
      </c>
      <c r="H8" s="166" t="n">
        <v>9.449999999999999</v>
      </c>
      <c r="I8" s="216" t="n">
        <v>9.9</v>
      </c>
      <c r="J8" s="43" t="n">
        <v>9.949999999999999</v>
      </c>
      <c r="K8" s="244" t="inlineStr">
        <is>
          <t>A+</t>
        </is>
      </c>
      <c r="L8" s="245" t="inlineStr">
        <is>
          <t>A+</t>
        </is>
      </c>
      <c r="M8" s="228" t="inlineStr">
        <is>
          <t>A-</t>
        </is>
      </c>
      <c r="N8" s="47">
        <f>TRUNC(AVERAGE(D8:J8),2)</f>
        <v/>
      </c>
      <c r="O8" s="117" t="inlineStr">
        <is>
          <t>S</t>
        </is>
      </c>
      <c r="P8" s="227" t="inlineStr">
        <is>
          <t>PROMOVIDO</t>
        </is>
      </c>
      <c r="Q8" s="56" t="inlineStr">
        <is>
          <t>PRIMER LUGAR</t>
        </is>
      </c>
      <c r="R8" s="57">
        <f>LARGE(N7:N45,1)</f>
        <v/>
      </c>
      <c r="S8" s="62" t="inlineStr">
        <is>
          <t>PIÑA</t>
        </is>
      </c>
    </row>
    <row r="9" ht="15" customHeight="1" s="254">
      <c r="A9" s="75" t="n">
        <v>3</v>
      </c>
      <c r="B9" s="243" t="inlineStr">
        <is>
          <t>CAMPOVERDE FERNANDEZ EMILY DAYANNA</t>
        </is>
      </c>
      <c r="C9" s="69" t="n"/>
      <c r="D9" s="135" t="n">
        <v>8.470000000000001</v>
      </c>
      <c r="E9" s="160" t="n">
        <v>8.32</v>
      </c>
      <c r="F9" s="126" t="n">
        <v>7.04</v>
      </c>
      <c r="G9" s="54" t="n">
        <v>8.1</v>
      </c>
      <c r="H9" s="166" t="n">
        <v>7.44</v>
      </c>
      <c r="I9" s="216" t="n">
        <v>9.1</v>
      </c>
      <c r="J9" s="43" t="n">
        <v>9.32</v>
      </c>
      <c r="K9" s="244" t="inlineStr">
        <is>
          <t>A-</t>
        </is>
      </c>
      <c r="L9" s="245" t="inlineStr">
        <is>
          <t>B+</t>
        </is>
      </c>
      <c r="M9" s="228" t="inlineStr">
        <is>
          <t>B+</t>
        </is>
      </c>
      <c r="N9" s="47">
        <f>TRUNC(AVERAGE(D9:J9),2)</f>
        <v/>
      </c>
      <c r="O9" s="117" t="inlineStr">
        <is>
          <t>S</t>
        </is>
      </c>
      <c r="P9" s="227" t="inlineStr">
        <is>
          <t>PROMOVIDO</t>
        </is>
      </c>
      <c r="Q9" s="56" t="inlineStr">
        <is>
          <t>SEGUNDO LUGAR</t>
        </is>
      </c>
      <c r="R9" s="59">
        <f>LARGE(N7:N45,2)</f>
        <v/>
      </c>
      <c r="S9" s="62" t="inlineStr">
        <is>
          <t>LOJA  E</t>
        </is>
      </c>
    </row>
    <row r="10" ht="15" customHeight="1" s="254">
      <c r="A10" s="75" t="n">
        <v>4</v>
      </c>
      <c r="B10" s="243" t="inlineStr">
        <is>
          <t>CARDENAS ORELLANA WENDY PAMELA</t>
        </is>
      </c>
      <c r="C10" s="69" t="n"/>
      <c r="D10" s="135" t="n">
        <v>9.73</v>
      </c>
      <c r="E10" s="160" t="n">
        <v>9.859999999999999</v>
      </c>
      <c r="F10" s="126" t="n">
        <v>9.52</v>
      </c>
      <c r="G10" s="54" t="n">
        <v>10</v>
      </c>
      <c r="H10" s="166" t="n">
        <v>9.720000000000001</v>
      </c>
      <c r="I10" s="216" t="n">
        <v>9.970000000000001</v>
      </c>
      <c r="J10" s="43" t="n">
        <v>9.949999999999999</v>
      </c>
      <c r="K10" s="244" t="inlineStr">
        <is>
          <t>A+</t>
        </is>
      </c>
      <c r="L10" s="245" t="inlineStr">
        <is>
          <t>A+</t>
        </is>
      </c>
      <c r="M10" s="228" t="inlineStr">
        <is>
          <t>A+</t>
        </is>
      </c>
      <c r="N10" s="47">
        <f>TRUNC(AVERAGE(D10:J10),2)</f>
        <v/>
      </c>
      <c r="O10" s="117" t="inlineStr">
        <is>
          <t>S</t>
        </is>
      </c>
      <c r="P10" s="227" t="inlineStr">
        <is>
          <t>PROMOVIDO</t>
        </is>
      </c>
      <c r="Q10" s="56" t="inlineStr">
        <is>
          <t>TERCER LUGAR</t>
        </is>
      </c>
      <c r="R10" s="59">
        <f>LARGE(N7:N45,3)</f>
        <v/>
      </c>
      <c r="S10" s="62" t="inlineStr">
        <is>
          <t>UZHCA Y</t>
        </is>
      </c>
    </row>
    <row r="11" ht="15" customHeight="1" s="254">
      <c r="A11" s="75" t="n">
        <v>5</v>
      </c>
      <c r="B11" s="243" t="inlineStr">
        <is>
          <t>CELI MADRID JOSTIN HAIR</t>
        </is>
      </c>
      <c r="C11" s="256" t="n"/>
      <c r="D11" s="135" t="n">
        <v>9.51</v>
      </c>
      <c r="E11" s="160" t="n">
        <v>9.32</v>
      </c>
      <c r="F11" s="126" t="n">
        <v>8.69</v>
      </c>
      <c r="G11" s="54" t="n">
        <v>9.529999999999999</v>
      </c>
      <c r="H11" s="166" t="n">
        <v>8.31</v>
      </c>
      <c r="I11" s="216" t="n">
        <v>9.470000000000001</v>
      </c>
      <c r="J11" s="43" t="n">
        <v>9.73</v>
      </c>
      <c r="K11" s="244" t="inlineStr">
        <is>
          <t>A-</t>
        </is>
      </c>
      <c r="L11" s="245" t="inlineStr">
        <is>
          <t>A-</t>
        </is>
      </c>
      <c r="M11" s="228" t="inlineStr">
        <is>
          <t>A-</t>
        </is>
      </c>
      <c r="N11" s="47">
        <f>TRUNC(AVERAGE(D11:J11),2)</f>
        <v/>
      </c>
      <c r="O11" s="117" t="inlineStr">
        <is>
          <t>S</t>
        </is>
      </c>
      <c r="P11" s="227" t="inlineStr">
        <is>
          <t>PROMOVIDO</t>
        </is>
      </c>
    </row>
    <row r="12" ht="15" customHeight="1" s="254">
      <c r="A12" s="75" t="n">
        <v>6</v>
      </c>
      <c r="B12" s="243" t="inlineStr">
        <is>
          <t>FERNANDEZ CUMBE KIMBERLY MARIBEL</t>
        </is>
      </c>
      <c r="C12" s="69" t="n"/>
      <c r="D12" s="135" t="n">
        <v>8.33</v>
      </c>
      <c r="E12" s="160" t="n">
        <v>8.27</v>
      </c>
      <c r="F12" s="126" t="n">
        <v>7.33</v>
      </c>
      <c r="G12" s="54" t="n">
        <v>8.109999999999999</v>
      </c>
      <c r="H12" s="166" t="n">
        <v>7.3</v>
      </c>
      <c r="I12" s="216" t="n">
        <v>9.029999999999999</v>
      </c>
      <c r="J12" s="43" t="n">
        <v>9.44</v>
      </c>
      <c r="K12" s="244" t="inlineStr">
        <is>
          <t>B+</t>
        </is>
      </c>
      <c r="L12" s="245" t="inlineStr">
        <is>
          <t>B+</t>
        </is>
      </c>
      <c r="M12" s="228" t="inlineStr">
        <is>
          <t>A-</t>
        </is>
      </c>
      <c r="N12" s="47">
        <f>TRUNC(AVERAGE(D12:J12),2)</f>
        <v/>
      </c>
      <c r="O12" s="117" t="inlineStr">
        <is>
          <t>S</t>
        </is>
      </c>
      <c r="P12" s="227" t="inlineStr">
        <is>
          <t>PROMOVIDO</t>
        </is>
      </c>
    </row>
    <row r="13" ht="15" customHeight="1" s="254">
      <c r="A13" s="75" t="n">
        <v>7</v>
      </c>
      <c r="B13" s="243" t="inlineStr">
        <is>
          <t>GUAMAN YANZA PAOLA ADRIANA</t>
        </is>
      </c>
      <c r="C13" s="69" t="n"/>
      <c r="D13" s="135" t="n">
        <v>9.800000000000001</v>
      </c>
      <c r="E13" s="160" t="n">
        <v>9.33</v>
      </c>
      <c r="F13" s="126" t="n">
        <v>9.01</v>
      </c>
      <c r="G13" s="54" t="n">
        <v>9.82</v>
      </c>
      <c r="H13" s="166" t="n">
        <v>9.6</v>
      </c>
      <c r="I13" s="216" t="n">
        <v>10</v>
      </c>
      <c r="J13" s="43" t="n">
        <v>9.9</v>
      </c>
      <c r="K13" s="244" t="inlineStr">
        <is>
          <t>A+</t>
        </is>
      </c>
      <c r="L13" s="245" t="inlineStr">
        <is>
          <t>A+</t>
        </is>
      </c>
      <c r="M13" s="228" t="inlineStr">
        <is>
          <t>A+</t>
        </is>
      </c>
      <c r="N13" s="47">
        <f>TRUNC(AVERAGE(D13:J13),2)</f>
        <v/>
      </c>
      <c r="O13" s="117" t="inlineStr">
        <is>
          <t>S</t>
        </is>
      </c>
      <c r="P13" s="227" t="inlineStr">
        <is>
          <t>PROMOVIDO</t>
        </is>
      </c>
    </row>
    <row r="14" ht="15" customHeight="1" s="254">
      <c r="A14" s="75" t="n">
        <v>8</v>
      </c>
      <c r="B14" s="243" t="inlineStr">
        <is>
          <t>GUAYANAY CAÑAR NATHALY BRIGITTE</t>
        </is>
      </c>
      <c r="C14" s="69" t="n"/>
      <c r="D14" s="135" t="n">
        <v>9.050000000000001</v>
      </c>
      <c r="E14" s="160" t="n">
        <v>9.44</v>
      </c>
      <c r="F14" s="126" t="n">
        <v>9.15</v>
      </c>
      <c r="G14" s="54" t="n">
        <v>9.77</v>
      </c>
      <c r="H14" s="166" t="n">
        <v>8.640000000000001</v>
      </c>
      <c r="I14" s="216" t="n">
        <v>9.869999999999999</v>
      </c>
      <c r="J14" s="43" t="n">
        <v>9.880000000000001</v>
      </c>
      <c r="K14" s="244" t="inlineStr">
        <is>
          <t>A+</t>
        </is>
      </c>
      <c r="L14" s="245" t="inlineStr">
        <is>
          <t>A+</t>
        </is>
      </c>
      <c r="M14" s="228" t="inlineStr">
        <is>
          <t>A+</t>
        </is>
      </c>
      <c r="N14" s="47">
        <f>TRUNC(AVERAGE(D14:J14),2)</f>
        <v/>
      </c>
      <c r="O14" s="117" t="inlineStr">
        <is>
          <t>S</t>
        </is>
      </c>
      <c r="P14" s="227" t="inlineStr">
        <is>
          <t>PROMOVIDO</t>
        </is>
      </c>
    </row>
    <row r="15" ht="15" customHeight="1" s="254">
      <c r="A15" s="75" t="n">
        <v>9</v>
      </c>
      <c r="B15" s="243" t="inlineStr">
        <is>
          <t>GUZHÑAY GUZHÑAY ALAN RANDY</t>
        </is>
      </c>
      <c r="C15" s="69" t="n"/>
      <c r="D15" s="135" t="n">
        <v>9.710000000000001</v>
      </c>
      <c r="E15" s="160" t="n">
        <v>9.779999999999999</v>
      </c>
      <c r="F15" s="126" t="n">
        <v>9.470000000000001</v>
      </c>
      <c r="G15" s="54" t="n">
        <v>9.93</v>
      </c>
      <c r="H15" s="166" t="n">
        <v>9.66</v>
      </c>
      <c r="I15" s="216" t="n">
        <v>9.880000000000001</v>
      </c>
      <c r="J15" s="43" t="n">
        <v>9.859999999999999</v>
      </c>
      <c r="K15" s="244" t="inlineStr">
        <is>
          <t>A+</t>
        </is>
      </c>
      <c r="L15" s="245" t="inlineStr">
        <is>
          <t>A+</t>
        </is>
      </c>
      <c r="M15" s="228" t="inlineStr">
        <is>
          <t>A+</t>
        </is>
      </c>
      <c r="N15" s="47">
        <f>TRUNC(AVERAGE(D15:J15),2)</f>
        <v/>
      </c>
      <c r="O15" s="117" t="inlineStr">
        <is>
          <t>S</t>
        </is>
      </c>
      <c r="P15" s="227" t="inlineStr">
        <is>
          <t>PROMOVIDO</t>
        </is>
      </c>
    </row>
    <row r="16" ht="15" customHeight="1" s="254">
      <c r="A16" s="75" t="n">
        <v>10</v>
      </c>
      <c r="B16" s="243" t="inlineStr">
        <is>
          <t>HUMALA SUCUZHAÑAY JIMMY ALEXANDER</t>
        </is>
      </c>
      <c r="C16" s="69" t="n"/>
      <c r="D16" s="135" t="n">
        <v>8.73</v>
      </c>
      <c r="E16" s="160" t="n">
        <v>8.949999999999999</v>
      </c>
      <c r="F16" s="126" t="n">
        <v>8.539999999999999</v>
      </c>
      <c r="G16" s="54" t="n">
        <v>9.220000000000001</v>
      </c>
      <c r="H16" s="166" t="n">
        <v>8.300000000000001</v>
      </c>
      <c r="I16" s="216" t="n">
        <v>9.42</v>
      </c>
      <c r="J16" s="43" t="n">
        <v>9.58</v>
      </c>
      <c r="K16" s="244" t="inlineStr">
        <is>
          <t>A+</t>
        </is>
      </c>
      <c r="L16" s="245" t="inlineStr">
        <is>
          <t>A+</t>
        </is>
      </c>
      <c r="M16" s="228" t="inlineStr">
        <is>
          <t>A-</t>
        </is>
      </c>
      <c r="N16" s="47">
        <f>TRUNC(AVERAGE(D16:J16),2)</f>
        <v/>
      </c>
      <c r="O16" s="117" t="inlineStr">
        <is>
          <t>S</t>
        </is>
      </c>
      <c r="P16" s="227" t="inlineStr">
        <is>
          <t>PROMOVIDO</t>
        </is>
      </c>
    </row>
    <row r="17" ht="15" customHeight="1" s="254">
      <c r="A17" s="75" t="n">
        <v>11</v>
      </c>
      <c r="B17" s="243" t="inlineStr">
        <is>
          <t>JIMBIQUITI NANTIPIA MATIAS MABERICK</t>
        </is>
      </c>
      <c r="C17" s="69" t="n"/>
      <c r="D17" s="135" t="n">
        <v>8.66</v>
      </c>
      <c r="E17" s="160" t="n">
        <v>8.029999999999999</v>
      </c>
      <c r="F17" s="126" t="n">
        <v>7.56</v>
      </c>
      <c r="G17" s="54" t="n">
        <v>8.23</v>
      </c>
      <c r="H17" s="161" t="n">
        <v>7.42</v>
      </c>
      <c r="I17" s="216" t="n">
        <v>8.380000000000001</v>
      </c>
      <c r="J17" s="43" t="n">
        <v>8.59</v>
      </c>
      <c r="K17" s="244" t="inlineStr">
        <is>
          <t>A-</t>
        </is>
      </c>
      <c r="L17" s="245" t="inlineStr">
        <is>
          <t>A-</t>
        </is>
      </c>
      <c r="M17" s="228" t="inlineStr">
        <is>
          <t>B+</t>
        </is>
      </c>
      <c r="N17" s="47">
        <f>TRUNC(AVERAGE(D17:J17),2)</f>
        <v/>
      </c>
      <c r="O17" s="117" t="inlineStr">
        <is>
          <t>S</t>
        </is>
      </c>
      <c r="P17" s="227" t="inlineStr">
        <is>
          <t>PROMOVIDO</t>
        </is>
      </c>
    </row>
    <row r="18" ht="15" customHeight="1" s="254">
      <c r="A18" s="75" t="n">
        <v>12</v>
      </c>
      <c r="B18" s="243" t="inlineStr">
        <is>
          <t>LITA RIVERA LARRY LEONEL</t>
        </is>
      </c>
      <c r="C18" s="256" t="n"/>
      <c r="D18" s="135" t="n">
        <v>9.199999999999999</v>
      </c>
      <c r="E18" s="160" t="n">
        <v>9.289999999999999</v>
      </c>
      <c r="F18" s="126" t="n">
        <v>8.65</v>
      </c>
      <c r="G18" s="54" t="n">
        <v>9.34</v>
      </c>
      <c r="H18" s="166" t="n">
        <v>8.4</v>
      </c>
      <c r="I18" s="216" t="n">
        <v>9.710000000000001</v>
      </c>
      <c r="J18" s="43" t="n">
        <v>9.57</v>
      </c>
      <c r="K18" s="244" t="inlineStr">
        <is>
          <t>A+</t>
        </is>
      </c>
      <c r="L18" s="245" t="inlineStr">
        <is>
          <t>A+</t>
        </is>
      </c>
      <c r="M18" s="228" t="inlineStr">
        <is>
          <t>A+</t>
        </is>
      </c>
      <c r="N18" s="47">
        <f>TRUNC(AVERAGE(D18:J18),2)</f>
        <v/>
      </c>
      <c r="O18" s="117" t="inlineStr">
        <is>
          <t>S</t>
        </is>
      </c>
      <c r="P18" s="227" t="inlineStr">
        <is>
          <t>PROMOVIDO</t>
        </is>
      </c>
    </row>
    <row r="19" ht="15" customHeight="1" s="254">
      <c r="A19" s="75" t="n">
        <v>13</v>
      </c>
      <c r="B19" s="243" t="inlineStr">
        <is>
          <t>LOJA GUACHICHULLCA EMILY CAROLINA</t>
        </is>
      </c>
      <c r="C19" s="69" t="n"/>
      <c r="D19" s="135" t="n">
        <v>9.789999999999999</v>
      </c>
      <c r="E19" s="160" t="n">
        <v>9.800000000000001</v>
      </c>
      <c r="F19" s="126" t="n">
        <v>9.789999999999999</v>
      </c>
      <c r="G19" s="54" t="n">
        <v>10</v>
      </c>
      <c r="H19" s="166" t="n">
        <v>9.84</v>
      </c>
      <c r="I19" s="216" t="n">
        <v>10</v>
      </c>
      <c r="J19" s="43" t="n">
        <v>9.93</v>
      </c>
      <c r="K19" s="244" t="inlineStr">
        <is>
          <t>A+</t>
        </is>
      </c>
      <c r="L19" s="245" t="inlineStr">
        <is>
          <t>A+</t>
        </is>
      </c>
      <c r="M19" s="228" t="inlineStr">
        <is>
          <t>A+</t>
        </is>
      </c>
      <c r="N19" s="47">
        <f>TRUNC(AVERAGE(D19:J19),2)</f>
        <v/>
      </c>
      <c r="O19" s="117" t="inlineStr">
        <is>
          <t>S</t>
        </is>
      </c>
      <c r="P19" s="227" t="inlineStr">
        <is>
          <t>PROMOVIDO</t>
        </is>
      </c>
    </row>
    <row r="20" ht="15" customHeight="1" s="254">
      <c r="A20" s="75" t="n">
        <v>14</v>
      </c>
      <c r="B20" s="243" t="inlineStr">
        <is>
          <t>LOJA ZHUMI DAYANNA MARIBEL</t>
        </is>
      </c>
      <c r="C20" s="256" t="n"/>
      <c r="D20" s="135" t="n">
        <v>9.09</v>
      </c>
      <c r="E20" s="160" t="n">
        <v>9.449999999999999</v>
      </c>
      <c r="F20" s="126" t="n">
        <v>8.67</v>
      </c>
      <c r="G20" s="54" t="n">
        <v>9.369999999999999</v>
      </c>
      <c r="H20" s="166" t="n">
        <v>8.57</v>
      </c>
      <c r="I20" s="216" t="n">
        <v>9.960000000000001</v>
      </c>
      <c r="J20" s="43" t="n">
        <v>9.43</v>
      </c>
      <c r="K20" s="244" t="inlineStr">
        <is>
          <t>A+</t>
        </is>
      </c>
      <c r="L20" s="245" t="inlineStr">
        <is>
          <t>B+</t>
        </is>
      </c>
      <c r="M20" s="228" t="inlineStr">
        <is>
          <t>B+</t>
        </is>
      </c>
      <c r="N20" s="47">
        <f>TRUNC(AVERAGE(D20:J20),2)</f>
        <v/>
      </c>
      <c r="O20" s="117" t="inlineStr">
        <is>
          <t>S</t>
        </is>
      </c>
      <c r="P20" s="227" t="inlineStr">
        <is>
          <t>PROMOVIDO</t>
        </is>
      </c>
    </row>
    <row r="21" ht="15" customHeight="1" s="254">
      <c r="A21" s="75" t="n">
        <v>15</v>
      </c>
      <c r="B21" s="243" t="inlineStr">
        <is>
          <t>LONDA ASMAL CARLOS MATEO</t>
        </is>
      </c>
      <c r="C21" s="256" t="n"/>
      <c r="D21" s="135" t="n">
        <v>8.93</v>
      </c>
      <c r="E21" s="160" t="n">
        <v>8.49</v>
      </c>
      <c r="F21" s="126" t="n">
        <v>8.09</v>
      </c>
      <c r="G21" s="54" t="n">
        <v>8.869999999999999</v>
      </c>
      <c r="H21" s="166" t="n">
        <v>8.51</v>
      </c>
      <c r="I21" s="216" t="n">
        <v>9.59</v>
      </c>
      <c r="J21" s="43" t="n">
        <v>9.539999999999999</v>
      </c>
      <c r="K21" s="244" t="inlineStr">
        <is>
          <t>A-</t>
        </is>
      </c>
      <c r="L21" s="245" t="inlineStr">
        <is>
          <t>A-</t>
        </is>
      </c>
      <c r="M21" s="228" t="inlineStr">
        <is>
          <t>A-</t>
        </is>
      </c>
      <c r="N21" s="47">
        <f>TRUNC(AVERAGE(D21:J21),2)</f>
        <v/>
      </c>
      <c r="O21" s="117" t="inlineStr">
        <is>
          <t>S</t>
        </is>
      </c>
      <c r="P21" s="227" t="inlineStr">
        <is>
          <t>PROMOVIDO</t>
        </is>
      </c>
    </row>
    <row r="22" ht="15" customHeight="1" s="254">
      <c r="A22" s="75" t="n">
        <v>16</v>
      </c>
      <c r="B22" s="243" t="inlineStr">
        <is>
          <t>MASQUI PEREZ ISRAEL EDUARDO</t>
        </is>
      </c>
      <c r="C22" s="69" t="n"/>
      <c r="D22" s="135" t="n">
        <v>9.74</v>
      </c>
      <c r="E22" s="160" t="n">
        <v>9.83</v>
      </c>
      <c r="F22" s="126" t="n">
        <v>9.609999999999999</v>
      </c>
      <c r="G22" s="54" t="n">
        <v>9.84</v>
      </c>
      <c r="H22" s="166" t="n">
        <v>9.43</v>
      </c>
      <c r="I22" s="216" t="n">
        <v>9.960000000000001</v>
      </c>
      <c r="J22" s="43" t="n">
        <v>9.76</v>
      </c>
      <c r="K22" s="244" t="inlineStr">
        <is>
          <t>A+</t>
        </is>
      </c>
      <c r="L22" s="245" t="inlineStr">
        <is>
          <t>A+</t>
        </is>
      </c>
      <c r="M22" s="228" t="inlineStr">
        <is>
          <t>A+</t>
        </is>
      </c>
      <c r="N22" s="47">
        <f>TRUNC(AVERAGE(D22:J22),2)</f>
        <v/>
      </c>
      <c r="O22" s="117" t="inlineStr">
        <is>
          <t>S</t>
        </is>
      </c>
      <c r="P22" s="227" t="inlineStr">
        <is>
          <t>PROMOVIDO</t>
        </is>
      </c>
    </row>
    <row r="23" ht="15" customHeight="1" s="254">
      <c r="A23" s="75" t="n">
        <v>17</v>
      </c>
      <c r="B23" s="243" t="inlineStr">
        <is>
          <t>MATUTE GUAMAN JOSELIN ANALY</t>
        </is>
      </c>
      <c r="C23" s="69" t="n"/>
      <c r="D23" s="135" t="n">
        <v>8.99</v>
      </c>
      <c r="E23" s="160" t="n">
        <v>8.49</v>
      </c>
      <c r="F23" s="126" t="n">
        <v>7.64</v>
      </c>
      <c r="G23" s="54" t="n">
        <v>8.880000000000001</v>
      </c>
      <c r="H23" s="166" t="n">
        <v>8.449999999999999</v>
      </c>
      <c r="I23" s="216" t="n">
        <v>9.949999999999999</v>
      </c>
      <c r="J23" s="43" t="n">
        <v>9.869999999999999</v>
      </c>
      <c r="K23" s="244" t="inlineStr">
        <is>
          <t>A+</t>
        </is>
      </c>
      <c r="L23" s="245" t="inlineStr">
        <is>
          <t>A+</t>
        </is>
      </c>
      <c r="M23" s="228" t="inlineStr">
        <is>
          <t>A-</t>
        </is>
      </c>
      <c r="N23" s="47">
        <f>TRUNC(AVERAGE(D23:J23),2)</f>
        <v/>
      </c>
      <c r="O23" s="117" t="inlineStr">
        <is>
          <t>S</t>
        </is>
      </c>
      <c r="P23" s="227" t="inlineStr">
        <is>
          <t>PROMOVIDO</t>
        </is>
      </c>
    </row>
    <row r="24" ht="15" customHeight="1" s="254">
      <c r="A24" s="75" t="n">
        <v>18</v>
      </c>
      <c r="B24" s="243" t="inlineStr">
        <is>
          <t>MAXI SIAVICHAY DAYANNA VALERIA</t>
        </is>
      </c>
      <c r="C24" s="69" t="n"/>
      <c r="D24" s="135" t="n">
        <v>9.6</v>
      </c>
      <c r="E24" s="160" t="n">
        <v>9.76</v>
      </c>
      <c r="F24" s="126" t="n">
        <v>9.300000000000001</v>
      </c>
      <c r="G24" s="54" t="n">
        <v>9.800000000000001</v>
      </c>
      <c r="H24" s="166" t="n">
        <v>9.300000000000001</v>
      </c>
      <c r="I24" s="216" t="n">
        <v>10</v>
      </c>
      <c r="J24" s="43" t="n">
        <v>9.9</v>
      </c>
      <c r="K24" s="244" t="inlineStr">
        <is>
          <t>A+</t>
        </is>
      </c>
      <c r="L24" s="245" t="inlineStr">
        <is>
          <t>A+</t>
        </is>
      </c>
      <c r="M24" s="228" t="inlineStr">
        <is>
          <t>A-</t>
        </is>
      </c>
      <c r="N24" s="47">
        <f>TRUNC(AVERAGE(D24:J24),2)</f>
        <v/>
      </c>
      <c r="O24" s="117" t="inlineStr">
        <is>
          <t>S</t>
        </is>
      </c>
      <c r="P24" s="227" t="inlineStr">
        <is>
          <t>PROMOVIDO</t>
        </is>
      </c>
    </row>
    <row r="25" ht="15" customHeight="1" s="254">
      <c r="A25" s="75" t="n">
        <v>19</v>
      </c>
      <c r="B25" s="285" t="inlineStr">
        <is>
          <t>MONAR CARDENAS MAYURY BRIGETTE</t>
        </is>
      </c>
      <c r="C25" s="256" t="n"/>
      <c r="D25" s="135" t="n">
        <v>8.24</v>
      </c>
      <c r="E25" s="160" t="n">
        <v>8.18</v>
      </c>
      <c r="F25" s="126" t="n">
        <v>7.44</v>
      </c>
      <c r="G25" s="54" t="n">
        <v>8.52</v>
      </c>
      <c r="H25" s="166" t="n">
        <v>7.83</v>
      </c>
      <c r="I25" s="216" t="n">
        <v>9.51</v>
      </c>
      <c r="J25" s="43" t="n">
        <v>9.279999999999999</v>
      </c>
      <c r="K25" s="244" t="inlineStr">
        <is>
          <t>B+</t>
        </is>
      </c>
      <c r="L25" s="245" t="inlineStr">
        <is>
          <t>B+</t>
        </is>
      </c>
      <c r="M25" s="228" t="inlineStr">
        <is>
          <t>B+</t>
        </is>
      </c>
      <c r="N25" s="47">
        <f>TRUNC(AVERAGE(D25:J25),2)</f>
        <v/>
      </c>
      <c r="O25" s="117" t="inlineStr">
        <is>
          <t>S</t>
        </is>
      </c>
      <c r="P25" s="227" t="inlineStr">
        <is>
          <t>PROMOVIDO</t>
        </is>
      </c>
    </row>
    <row r="26" ht="15" customHeight="1" s="254">
      <c r="A26" s="75" t="n">
        <v>20</v>
      </c>
      <c r="B26" s="243" t="inlineStr">
        <is>
          <t>MONAR ORELLANA ANDERSSON STALYN</t>
        </is>
      </c>
      <c r="C26" s="69" t="n"/>
      <c r="D26" s="135" t="n">
        <v>7.89</v>
      </c>
      <c r="E26" s="160" t="n">
        <v>8.050000000000001</v>
      </c>
      <c r="F26" s="126" t="n">
        <v>7.35</v>
      </c>
      <c r="G26" s="54" t="n">
        <v>8.33</v>
      </c>
      <c r="H26" s="166" t="n">
        <v>7.01</v>
      </c>
      <c r="I26" s="216" t="n">
        <v>8.640000000000001</v>
      </c>
      <c r="J26" s="43" t="n">
        <v>8.539999999999999</v>
      </c>
      <c r="K26" s="244" t="inlineStr">
        <is>
          <t>A-</t>
        </is>
      </c>
      <c r="L26" s="245" t="inlineStr">
        <is>
          <t>A-</t>
        </is>
      </c>
      <c r="M26" s="228" t="inlineStr">
        <is>
          <t>B+</t>
        </is>
      </c>
      <c r="N26" s="47">
        <f>TRUNC(AVERAGE(D26:J26),2)</f>
        <v/>
      </c>
      <c r="O26" s="117" t="inlineStr">
        <is>
          <t>S</t>
        </is>
      </c>
      <c r="P26" s="227" t="inlineStr">
        <is>
          <t>PROMOVIDO</t>
        </is>
      </c>
    </row>
    <row r="27" ht="15" customHeight="1" s="254">
      <c r="A27" s="75" t="n">
        <v>21</v>
      </c>
      <c r="B27" s="243" t="inlineStr">
        <is>
          <t>MORA MAQUISACA DARLA STEPHANIA</t>
        </is>
      </c>
      <c r="C27" s="69" t="n"/>
      <c r="D27" s="135" t="n">
        <v>7.58</v>
      </c>
      <c r="E27" s="160" t="n">
        <v>7.03</v>
      </c>
      <c r="F27" s="126" t="n">
        <v>7.06</v>
      </c>
      <c r="G27" s="54" t="n">
        <v>7.37</v>
      </c>
      <c r="H27" s="166" t="n">
        <v>7.1</v>
      </c>
      <c r="I27" s="216" t="n">
        <v>8.119999999999999</v>
      </c>
      <c r="J27" s="43" t="n">
        <v>8.85</v>
      </c>
      <c r="K27" s="244" t="inlineStr">
        <is>
          <t>B+</t>
        </is>
      </c>
      <c r="L27" s="245" t="inlineStr">
        <is>
          <t>B+</t>
        </is>
      </c>
      <c r="M27" s="228" t="inlineStr">
        <is>
          <t>B+</t>
        </is>
      </c>
      <c r="N27" s="47">
        <f>TRUNC(AVERAGE(D27:J27),2)</f>
        <v/>
      </c>
      <c r="O27" s="117" t="inlineStr">
        <is>
          <t>S</t>
        </is>
      </c>
      <c r="P27" s="227" t="inlineStr">
        <is>
          <t>PROMOVIDO</t>
        </is>
      </c>
    </row>
    <row r="28" ht="18" customHeight="1" s="254">
      <c r="A28" s="75" t="n">
        <v>22</v>
      </c>
      <c r="B28" s="243" t="inlineStr">
        <is>
          <t>MUÑOZ ANDRADE ABIGAIL PRISCILA</t>
        </is>
      </c>
      <c r="C28" s="69" t="n"/>
      <c r="D28" s="135" t="n">
        <v>9.1</v>
      </c>
      <c r="E28" s="160" t="n">
        <v>8.77</v>
      </c>
      <c r="F28" s="126" t="n">
        <v>8.98</v>
      </c>
      <c r="G28" s="54" t="n">
        <v>9.619999999999999</v>
      </c>
      <c r="H28" s="166" t="n">
        <v>7.81</v>
      </c>
      <c r="I28" s="216" t="n">
        <v>9.93</v>
      </c>
      <c r="J28" s="43" t="n">
        <v>9.68</v>
      </c>
      <c r="K28" s="244" t="inlineStr">
        <is>
          <t>A+</t>
        </is>
      </c>
      <c r="L28" s="245" t="inlineStr">
        <is>
          <t>A-</t>
        </is>
      </c>
      <c r="M28" s="228" t="inlineStr">
        <is>
          <t>A-</t>
        </is>
      </c>
      <c r="N28" s="47">
        <f>TRUNC(AVERAGE(D28:J28),2)</f>
        <v/>
      </c>
      <c r="O28" s="117" t="inlineStr">
        <is>
          <t>S</t>
        </is>
      </c>
      <c r="P28" s="227" t="inlineStr">
        <is>
          <t>PROMOVIDO</t>
        </is>
      </c>
    </row>
    <row r="29" ht="15" customHeight="1" s="254">
      <c r="A29" s="75" t="n">
        <v>23</v>
      </c>
      <c r="B29" s="243" t="inlineStr">
        <is>
          <t>PALLAZHCO LOJA MICHELLE CAROLINA</t>
        </is>
      </c>
      <c r="C29" s="69" t="n"/>
      <c r="D29" s="135" t="n">
        <v>9.039999999999999</v>
      </c>
      <c r="E29" s="160" t="n">
        <v>8.050000000000001</v>
      </c>
      <c r="F29" s="126" t="n">
        <v>8.83</v>
      </c>
      <c r="G29" s="54" t="n">
        <v>9.06</v>
      </c>
      <c r="H29" s="166" t="n">
        <v>7.89</v>
      </c>
      <c r="I29" s="216" t="n">
        <v>9.470000000000001</v>
      </c>
      <c r="J29" s="43" t="n">
        <v>9.41</v>
      </c>
      <c r="K29" s="244" t="inlineStr">
        <is>
          <t>A+</t>
        </is>
      </c>
      <c r="L29" s="245" t="inlineStr">
        <is>
          <t>A-</t>
        </is>
      </c>
      <c r="M29" s="228" t="inlineStr">
        <is>
          <t>A-</t>
        </is>
      </c>
      <c r="N29" s="47">
        <f>TRUNC(AVERAGE(D29:J29),2)</f>
        <v/>
      </c>
      <c r="O29" s="117" t="inlineStr">
        <is>
          <t>S</t>
        </is>
      </c>
      <c r="P29" s="227" t="inlineStr">
        <is>
          <t>PROMOVIDO</t>
        </is>
      </c>
    </row>
    <row r="30" ht="18" customHeight="1" s="254">
      <c r="A30" s="75" t="n">
        <v>24</v>
      </c>
      <c r="B30" s="243" t="inlineStr">
        <is>
          <t>PERALTA NIETO ALEX SANTIAGO</t>
        </is>
      </c>
      <c r="C30" s="256" t="n"/>
      <c r="D30" s="135" t="n">
        <v>9.42</v>
      </c>
      <c r="E30" s="160" t="n">
        <v>9.51</v>
      </c>
      <c r="F30" s="126" t="n">
        <v>8.9</v>
      </c>
      <c r="G30" s="54" t="n">
        <v>9.550000000000001</v>
      </c>
      <c r="H30" s="166" t="n">
        <v>8.609999999999999</v>
      </c>
      <c r="I30" s="216" t="n">
        <v>9.699999999999999</v>
      </c>
      <c r="J30" s="43" t="n">
        <v>9.69</v>
      </c>
      <c r="K30" s="244" t="inlineStr">
        <is>
          <t>A-</t>
        </is>
      </c>
      <c r="L30" s="245" t="inlineStr">
        <is>
          <t>A-</t>
        </is>
      </c>
      <c r="M30" s="228" t="inlineStr">
        <is>
          <t>A-</t>
        </is>
      </c>
      <c r="N30" s="47">
        <f>TRUNC(AVERAGE(D30:J30),2)</f>
        <v/>
      </c>
      <c r="O30" s="117" t="inlineStr">
        <is>
          <t>S</t>
        </is>
      </c>
      <c r="P30" s="227" t="inlineStr">
        <is>
          <t>PROMOVIDO</t>
        </is>
      </c>
    </row>
    <row r="31" ht="15" customHeight="1" s="254">
      <c r="A31" s="75" t="n">
        <v>25</v>
      </c>
      <c r="B31" s="243" t="inlineStr">
        <is>
          <t>PEREZ MATUTE MATIAS ALEJANDRO</t>
        </is>
      </c>
      <c r="C31" s="69" t="n"/>
      <c r="D31" s="135" t="n">
        <v>8.59</v>
      </c>
      <c r="E31" s="160" t="n">
        <v>8.640000000000001</v>
      </c>
      <c r="F31" s="126" t="n">
        <v>7.3</v>
      </c>
      <c r="G31" s="54" t="n">
        <v>8.6</v>
      </c>
      <c r="H31" s="166" t="n">
        <v>7.76</v>
      </c>
      <c r="I31" s="216" t="n">
        <v>8.81</v>
      </c>
      <c r="J31" s="43" t="n">
        <v>9.02</v>
      </c>
      <c r="K31" s="244" t="inlineStr">
        <is>
          <t>B+</t>
        </is>
      </c>
      <c r="L31" s="245" t="inlineStr">
        <is>
          <t>B+</t>
        </is>
      </c>
      <c r="M31" s="228" t="inlineStr">
        <is>
          <t>A-</t>
        </is>
      </c>
      <c r="N31" s="47">
        <f>TRUNC(AVERAGE(D31:J31),2)</f>
        <v/>
      </c>
      <c r="O31" s="117" t="inlineStr">
        <is>
          <t>S</t>
        </is>
      </c>
      <c r="P31" s="227" t="inlineStr">
        <is>
          <t>PROMOVIDO</t>
        </is>
      </c>
    </row>
    <row r="32" ht="15" customHeight="1" s="254">
      <c r="A32" s="75" t="n">
        <v>26</v>
      </c>
      <c r="B32" s="243" t="inlineStr">
        <is>
          <t>PIÑA GUARQUILA JUSTIN EDUARDO</t>
        </is>
      </c>
      <c r="C32" s="69" t="n"/>
      <c r="D32" s="135" t="n">
        <v>9.800000000000001</v>
      </c>
      <c r="E32" s="160" t="n">
        <v>9.98</v>
      </c>
      <c r="F32" s="126" t="n">
        <v>9.67</v>
      </c>
      <c r="G32" s="54" t="n">
        <v>10</v>
      </c>
      <c r="H32" s="166" t="n">
        <v>9.960000000000001</v>
      </c>
      <c r="I32" s="216" t="n">
        <v>10</v>
      </c>
      <c r="J32" s="43" t="n">
        <v>10</v>
      </c>
      <c r="K32" s="244" t="inlineStr">
        <is>
          <t>A+</t>
        </is>
      </c>
      <c r="L32" s="245" t="inlineStr">
        <is>
          <t>A+</t>
        </is>
      </c>
      <c r="M32" s="228" t="inlineStr">
        <is>
          <t>A+</t>
        </is>
      </c>
      <c r="N32" s="47">
        <f>TRUNC(AVERAGE(D32:J32),2)</f>
        <v/>
      </c>
      <c r="O32" s="117" t="inlineStr">
        <is>
          <t>S</t>
        </is>
      </c>
      <c r="P32" s="227" t="inlineStr">
        <is>
          <t>PROMOVIDO</t>
        </is>
      </c>
    </row>
    <row r="33" ht="15" customHeight="1" s="254">
      <c r="A33" s="75" t="n">
        <v>27</v>
      </c>
      <c r="B33" s="243" t="inlineStr">
        <is>
          <t>QUIZHPI MENDOZA JAVIER MAURICIO</t>
        </is>
      </c>
      <c r="C33" s="69" t="n"/>
      <c r="D33" s="135" t="n">
        <v>7.58</v>
      </c>
      <c r="E33" s="160" t="n">
        <v>7.22</v>
      </c>
      <c r="F33" s="126" t="n">
        <v>7.09</v>
      </c>
      <c r="G33" s="54" t="n">
        <v>7.14</v>
      </c>
      <c r="H33" s="166" t="n">
        <v>7.13</v>
      </c>
      <c r="I33" s="216" t="n">
        <v>8.17</v>
      </c>
      <c r="J33" s="43" t="n">
        <v>8.31</v>
      </c>
      <c r="K33" s="244" t="inlineStr">
        <is>
          <t>B+</t>
        </is>
      </c>
      <c r="L33" s="245" t="inlineStr">
        <is>
          <t>B+</t>
        </is>
      </c>
      <c r="M33" s="228" t="inlineStr">
        <is>
          <t>B+</t>
        </is>
      </c>
      <c r="N33" s="47">
        <f>TRUNC(AVERAGE(D33:J33),2)</f>
        <v/>
      </c>
      <c r="O33" s="117" t="inlineStr">
        <is>
          <t>S</t>
        </is>
      </c>
      <c r="P33" s="227" t="inlineStr">
        <is>
          <t>PROMOVIDO</t>
        </is>
      </c>
    </row>
    <row r="34" ht="15" customHeight="1" s="254">
      <c r="A34" s="75" t="n">
        <v>28</v>
      </c>
      <c r="B34" s="243" t="inlineStr">
        <is>
          <t>RAMIREZ AGUILAR MATHIWS JOEL</t>
        </is>
      </c>
      <c r="C34" s="69" t="n"/>
      <c r="D34" s="135" t="n">
        <v>7.51</v>
      </c>
      <c r="E34" s="160" t="n">
        <v>7.34</v>
      </c>
      <c r="F34" s="126" t="n">
        <v>7.26</v>
      </c>
      <c r="G34" s="54" t="n">
        <v>8.1</v>
      </c>
      <c r="H34" s="166" t="n">
        <v>7.12</v>
      </c>
      <c r="I34" s="216" t="n">
        <v>8.33</v>
      </c>
      <c r="J34" s="43" t="n">
        <v>8.84</v>
      </c>
      <c r="K34" s="244" t="inlineStr">
        <is>
          <t>B+</t>
        </is>
      </c>
      <c r="L34" s="245" t="inlineStr">
        <is>
          <t>B+</t>
        </is>
      </c>
      <c r="M34" s="228" t="inlineStr">
        <is>
          <t>B+</t>
        </is>
      </c>
      <c r="N34" s="47">
        <f>TRUNC(AVERAGE(D34:J34),2)</f>
        <v/>
      </c>
      <c r="O34" s="117" t="inlineStr">
        <is>
          <t>S</t>
        </is>
      </c>
      <c r="P34" s="227" t="inlineStr">
        <is>
          <t>PROMOVIDO</t>
        </is>
      </c>
    </row>
    <row r="35" ht="15" customHeight="1" s="254">
      <c r="A35" s="75" t="n">
        <v>29</v>
      </c>
      <c r="B35" s="243" t="inlineStr">
        <is>
          <t>ROMERO NACIPUCHA JUAN ERNESTO</t>
        </is>
      </c>
      <c r="C35" s="69" t="n"/>
      <c r="D35" s="135" t="n">
        <v>7.94</v>
      </c>
      <c r="E35" s="160" t="n">
        <v>7.65</v>
      </c>
      <c r="F35" s="126" t="n">
        <v>7.01</v>
      </c>
      <c r="G35" s="54" t="n">
        <v>7</v>
      </c>
      <c r="H35" s="166" t="n">
        <v>7</v>
      </c>
      <c r="I35" s="216" t="n">
        <v>7.79</v>
      </c>
      <c r="J35" s="43" t="n">
        <v>8.279999999999999</v>
      </c>
      <c r="K35" s="244" t="inlineStr">
        <is>
          <t>B+</t>
        </is>
      </c>
      <c r="L35" s="245" t="inlineStr">
        <is>
          <t>B+</t>
        </is>
      </c>
      <c r="M35" s="228" t="inlineStr">
        <is>
          <t>B+</t>
        </is>
      </c>
      <c r="N35" s="47">
        <f>TRUNC(AVERAGE(D35:J35),2)</f>
        <v/>
      </c>
      <c r="O35" s="117" t="inlineStr">
        <is>
          <t>S</t>
        </is>
      </c>
      <c r="P35" s="227" t="inlineStr">
        <is>
          <t>PROMOVIDO</t>
        </is>
      </c>
    </row>
    <row r="36" ht="15" customHeight="1" s="254">
      <c r="A36" s="75" t="n">
        <v>30</v>
      </c>
      <c r="B36" s="243" t="inlineStr">
        <is>
          <t>SANDOVAL ORDOÑEZ JOSUE ALEXANDER</t>
        </is>
      </c>
      <c r="C36" s="256" t="n"/>
      <c r="D36" s="135" t="n">
        <v>9.32</v>
      </c>
      <c r="E36" s="160" t="n">
        <v>9.140000000000001</v>
      </c>
      <c r="F36" s="126" t="n">
        <v>8.76</v>
      </c>
      <c r="G36" s="54" t="n">
        <v>8.970000000000001</v>
      </c>
      <c r="H36" s="166" t="n">
        <v>8.59</v>
      </c>
      <c r="I36" s="216" t="n">
        <v>9.32</v>
      </c>
      <c r="J36" s="43" t="n">
        <v>9.18</v>
      </c>
      <c r="K36" s="244" t="inlineStr">
        <is>
          <t>A+</t>
        </is>
      </c>
      <c r="L36" s="245" t="inlineStr">
        <is>
          <t>A+</t>
        </is>
      </c>
      <c r="M36" s="228" t="inlineStr">
        <is>
          <t>A-</t>
        </is>
      </c>
      <c r="N36" s="47">
        <f>TRUNC(AVERAGE(D36:J36),2)</f>
        <v/>
      </c>
      <c r="O36" s="117" t="inlineStr">
        <is>
          <t>S</t>
        </is>
      </c>
      <c r="P36" s="227" t="inlineStr">
        <is>
          <t>PROMOVIDO</t>
        </is>
      </c>
    </row>
    <row r="37" ht="15" customHeight="1" s="254">
      <c r="A37" s="75" t="n">
        <v>31</v>
      </c>
      <c r="B37" s="243" t="inlineStr">
        <is>
          <t>SANISACA CEME MARJORIE FERNANDA</t>
        </is>
      </c>
      <c r="C37" s="256" t="n"/>
      <c r="D37" s="135" t="n">
        <v>8.66</v>
      </c>
      <c r="E37" s="160" t="n">
        <v>8.140000000000001</v>
      </c>
      <c r="F37" s="126" t="n">
        <v>8.140000000000001</v>
      </c>
      <c r="G37" s="54" t="n">
        <v>9.15</v>
      </c>
      <c r="H37" s="166" t="n">
        <v>7.88</v>
      </c>
      <c r="I37" s="216" t="n">
        <v>9.92</v>
      </c>
      <c r="J37" s="43" t="n">
        <v>9.859999999999999</v>
      </c>
      <c r="K37" s="244" t="inlineStr">
        <is>
          <t>A+</t>
        </is>
      </c>
      <c r="L37" s="245" t="inlineStr">
        <is>
          <t>A+</t>
        </is>
      </c>
      <c r="M37" s="228" t="inlineStr">
        <is>
          <t>A+</t>
        </is>
      </c>
      <c r="N37" s="47">
        <f>TRUNC(AVERAGE(D37:J37),2)</f>
        <v/>
      </c>
      <c r="O37" s="117" t="inlineStr">
        <is>
          <t>S</t>
        </is>
      </c>
      <c r="P37" s="227" t="inlineStr">
        <is>
          <t>PROMOVIDO</t>
        </is>
      </c>
    </row>
    <row r="38" ht="15" customHeight="1" s="254">
      <c r="A38" s="75" t="n">
        <v>32</v>
      </c>
      <c r="B38" s="243" t="inlineStr">
        <is>
          <t>SARAGOCIN LLIVICOTA EZEQUIEL DAVID</t>
        </is>
      </c>
      <c r="C38" s="256" t="n"/>
      <c r="D38" s="135" t="n">
        <v>9.380000000000001</v>
      </c>
      <c r="E38" s="160" t="n">
        <v>9.31</v>
      </c>
      <c r="F38" s="126" t="n">
        <v>8.880000000000001</v>
      </c>
      <c r="G38" s="54" t="n">
        <v>9.720000000000001</v>
      </c>
      <c r="H38" s="166" t="n">
        <v>8.99</v>
      </c>
      <c r="I38" s="216" t="n">
        <v>9.109999999999999</v>
      </c>
      <c r="J38" s="43" t="n">
        <v>9.81</v>
      </c>
      <c r="K38" s="244" t="inlineStr">
        <is>
          <t>A+</t>
        </is>
      </c>
      <c r="L38" s="245" t="inlineStr">
        <is>
          <t>A+</t>
        </is>
      </c>
      <c r="M38" s="228" t="inlineStr">
        <is>
          <t>A+</t>
        </is>
      </c>
      <c r="N38" s="47">
        <f>TRUNC(AVERAGE(D38:J38),2)</f>
        <v/>
      </c>
      <c r="O38" s="117" t="inlineStr">
        <is>
          <t>S</t>
        </is>
      </c>
      <c r="P38" s="227" t="inlineStr">
        <is>
          <t>PROMOVIDO</t>
        </is>
      </c>
    </row>
    <row r="39" ht="15" customHeight="1" s="254">
      <c r="A39" s="75" t="n">
        <v>33</v>
      </c>
      <c r="B39" s="243" t="inlineStr">
        <is>
          <t>SOLIS TENEN MATEO ISRAEL</t>
        </is>
      </c>
      <c r="C39" s="256" t="n"/>
      <c r="D39" s="135" t="n">
        <v>8.08</v>
      </c>
      <c r="E39" s="160" t="n">
        <v>7.01</v>
      </c>
      <c r="F39" s="126" t="n">
        <v>7</v>
      </c>
      <c r="G39" s="54" t="n">
        <v>7.34</v>
      </c>
      <c r="H39" s="166" t="n">
        <v>7</v>
      </c>
      <c r="I39" s="216" t="n">
        <v>8.140000000000001</v>
      </c>
      <c r="J39" s="43" t="n">
        <v>8.220000000000001</v>
      </c>
      <c r="K39" s="244" t="inlineStr">
        <is>
          <t>B+</t>
        </is>
      </c>
      <c r="L39" s="245" t="inlineStr">
        <is>
          <t>B+</t>
        </is>
      </c>
      <c r="M39" s="228" t="inlineStr">
        <is>
          <t>B+</t>
        </is>
      </c>
      <c r="N39" s="47">
        <f>TRUNC(AVERAGE(D39:J39),2)</f>
        <v/>
      </c>
      <c r="O39" s="117" t="inlineStr">
        <is>
          <t>S</t>
        </is>
      </c>
      <c r="P39" s="227" t="inlineStr">
        <is>
          <t>PROMOVIDO</t>
        </is>
      </c>
    </row>
    <row r="40" ht="18" customHeight="1" s="254">
      <c r="A40" s="75" t="n">
        <v>34</v>
      </c>
      <c r="B40" s="243" t="inlineStr">
        <is>
          <t>TACURI PINTADO ASHLY VIVIANA</t>
        </is>
      </c>
      <c r="C40" s="256" t="n"/>
      <c r="D40" s="135" t="n">
        <v>8.23</v>
      </c>
      <c r="E40" s="160" t="n">
        <v>7.02</v>
      </c>
      <c r="F40" s="126" t="n">
        <v>7.18</v>
      </c>
      <c r="G40" s="54" t="n">
        <v>7.43</v>
      </c>
      <c r="H40" s="166" t="n">
        <v>7</v>
      </c>
      <c r="I40" s="216" t="n">
        <v>8.81</v>
      </c>
      <c r="J40" s="43" t="n">
        <v>7.59</v>
      </c>
      <c r="K40" s="244" t="inlineStr">
        <is>
          <t>B+</t>
        </is>
      </c>
      <c r="L40" s="245" t="inlineStr">
        <is>
          <t>B+</t>
        </is>
      </c>
      <c r="M40" s="228" t="inlineStr">
        <is>
          <t>A-</t>
        </is>
      </c>
      <c r="N40" s="47">
        <f>TRUNC(AVERAGE(D40:J40),2)</f>
        <v/>
      </c>
      <c r="O40" s="117" t="inlineStr">
        <is>
          <t>S</t>
        </is>
      </c>
      <c r="P40" s="227" t="inlineStr">
        <is>
          <t>PROMOVIDO</t>
        </is>
      </c>
    </row>
    <row r="41" ht="15" customHeight="1" s="254">
      <c r="A41" s="75" t="n">
        <v>35</v>
      </c>
      <c r="B41" s="243" t="inlineStr">
        <is>
          <t>TAMAY JARA VALERIA ELIZABETH</t>
        </is>
      </c>
      <c r="C41" s="69" t="n"/>
      <c r="D41" s="135" t="n">
        <v>9.66</v>
      </c>
      <c r="E41" s="160" t="n">
        <v>9.43</v>
      </c>
      <c r="F41" s="126" t="n">
        <v>8.93</v>
      </c>
      <c r="G41" s="54" t="n">
        <v>9.66</v>
      </c>
      <c r="H41" s="166" t="n">
        <v>9.140000000000001</v>
      </c>
      <c r="I41" s="216" t="n">
        <v>9.800000000000001</v>
      </c>
      <c r="J41" s="43" t="n">
        <v>9.890000000000001</v>
      </c>
      <c r="K41" s="244" t="inlineStr">
        <is>
          <t>A-</t>
        </is>
      </c>
      <c r="L41" s="245" t="inlineStr">
        <is>
          <t>A-</t>
        </is>
      </c>
      <c r="M41" s="228" t="inlineStr">
        <is>
          <t>A-</t>
        </is>
      </c>
      <c r="N41" s="47">
        <f>TRUNC(AVERAGE(D41:J41),2)</f>
        <v/>
      </c>
      <c r="O41" s="117" t="inlineStr">
        <is>
          <t>S</t>
        </is>
      </c>
      <c r="P41" s="227" t="inlineStr">
        <is>
          <t>PROMOVIDO</t>
        </is>
      </c>
    </row>
    <row r="42" ht="14.25" customHeight="1" s="254">
      <c r="A42" s="75" t="n">
        <v>36</v>
      </c>
      <c r="B42" s="243" t="inlineStr">
        <is>
          <t>UZHCA PUNIN MATIAS EDUARDO</t>
        </is>
      </c>
      <c r="C42" s="248" t="n"/>
      <c r="D42" s="135" t="n">
        <v>8.789999999999999</v>
      </c>
      <c r="E42" s="160" t="n">
        <v>7.93</v>
      </c>
      <c r="F42" s="126" t="n">
        <v>8.08</v>
      </c>
      <c r="G42" s="54" t="n">
        <v>8.24</v>
      </c>
      <c r="H42" s="166" t="n">
        <v>7.35</v>
      </c>
      <c r="I42" s="216" t="n">
        <v>8.84</v>
      </c>
      <c r="J42" s="43" t="n">
        <v>9.210000000000001</v>
      </c>
      <c r="K42" s="244" t="inlineStr">
        <is>
          <t>A-</t>
        </is>
      </c>
      <c r="L42" s="245" t="inlineStr">
        <is>
          <t>A-</t>
        </is>
      </c>
      <c r="M42" s="228" t="inlineStr">
        <is>
          <t>A+</t>
        </is>
      </c>
      <c r="N42" s="47">
        <f>TRUNC(AVERAGE(D42:J42),2)</f>
        <v/>
      </c>
      <c r="O42" s="117" t="inlineStr">
        <is>
          <t>S</t>
        </is>
      </c>
      <c r="P42" s="227" t="inlineStr">
        <is>
          <t>PROMOVIDO</t>
        </is>
      </c>
    </row>
    <row r="43" ht="14.25" customHeight="1" s="254">
      <c r="A43" s="75" t="n">
        <v>37</v>
      </c>
      <c r="B43" s="243" t="inlineStr">
        <is>
          <t>UZHCA SOLANO YALITZA MAITTE</t>
        </is>
      </c>
      <c r="C43" s="248" t="n"/>
      <c r="D43" s="135" t="n">
        <v>9.67</v>
      </c>
      <c r="E43" s="160" t="n">
        <v>9.77</v>
      </c>
      <c r="F43" s="126" t="n">
        <v>9.68</v>
      </c>
      <c r="G43" s="54" t="n">
        <v>10</v>
      </c>
      <c r="H43" s="166" t="n">
        <v>9.890000000000001</v>
      </c>
      <c r="I43" s="216" t="n">
        <v>10</v>
      </c>
      <c r="J43" s="43" t="n">
        <v>9.91</v>
      </c>
      <c r="K43" s="244" t="inlineStr">
        <is>
          <t>A+</t>
        </is>
      </c>
      <c r="L43" s="245" t="inlineStr">
        <is>
          <t>A+</t>
        </is>
      </c>
      <c r="M43" s="228" t="inlineStr">
        <is>
          <t>A+</t>
        </is>
      </c>
      <c r="N43" s="47">
        <f>TRUNC(AVERAGE(D43:J43),2)</f>
        <v/>
      </c>
      <c r="O43" s="117" t="inlineStr">
        <is>
          <t>S</t>
        </is>
      </c>
      <c r="P43" s="227" t="inlineStr">
        <is>
          <t>PROMOVIDO</t>
        </is>
      </c>
    </row>
    <row r="44" ht="14.25" customHeight="1" s="254">
      <c r="A44" s="75" t="n">
        <v>38</v>
      </c>
      <c r="B44" s="243" t="inlineStr">
        <is>
          <t>VEGA JADAN JOEL FRANCISCO</t>
        </is>
      </c>
      <c r="C44" s="256" t="n"/>
      <c r="D44" s="135" t="n">
        <v>8.890000000000001</v>
      </c>
      <c r="E44" s="160" t="n">
        <v>8.66</v>
      </c>
      <c r="F44" s="126" t="n">
        <v>7.57</v>
      </c>
      <c r="G44" s="54" t="n">
        <v>8.359999999999999</v>
      </c>
      <c r="H44" s="166" t="n">
        <v>8.18</v>
      </c>
      <c r="I44" s="216" t="n">
        <v>8.99</v>
      </c>
      <c r="J44" s="43" t="n">
        <v>9.630000000000001</v>
      </c>
      <c r="K44" s="244" t="inlineStr">
        <is>
          <t>A-</t>
        </is>
      </c>
      <c r="L44" s="245" t="inlineStr">
        <is>
          <t>A-</t>
        </is>
      </c>
      <c r="M44" s="228" t="inlineStr">
        <is>
          <t>A+</t>
        </is>
      </c>
      <c r="N44" s="47">
        <f>TRUNC(AVERAGE(D44:J44),2)</f>
        <v/>
      </c>
      <c r="O44" s="117" t="inlineStr">
        <is>
          <t>S</t>
        </is>
      </c>
      <c r="P44" s="227" t="inlineStr">
        <is>
          <t>PROMOVIDO</t>
        </is>
      </c>
    </row>
    <row r="45" ht="14.25" customHeight="1" s="254">
      <c r="A45" s="217" t="n">
        <v>39</v>
      </c>
      <c r="B45" s="243" t="inlineStr">
        <is>
          <t>YUQUILEMA RIPALDA SALOME HADMARIZ</t>
        </is>
      </c>
      <c r="D45" s="135" t="n">
        <v>8.779999999999999</v>
      </c>
      <c r="E45" s="160" t="n">
        <v>7.64</v>
      </c>
      <c r="F45" s="126" t="n">
        <v>7.99</v>
      </c>
      <c r="G45" s="54" t="n">
        <v>9.4</v>
      </c>
      <c r="H45" s="166" t="n">
        <v>7.76</v>
      </c>
      <c r="I45" s="216" t="n">
        <v>9.59</v>
      </c>
      <c r="J45" s="43" t="n">
        <v>9.48</v>
      </c>
      <c r="K45" s="244" t="inlineStr">
        <is>
          <t>A+</t>
        </is>
      </c>
      <c r="L45" s="245" t="inlineStr">
        <is>
          <t>A-</t>
        </is>
      </c>
      <c r="M45" s="228" t="inlineStr">
        <is>
          <t>A+</t>
        </is>
      </c>
      <c r="N45" s="47">
        <f>TRUNC(AVERAGE(D45:J45),2)</f>
        <v/>
      </c>
      <c r="O45" s="117" t="inlineStr">
        <is>
          <t>S</t>
        </is>
      </c>
      <c r="P45" s="227" t="inlineStr">
        <is>
          <t>PROMOVIDO</t>
        </is>
      </c>
    </row>
    <row r="46" ht="14.25" customHeight="1" s="254">
      <c r="B46" s="11" t="inlineStr">
        <is>
          <t>Promedio</t>
        </is>
      </c>
      <c r="D46" s="135">
        <f>AVERAGE(D8:D45)</f>
        <v/>
      </c>
      <c r="E46" s="80">
        <f>AVERAGE(E8:E45)</f>
        <v/>
      </c>
      <c r="F46" s="81">
        <f>AVERAGE(F8:F45)</f>
        <v/>
      </c>
      <c r="G46" s="82">
        <f>AVERAGE(G8:G45)</f>
        <v/>
      </c>
      <c r="H46" s="83">
        <f>AVERAGE(H8:H45)</f>
        <v/>
      </c>
      <c r="I46" s="180">
        <f>AVERAGE(I8:I45)</f>
        <v/>
      </c>
      <c r="J46" s="82">
        <f>AVERAGE(J8:J45)</f>
        <v/>
      </c>
      <c r="K46" s="249" t="n"/>
      <c r="L46" s="250" t="n"/>
      <c r="M46" s="251" t="n"/>
      <c r="N46" s="47">
        <f>AVERAGE(N8:N45)</f>
        <v/>
      </c>
    </row>
    <row r="47" ht="14.25" customHeight="1" s="254"/>
    <row r="48" ht="14.25" customHeight="1" s="254"/>
    <row r="49" ht="14.25" customHeight="1" s="254">
      <c r="B49" s="264" t="inlineStr">
        <is>
          <t xml:space="preserve">Ing. Sonia Chicaiza Mgtr. </t>
        </is>
      </c>
      <c r="D49" s="283" t="inlineStr">
        <is>
          <t xml:space="preserve">Lcda. Isabel Carpio Mgtr. </t>
        </is>
      </c>
      <c r="E49" s="266" t="n"/>
      <c r="F49" s="266" t="n"/>
      <c r="G49" s="267" t="n"/>
      <c r="H49" s="223" t="n"/>
      <c r="I49" s="283" t="inlineStr">
        <is>
          <t xml:space="preserve">Lcda. Maribel Peralta Mgtr. </t>
        </is>
      </c>
      <c r="J49" s="266" t="n"/>
      <c r="K49" s="266" t="n"/>
      <c r="L49" s="266" t="n"/>
      <c r="M49" s="267" t="n"/>
    </row>
    <row r="50" ht="14.25" customHeight="1" s="254">
      <c r="B50" s="264" t="inlineStr">
        <is>
          <t>Rectora (e)</t>
        </is>
      </c>
      <c r="D50" s="283" t="inlineStr">
        <is>
          <t>Vicerrectora (e)Matutina</t>
        </is>
      </c>
      <c r="E50" s="266" t="n"/>
      <c r="F50" s="266" t="n"/>
      <c r="G50" s="267" t="n"/>
      <c r="H50" s="223" t="n"/>
      <c r="I50" s="283" t="inlineStr">
        <is>
          <t>Docente Tutora</t>
        </is>
      </c>
      <c r="J50" s="266" t="n"/>
      <c r="K50" s="266" t="n"/>
      <c r="L50" s="267" t="n"/>
    </row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5.75" customHeight="1" s="254"/>
    <row r="243" ht="15.75" customHeight="1" s="254"/>
    <row r="244" ht="15.7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</sheetData>
  <mergeCells count="25">
    <mergeCell ref="B2:P2"/>
    <mergeCell ref="B25:C25"/>
    <mergeCell ref="I49:M49"/>
    <mergeCell ref="B18:C18"/>
    <mergeCell ref="B39:C39"/>
    <mergeCell ref="I50:L50"/>
    <mergeCell ref="B21:C21"/>
    <mergeCell ref="B11:C11"/>
    <mergeCell ref="K3:N3"/>
    <mergeCell ref="D50:G50"/>
    <mergeCell ref="I3:J3"/>
    <mergeCell ref="B38:C38"/>
    <mergeCell ref="B44:C44"/>
    <mergeCell ref="A1:P1"/>
    <mergeCell ref="B37:C37"/>
    <mergeCell ref="B5:P5"/>
    <mergeCell ref="C3:E3"/>
    <mergeCell ref="D49:G49"/>
    <mergeCell ref="B40:C40"/>
    <mergeCell ref="B49:C49"/>
    <mergeCell ref="B30:C30"/>
    <mergeCell ref="I4:J4"/>
    <mergeCell ref="B20:C20"/>
    <mergeCell ref="B36:C36"/>
    <mergeCell ref="B50:C50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54" min="1" max="2"/>
    <col width="80.70999999999999" customWidth="1" style="254" min="3" max="3"/>
    <col width="10.71" customWidth="1" style="254" min="4" max="6"/>
  </cols>
  <sheetData>
    <row r="1" ht="14.25" customHeight="1" s="254"/>
    <row r="2" ht="14.25" customHeight="1" s="254">
      <c r="B2" s="12" t="inlineStr">
        <is>
          <t>S</t>
        </is>
      </c>
      <c r="C2" s="12" t="inlineStr">
        <is>
          <t>Transforma los desacuerdos en oportunidades de crecimiento y cooperación.</t>
        </is>
      </c>
    </row>
    <row r="3" ht="14.25" customHeight="1" s="254">
      <c r="B3" s="12" t="inlineStr">
        <is>
          <t>F</t>
        </is>
      </c>
      <c r="C3" s="12" t="inlineStr">
        <is>
          <t>Se involucra y participa en iniciativas que favorecen la convivencia pacífica.</t>
        </is>
      </c>
    </row>
    <row r="4" ht="14.25" customHeight="1" s="254">
      <c r="B4" s="12" t="inlineStr">
        <is>
          <t>O</t>
        </is>
      </c>
      <c r="C4" s="12" t="inlineStr">
        <is>
          <t>Demuestra habilidades para llegar a acuerdos y asumir compromisos.</t>
        </is>
      </c>
    </row>
    <row r="5" ht="14.25" customHeight="1" s="254">
      <c r="B5" s="12" t="inlineStr">
        <is>
          <t>N</t>
        </is>
      </c>
      <c r="C5" s="12" t="inlineStr">
        <is>
          <t>Muestra limitaciones para llegar a acuerdos y asumir compromisos.</t>
        </is>
      </c>
    </row>
    <row r="6" ht="14.25" customHeight="1" s="254"/>
    <row r="7" ht="14.25" customHeight="1" s="254"/>
    <row r="8" ht="14.25" customHeight="1" s="254"/>
    <row r="9" ht="14.25" customHeight="1" s="254"/>
    <row r="10" ht="14.25" customHeight="1" s="254"/>
    <row r="11" ht="14.25" customHeight="1" s="254"/>
    <row r="12" ht="14.25" customHeight="1" s="254"/>
    <row r="13" ht="14.25" customHeight="1" s="254"/>
    <row r="14" ht="14.25" customHeight="1" s="254"/>
    <row r="15" ht="14.25" customHeight="1" s="254"/>
    <row r="16" ht="14.25" customHeight="1" s="254"/>
    <row r="17" ht="14.25" customHeight="1" s="254"/>
    <row r="18" ht="14.25" customHeight="1" s="254"/>
    <row r="19" ht="14.25" customHeight="1" s="254"/>
    <row r="20" ht="14.25" customHeight="1" s="254"/>
    <row r="21" ht="14.25" customHeight="1" s="254"/>
    <row r="22" ht="14.25" customHeight="1" s="254"/>
    <row r="23" ht="14.25" customHeight="1" s="254"/>
    <row r="24" ht="14.25" customHeight="1" s="254"/>
    <row r="25" ht="14.25" customHeight="1" s="254"/>
    <row r="26" ht="14.25" customHeight="1" s="254"/>
    <row r="27" ht="14.25" customHeight="1" s="254"/>
    <row r="28" ht="14.25" customHeight="1" s="254"/>
    <row r="29" ht="14.25" customHeight="1" s="254"/>
    <row r="30" ht="14.25" customHeight="1" s="254"/>
    <row r="31" ht="14.25" customHeight="1" s="254"/>
    <row r="32" ht="14.25" customHeight="1" s="254"/>
    <row r="33" ht="14.25" customHeight="1" s="254"/>
    <row r="34" ht="14.25" customHeight="1" s="254"/>
    <row r="35" ht="14.25" customHeight="1" s="254"/>
    <row r="36" ht="14.25" customHeight="1" s="254"/>
    <row r="37" ht="14.25" customHeight="1" s="254"/>
    <row r="38" ht="14.25" customHeight="1" s="254"/>
    <row r="39" ht="14.25" customHeight="1" s="254"/>
    <row r="40" ht="14.25" customHeight="1" s="254"/>
    <row r="41" ht="14.25" customHeight="1" s="254"/>
    <row r="42" ht="14.25" customHeight="1" s="254"/>
    <row r="43" ht="14.25" customHeight="1" s="254"/>
    <row r="44" ht="14.25" customHeight="1" s="254"/>
    <row r="45" ht="14.25" customHeight="1" s="254"/>
    <row r="46" ht="14.25" customHeight="1" s="254"/>
    <row r="47" ht="14.25" customHeight="1" s="254"/>
    <row r="48" ht="14.25" customHeight="1" s="254"/>
    <row r="49" ht="14.25" customHeight="1" s="254"/>
    <row r="50" ht="14.25" customHeight="1" s="254"/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5.75" customHeight="1" s="254"/>
    <row r="222" ht="15.75" customHeight="1" s="254"/>
    <row r="223" ht="15.75" customHeight="1" s="254"/>
    <row r="224" ht="15.75" customHeight="1" s="254"/>
    <row r="225" ht="15.75" customHeight="1" s="254"/>
    <row r="226" ht="15.75" customHeight="1" s="254"/>
    <row r="227" ht="15.75" customHeight="1" s="254"/>
    <row r="228" ht="15.75" customHeight="1" s="254"/>
    <row r="229" ht="15.75" customHeight="1" s="254"/>
    <row r="230" ht="15.75" customHeight="1" s="254"/>
    <row r="231" ht="15.75" customHeight="1" s="254"/>
    <row r="232" ht="15.75" customHeight="1" s="254"/>
    <row r="233" ht="15.75" customHeight="1" s="254"/>
    <row r="234" ht="15.75" customHeight="1" s="254"/>
    <row r="235" ht="15.75" customHeight="1" s="254"/>
    <row r="236" ht="15.75" customHeight="1" s="254"/>
    <row r="237" ht="15.75" customHeight="1" s="254"/>
    <row r="238" ht="15.75" customHeight="1" s="254"/>
    <row r="239" ht="15.75" customHeight="1" s="254"/>
    <row r="240" ht="15.75" customHeight="1" s="254"/>
    <row r="241" ht="15.75" customHeight="1" s="254"/>
    <row r="242" ht="15.75" customHeight="1" s="254"/>
    <row r="243" ht="15.75" customHeight="1" s="254"/>
    <row r="244" ht="15.7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pageMargins left="0.7" right="0.7" top="0.75" bottom="0.75" header="0" footer="0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4:E13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54" min="1" max="4"/>
    <col width="184.29" customWidth="1" style="254" min="5" max="5"/>
    <col width="10.71" customWidth="1" style="254" min="6" max="6"/>
  </cols>
  <sheetData>
    <row r="1" ht="14.25" customHeight="1" s="254"/>
    <row r="2" ht="14.25" customHeight="1" s="254"/>
    <row r="3" ht="14.25" customHeight="1" s="254"/>
    <row r="4" ht="14.25" customHeight="1" s="254">
      <c r="D4" s="213" t="inlineStr">
        <is>
          <t>A+</t>
        </is>
      </c>
      <c r="E4" s="253" t="inlineStr">
        <is>
          <t>Demuestra dominio y comprensión de las habilidades, conocimientos y procedimientos desarrollados con capacidad para aplicarlos en situaciones prácticas y de la cotidianidad, simples y complejas, de forma independiente y colectiva.</t>
        </is>
      </c>
    </row>
    <row r="5" ht="17.25" customHeight="1" s="254">
      <c r="D5" s="213" t="inlineStr">
        <is>
          <t>A-</t>
        </is>
      </c>
      <c r="E5" s="253" t="inlineStr">
        <is>
          <t>Demuestra comprensión de habilidades y conocimientos desarrollados para aplicarlos en situaciones de la cotidianidad, de forma independiente y colectiva.</t>
        </is>
      </c>
    </row>
    <row r="6" ht="14.25" customHeight="1" s="254">
      <c r="D6" s="213" t="inlineStr">
        <is>
          <t>B+</t>
        </is>
      </c>
      <c r="E6" s="12" t="inlineStr">
        <is>
          <t>Aplica sus habilidades en situaciones comunes y predecibles, simples y no complejas de forma independiente. Evidencia habilidades para trabajar en equipo y de manera colaborativa, siguiendo instrucciones.</t>
        </is>
      </c>
    </row>
    <row r="7" ht="30.75" customHeight="1" s="254">
      <c r="D7" s="213" t="inlineStr">
        <is>
          <t>B-</t>
        </is>
      </c>
      <c r="E7" s="253" t="inlineStr">
        <is>
      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      </is>
      </c>
    </row>
    <row r="8" ht="14.25" customHeight="1" s="254">
      <c r="D8" s="12" t="inlineStr">
        <is>
          <t>C+</t>
        </is>
      </c>
      <c r="E8" s="253" t="inlineStr">
        <is>
          <t>Demuestra habilidades, conocimientos y procedimientos de manera integral, predominando el trabajo individual al trabajo en equipo. Requiere apoyo del equipo docente para el aprendizaje mediado.</t>
        </is>
      </c>
    </row>
    <row r="9" ht="14.25" customHeight="1" s="254">
      <c r="D9" s="12" t="inlineStr">
        <is>
          <t>C-</t>
        </is>
      </c>
      <c r="E9" s="253" t="inlineStr">
        <is>
          <t>Resuelve tareas o actividades simples sobre la base de sus habilidades, conocimientos y procedimientos adquiridos. Evidencia habilidades básicas de trabajo en equipo. Requiere apoyo del equipo docente para el aprendizaje mediado.</t>
        </is>
      </c>
    </row>
    <row r="10" ht="14.25" customHeight="1" s="254">
      <c r="D10" s="12" t="inlineStr">
        <is>
          <t>D+</t>
        </is>
      </c>
      <c r="E10" s="253" t="inlineStr">
        <is>
          <t>Resuelve tareas o actividades simples sobre la base de sus habilidades, conocimientos y procedimientos adquiridos guiados con el docente. Evidencia limitaciones para trabajar en equipo.</t>
        </is>
      </c>
    </row>
    <row r="11" ht="14.25" customHeight="1" s="254">
      <c r="D11" s="12" t="inlineStr">
        <is>
          <t>D-</t>
        </is>
      </c>
      <c r="E11" s="253" t="inlineStr">
        <is>
          <t>Realiza tareas simples, demuestra dificultad para seguir instrucciones y completarlas, requiriendo la orientación frecuente del equipo docente.</t>
        </is>
      </c>
    </row>
    <row r="12" ht="14.25" customHeight="1" s="254">
      <c r="D12" s="12" t="inlineStr">
        <is>
          <t>E+</t>
        </is>
      </c>
      <c r="E12" s="253" t="inlineStr">
        <is>
          <t>Demuestra dificultades para desarrollar tareas simples y complejas a partir de las habilidades, conocimientos y procedimientos. Requiere intervención permanente del equipo docente para la culminación de sus tareas.</t>
        </is>
      </c>
    </row>
    <row r="13" ht="14.25" customHeight="1" s="254">
      <c r="D13" s="12" t="inlineStr">
        <is>
          <t>E-</t>
        </is>
      </c>
      <c r="E13" s="253" t="inlineStr">
        <is>
          <t>Expone un desarrollo inicial de conocimientos, habilidades y procedimientos para aplicarlos. Requiere intervención inmediata y apoyo continuo del equipo docente para completar las tareas o actividades asignadas.</t>
        </is>
      </c>
    </row>
    <row r="14" ht="14.25" customHeight="1" s="254"/>
    <row r="15" ht="14.25" customHeight="1" s="254"/>
    <row r="16" ht="14.25" customHeight="1" s="254"/>
    <row r="17" ht="14.25" customHeight="1" s="254"/>
    <row r="18" ht="14.25" customHeight="1" s="254"/>
    <row r="19" ht="14.25" customHeight="1" s="254"/>
    <row r="20" ht="14.25" customHeight="1" s="254"/>
    <row r="21" ht="14.25" customHeight="1" s="254"/>
    <row r="22" ht="14.25" customHeight="1" s="254"/>
    <row r="23" ht="14.25" customHeight="1" s="254"/>
    <row r="24" ht="14.25" customHeight="1" s="254"/>
    <row r="25" ht="14.25" customHeight="1" s="254"/>
    <row r="26" ht="14.25" customHeight="1" s="254"/>
    <row r="27" ht="14.25" customHeight="1" s="254"/>
    <row r="28" ht="14.25" customHeight="1" s="254"/>
    <row r="29" ht="14.25" customHeight="1" s="254"/>
    <row r="30" ht="14.25" customHeight="1" s="254"/>
    <row r="31" ht="14.25" customHeight="1" s="254"/>
    <row r="32" ht="14.25" customHeight="1" s="254"/>
    <row r="33" ht="14.25" customHeight="1" s="254"/>
    <row r="34" ht="14.25" customHeight="1" s="254"/>
    <row r="35" ht="14.25" customHeight="1" s="254"/>
    <row r="36" ht="14.25" customHeight="1" s="254"/>
    <row r="37" ht="14.25" customHeight="1" s="254"/>
    <row r="38" ht="14.25" customHeight="1" s="254"/>
    <row r="39" ht="14.25" customHeight="1" s="254"/>
    <row r="40" ht="14.25" customHeight="1" s="254"/>
    <row r="41" ht="14.25" customHeight="1" s="254"/>
    <row r="42" ht="14.25" customHeight="1" s="254"/>
    <row r="43" ht="14.25" customHeight="1" s="254"/>
    <row r="44" ht="14.25" customHeight="1" s="254"/>
    <row r="45" ht="14.25" customHeight="1" s="254"/>
    <row r="46" ht="14.25" customHeight="1" s="254"/>
    <row r="47" ht="14.25" customHeight="1" s="254"/>
    <row r="48" ht="14.25" customHeight="1" s="254"/>
    <row r="49" ht="14.25" customHeight="1" s="254"/>
    <row r="50" ht="14.25" customHeight="1" s="254"/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5.75" customHeight="1" s="254"/>
    <row r="222" ht="15.75" customHeight="1" s="254"/>
    <row r="223" ht="15.75" customHeight="1" s="254"/>
    <row r="224" ht="15.75" customHeight="1" s="254"/>
    <row r="225" ht="15.75" customHeight="1" s="254"/>
    <row r="226" ht="15.75" customHeight="1" s="254"/>
    <row r="227" ht="15.75" customHeight="1" s="254"/>
    <row r="228" ht="15.75" customHeight="1" s="254"/>
    <row r="229" ht="15.75" customHeight="1" s="254"/>
    <row r="230" ht="15.75" customHeight="1" s="254"/>
    <row r="231" ht="15.75" customHeight="1" s="254"/>
    <row r="232" ht="15.75" customHeight="1" s="254"/>
    <row r="233" ht="15.75" customHeight="1" s="254"/>
    <row r="234" ht="15.75" customHeight="1" s="254"/>
    <row r="235" ht="15.75" customHeight="1" s="254"/>
    <row r="236" ht="15.75" customHeight="1" s="254"/>
    <row r="237" ht="15.75" customHeight="1" s="254"/>
    <row r="238" ht="15.75" customHeight="1" s="254"/>
    <row r="239" ht="15.75" customHeight="1" s="254"/>
    <row r="240" ht="15.75" customHeight="1" s="254"/>
    <row r="241" ht="15.75" customHeight="1" s="254"/>
    <row r="242" ht="15.75" customHeight="1" s="254"/>
    <row r="243" ht="15.75" customHeight="1" s="254"/>
    <row r="244" ht="15.7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2026-09-09T17:58:44Z</dcterms:created>
  <dcterms:modified xsi:type="dcterms:W3CDTF">2026-09-09T17:58:48Z</dcterms:modified>
</cp:coreProperties>
</file>