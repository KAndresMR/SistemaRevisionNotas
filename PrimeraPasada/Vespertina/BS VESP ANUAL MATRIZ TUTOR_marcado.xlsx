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 DISCREPANCIAS" sheetId="1" state="visible" r:id="rId1"/>
    <sheet name="segundo A" sheetId="2" state="visible" r:id="rId2"/>
    <sheet name="segundo B" sheetId="3" state="visible" r:id="rId3"/>
    <sheet name="tercero A" sheetId="4" state="visible" r:id="rId4"/>
    <sheet name="tercero B" sheetId="5" state="visible" r:id="rId5"/>
    <sheet name="cuarto A" sheetId="6" state="visible" r:id="rId6"/>
    <sheet name="cuarto B" sheetId="7" state="visible" r:id="rId7"/>
    <sheet name="quinto A" sheetId="8" state="visible" r:id="rId8"/>
    <sheet name="quinto B" sheetId="9" state="visible" r:id="rId9"/>
    <sheet name="sexto A" sheetId="10" state="visible" r:id="rId10"/>
    <sheet name="sexto B" sheetId="11" state="visible" r:id="rId11"/>
    <sheet name="séptimo A" sheetId="12" state="visible" r:id="rId12"/>
    <sheet name="séptimo B" sheetId="13" state="visible" r:id="rId13"/>
    <sheet name="octavo A" sheetId="14" state="visible" r:id="rId14"/>
    <sheet name="octavo B" sheetId="15" state="visible" r:id="rId15"/>
    <sheet name="noveno A" sheetId="16" state="visible" r:id="rId16"/>
    <sheet name="noveno B" sheetId="17" state="visible" r:id="rId17"/>
    <sheet name="décimo A" sheetId="18" state="visible" r:id="rId18"/>
    <sheet name="décimo B" sheetId="19" state="visible" r:id="rId19"/>
    <sheet name="Hoja 2" sheetId="20" state="visible" r:id="rId20"/>
    <sheet name="ESCALA EVALUACION" sheetId="21" state="hidden" r:id="rId21"/>
    <sheet name="Hoja1" sheetId="22" state="hidden" r:id="rId22"/>
  </sheets>
  <externalReferences>
    <externalReference r:id="rId23"/>
  </externalReferences>
  <definedNames>
    <definedName name="DECIMO_A_MAT">[1]LISTADOS!$M$3:$N$42</definedName>
    <definedName name="DECIMO_A_VESP">[1]LISTADOS!$M$56:$N$90</definedName>
    <definedName name="DECIMO_B_MAT">[1]LISTADOS!$P$3:$Q$42</definedName>
    <definedName name="DECIMO_B_VESP">[1]LISTADOS!$P$56:$Q$90</definedName>
    <definedName name="NOVENO_A_MAT">[1]LISTADOS!$G$3:$H$42</definedName>
    <definedName name="NOVENO_A_VESP">[1]LISTADOS!$G$56:$H$94</definedName>
    <definedName name="NOVENO_B_MAT">[1]LISTADOS!$J$3:$K$42</definedName>
    <definedName name="NOVENO_B_VESP">[1]LISTADOS!$J$56:$K$95</definedName>
    <definedName name="OCTAVO_A_MAT">[1]LISTADOS!$A$3:$B$43</definedName>
    <definedName name="OCTAVO_A_VESP">[1]LISTADOS!$A$56:$B$97</definedName>
    <definedName name="OCTAVO_B_MAT">[1]LISTADOS!$D$3:$E$42</definedName>
    <definedName name="OCTAVO_B_VESP">[1]LISTADOS!$D$56:$E$96</definedName>
    <definedName name="QUINTO_A_MAT">[1]LISTADOS!$A$101:$B$145</definedName>
    <definedName name="QUINTO_B_MAT">[1]LISTADOS!$D$101:$E$145</definedName>
    <definedName name="SÉPTIMO_A_MAT">[1]LISTADOS!$M$101:$N$145</definedName>
    <definedName name="SEPTIMO_B_MAT">[1]LISTADOS!$P$101:$Q$145</definedName>
    <definedName name="SEXTO_A_MAT">[1]LISTADOS!$G$101:$H$145</definedName>
    <definedName name="SEXTO_B_MAT">[1]LISTADOS!$J$101:$K$145</definedName>
    <definedName name="QUINTO_B_MATU">#REF!</definedName>
    <definedName name="SEXTO_B_VES">#REF!</definedName>
    <definedName name="SEXTO_A_VES">#REF!</definedName>
    <definedName name="SEPTIMO_B_VES">#REF!</definedName>
    <definedName name="INFORME_2">#REF!</definedName>
    <definedName name="DECIMO_A_VES">#REF!</definedName>
    <definedName name="MATRIZ_COMPORTAMENTAL">'ESCALA EVALUACION'!$B$2:$C$11</definedName>
    <definedName name="DESCRIPCION_OV_AL">Hoja1!$D$4:$E$13</definedName>
    <definedName name="ESCALA_CUALITATIVA_SUPERIOR">#REF!</definedName>
    <definedName name="DÉCIMO_B_MATU">#REF!</definedName>
    <definedName name="SEPTIMO_A_VES">#REF!</definedName>
    <definedName name="OCTAVO_B_MATU">#REF!</definedName>
    <definedName name="INFORME_DE_PRENDIZAJES_DEL_SEGUNDO_TRIMESTRE">#REF!</definedName>
    <definedName name="OCTAVO_A_VES">#REF!</definedName>
    <definedName name="DÉCIMO_A_MATU">#REF!</definedName>
    <definedName name="CUALITATIVA_ECA">'noveno A'!$AD$6:$AE$13</definedName>
    <definedName name="NOVENO_A_VES">#REF!</definedName>
    <definedName name="SEXTO_A_MATU">#REF!</definedName>
    <definedName name="OCTAVO_A_MATU">#REF!</definedName>
    <definedName name="MATRIZ_TUTOR_3">#REF!</definedName>
    <definedName name="CAI">#REF!</definedName>
    <definedName name="QUINTO_A_MATU">#REF!</definedName>
    <definedName name="MATRIZ_TUTOR_2">#REF!</definedName>
    <definedName name="QUINTO_A_VES">#REF!</definedName>
    <definedName name="MATRIZ_TUTOR_1">'décimo B'!$A$7:$O$39</definedName>
    <definedName name="SEXTO_B_MATU">#REF!</definedName>
    <definedName name="SEPTIMO_B_MATU">#REF!</definedName>
    <definedName name="QUINTO_B_VES">#REF!</definedName>
    <definedName name="OCTAVO_B_VES">#REF!</definedName>
    <definedName name="NOVENO_B_MATU">#REF!</definedName>
    <definedName name="NOVENO_A_MATU">#REF!</definedName>
    <definedName name="NOVENO_B_VES">#REF!</definedName>
    <definedName name="SEPTIMO_A_MATU">#REF!</definedName>
    <definedName name="DÉCIMO_B_VES">#REF!</definedName>
    <definedName name="_xlnm._FilterDatabase" localSheetId="0" hidden="1">'RESUMEN DISCREPANCIAS'!$A$1:$G$1099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5">
    <font>
      <name val="Calibri"/>
      <color rgb="FF000000"/>
      <sz val="11"/>
      <scheme val="minor"/>
    </font>
    <font>
      <name val="Calibri"/>
      <b val="1"/>
      <color rgb="FF000000"/>
      <sz val="14"/>
    </font>
    <font>
      <name val="Calibri"/>
      <b val="1"/>
      <color rgb="FF000000"/>
      <sz val="12"/>
    </font>
    <font>
      <name val="Calibri"/>
      <b val="1"/>
      <color rgb="FF000000"/>
      <sz val="10"/>
    </font>
    <font>
      <name val="Calibri"/>
      <color rgb="FF000000"/>
      <sz val="12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8"/>
    </font>
    <font>
      <name val="Arial"/>
      <color rgb="FF000000"/>
      <sz val="7"/>
    </font>
    <font>
      <name val="Cambria"/>
      <color rgb="FF000000"/>
      <sz val="7"/>
    </font>
    <font>
      <name val="Calibri"/>
      <b val="1"/>
      <color rgb="FF000000"/>
      <sz val="8"/>
    </font>
    <font>
      <name val="Cambria"/>
      <color rgb="FF000000"/>
      <sz val="9"/>
    </font>
    <font>
      <name val="Roboto"/>
      <color rgb="FF000000"/>
      <sz val="9"/>
    </font>
    <font>
      <name val="Calibri"/>
      <color theme="1"/>
      <sz val="10"/>
    </font>
    <font>
      <name val="Calibri"/>
      <b val="1"/>
      <color theme="1"/>
      <sz val="10"/>
    </font>
    <font>
      <name val="Cambria"/>
      <color rgb="FF000000"/>
      <sz val="10"/>
    </font>
    <font>
      <name val="Cambria"/>
      <color rgb="FF000000"/>
      <sz val="11"/>
    </font>
    <font>
      <name val="Calibri"/>
      <color rgb="FF000000"/>
      <sz val="10"/>
    </font>
    <font>
      <name val="Arial"/>
      <color rgb="FF000000"/>
      <sz val="10"/>
    </font>
    <font>
      <name val="Calibri"/>
      <color theme="1"/>
      <scheme val="minor"/>
    </font>
    <font>
      <name val="Calibri"/>
      <color rgb="FF000066"/>
      <sz val="10"/>
    </font>
    <font>
      <name val="Arial"/>
      <color theme="1"/>
    </font>
    <font/>
    <font>
      <name val="Arial"/>
      <color theme="1"/>
      <sz val="11"/>
    </font>
    <font>
      <name val="Cambria"/>
      <b val="1"/>
      <color rgb="FF0000CC"/>
      <sz val="9"/>
    </font>
    <font>
      <name val="Cambria"/>
      <color theme="1"/>
      <sz val="11"/>
    </font>
    <font>
      <name val="Cambria"/>
      <b val="1"/>
      <color rgb="FF000000"/>
      <sz val="9"/>
    </font>
    <font>
      <name val="Calibri"/>
      <color rgb="FF000066"/>
      <sz val="9"/>
    </font>
    <font>
      <name val="&quot;Aptos Narrow&quot;"/>
      <color rgb="FF000000"/>
      <sz val="11"/>
    </font>
    <font>
      <name val="SansSerif"/>
      <color rgb="FF000000"/>
      <sz val="10"/>
    </font>
    <font>
      <name val="Calibri"/>
      <color rgb="FF000000"/>
      <sz val="9"/>
    </font>
    <font>
      <name val="&quot;Aptos Narrow&quot;"/>
      <color rgb="FF000000"/>
      <sz val="9"/>
    </font>
    <font>
      <name val="Arial"/>
      <color rgb="FF000000"/>
      <sz val="9"/>
    </font>
    <font>
      <name val="Cambria"/>
      <color theme="1"/>
      <sz val="10"/>
    </font>
    <font>
      <name val="Cambria"/>
      <color rgb="FF000066"/>
      <sz val="10"/>
    </font>
    <font>
      <name val="Arial"/>
      <color rgb="FF000000"/>
      <sz val="8"/>
    </font>
    <font>
      <name val="Cambria"/>
      <color rgb="FFFF0000"/>
      <sz val="10"/>
    </font>
    <font>
      <name val="SansSerif"/>
      <color rgb="FF000000"/>
      <sz val="8"/>
    </font>
    <font>
      <name val="Arial"/>
      <b val="1"/>
      <color rgb="FF000000"/>
      <sz val="11"/>
    </font>
    <font>
      <name val="&quot;Aptos Narrow&quot;"/>
      <color rgb="FF000000"/>
      <sz val="10"/>
    </font>
    <font>
      <name val="Calibri"/>
      <color theme="1"/>
      <sz val="10"/>
      <scheme val="minor"/>
    </font>
    <font>
      <name val="Arial"/>
      <b val="1"/>
      <color indexed="9"/>
      <sz val="9"/>
    </font>
    <font>
      <name val="Calibri"/>
      <color indexed="8"/>
      <sz val="11"/>
    </font>
    <font>
      <name val="Arial"/>
      <b val="1"/>
      <color indexed="8"/>
      <sz val="11"/>
    </font>
    <font>
      <name val="Calibri"/>
      <b val="1"/>
      <color indexed="8"/>
      <sz val="8"/>
    </font>
    <font>
      <name val="Calibri"/>
      <b val="1"/>
      <color indexed="9"/>
      <sz val="7"/>
    </font>
    <font>
      <name val="Calibri"/>
      <b val="1"/>
      <color indexed="8"/>
      <sz val="7"/>
    </font>
    <font>
      <name val="Calibri"/>
      <b val="1"/>
      <color indexed="9"/>
      <sz val="6"/>
    </font>
    <font>
      <name val="Calibri"/>
      <b val="1"/>
      <color indexed="8"/>
      <sz val="6"/>
    </font>
    <font>
      <name val="Calibri"/>
      <b val="1"/>
      <color indexed="21"/>
      <sz val="6"/>
    </font>
    <font>
      <name val="Calibri"/>
      <color indexed="8"/>
      <sz val="9"/>
    </font>
    <font>
      <name val="Calibri"/>
      <b val="1"/>
      <color indexed="8"/>
      <sz val="9"/>
    </font>
    <font>
      <name val="Arial"/>
      <b val="1"/>
      <color rgb="00FFFFFF"/>
      <sz val="9"/>
    </font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b val="1"/>
      <sz val="7"/>
    </font>
    <font>
      <b val="1"/>
      <color rgb="00FFFFFF"/>
      <sz val="7"/>
    </font>
    <font>
      <b val="1"/>
      <color rgb="00FFFFFF"/>
      <sz val="6"/>
    </font>
    <font>
      <sz val="8"/>
    </font>
    <font>
      <b val="1"/>
      <sz val="8"/>
    </font>
    <font>
      <b val="1"/>
      <sz val="9"/>
    </font>
    <font>
      <name val="Arial"/>
      <b val="1"/>
      <color indexed="11"/>
      <sz val="11"/>
    </font>
    <font>
      <name val="Calibri"/>
      <color indexed="8"/>
      <sz val="8"/>
    </font>
    <font>
      <b val="1"/>
      <color rgb="00FFFFFF"/>
    </font>
    <font>
      <b val="1"/>
      <color rgb="00FFFFFF"/>
      <sz val="8"/>
    </font>
    <font>
      <b val="1"/>
      <color rgb="00FF0000"/>
    </font>
    <font>
      <b val="1"/>
    </font>
    <font>
      <name val="Arial"/>
      <b val="1"/>
      <color indexed="9"/>
      <sz val="11"/>
    </font>
    <font>
      <name val="Calibri"/>
      <b val="1"/>
      <color indexed="9"/>
      <sz val="8"/>
    </font>
    <font>
      <name val="Calibri"/>
      <b val="1"/>
      <color indexed="9"/>
      <sz val="11"/>
    </font>
    <font>
      <name val="Calibri"/>
      <b val="1"/>
      <color indexed="8"/>
      <sz val="11"/>
    </font>
    <font>
      <name val="Helvetica"/>
      <color indexed="8"/>
      <sz val="12"/>
    </font>
    <font>
      <name val="Arial"/>
      <b val="1"/>
      <color indexed="9"/>
      <sz val="12"/>
    </font>
  </fonts>
  <fills count="90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EBAF1"/>
        <bgColor rgb="FFFEBAF1"/>
      </patternFill>
    </fill>
    <fill>
      <patternFill patternType="solid">
        <fgColor rgb="FF99FFCC"/>
        <bgColor rgb="FF99FFCC"/>
      </patternFill>
    </fill>
    <fill>
      <patternFill patternType="solid">
        <fgColor rgb="FFF8FF9D"/>
        <bgColor rgb="FFF8FF9D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0CECE"/>
        <bgColor rgb="FFD0CECE"/>
      </patternFill>
    </fill>
    <fill>
      <patternFill patternType="solid">
        <fgColor rgb="FFA0FCF3"/>
        <bgColor rgb="FFA0FCF3"/>
      </patternFill>
    </fill>
    <fill>
      <patternFill patternType="solid">
        <fgColor rgb="FFCCCCCC"/>
        <bgColor rgb="FFCCCCCC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CCFFFF"/>
        <bgColor rgb="FFCCFFFF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9"/>
        <bgColor auto="1"/>
      </patternFill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indexed="22"/>
        <bgColor auto="1"/>
      </patternFill>
    </fill>
    <fill>
      <patternFill patternType="solid">
        <fgColor rgb="0010253F"/>
        <bgColor rgb="0010253F"/>
      </patternFill>
    </fill>
    <fill>
      <patternFill patternType="solid">
        <fgColor rgb="0092D050"/>
        <bgColor rgb="0092D050"/>
      </patternFill>
    </fill>
    <fill>
      <patternFill patternType="solid">
        <fgColor rgb="00D9D9D9"/>
        <bgColor rgb="00D9D9D9"/>
      </patternFill>
    </fill>
    <fill>
      <patternFill patternType="solid">
        <fgColor rgb="008C7B70"/>
        <bgColor rgb="008C7B70"/>
      </patternFill>
    </fill>
    <fill>
      <patternFill patternType="solid">
        <fgColor rgb="00B4C6E7"/>
        <bgColor rgb="00B4C6E7"/>
      </patternFill>
    </fill>
    <fill>
      <patternFill patternType="solid">
        <fgColor rgb="00A9D08E"/>
        <bgColor rgb="00A9D08E"/>
      </patternFill>
    </fill>
    <fill>
      <patternFill patternType="solid">
        <fgColor rgb="00A68064"/>
        <bgColor rgb="00A68064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  <fill>
      <patternFill patternType="solid">
        <fgColor rgb="00E6B8B7"/>
        <bgColor rgb="00E6B8B7"/>
      </patternFill>
    </fill>
    <fill>
      <patternFill patternType="solid">
        <fgColor rgb="00E7E6E6"/>
        <bgColor rgb="00E7E6E6"/>
      </patternFill>
    </fill>
    <fill>
      <patternFill patternType="solid">
        <fgColor rgb="00404040"/>
        <bgColor rgb="0040404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indexed="8"/>
        <bgColor auto="1"/>
      </patternFill>
    </fill>
    <fill>
      <patternFill patternType="solid"/>
    </fill>
    <fill>
      <patternFill patternType="solid">
        <fgColor rgb="003399FF"/>
        <bgColor rgb="003399FF"/>
      </patternFill>
    </fill>
    <fill>
      <patternFill patternType="solid">
        <fgColor rgb="0000B0F0"/>
        <bgColor rgb="0000B0F0"/>
      </patternFill>
    </fill>
    <fill>
      <patternFill patternType="solid">
        <fgColor rgb="00DDEBF7"/>
        <bgColor rgb="00DDEBF7"/>
      </patternFill>
    </fill>
    <fill>
      <patternFill patternType="solid">
        <fgColor rgb="00FF6600"/>
        <bgColor rgb="00FF6600"/>
      </patternFill>
    </fill>
    <fill>
      <patternFill patternType="solid">
        <fgColor rgb="0099CCFF"/>
        <bgColor rgb="0099CCFF"/>
      </patternFill>
    </fill>
    <fill>
      <patternFill patternType="solid">
        <fgColor rgb="0099CC00"/>
        <bgColor rgb="0099CC00"/>
      </patternFill>
    </fill>
    <fill>
      <patternFill patternType="solid">
        <fgColor rgb="00FF99CC"/>
        <bgColor rgb="00FF99CC"/>
      </patternFill>
    </fill>
    <fill>
      <patternFill patternType="solid">
        <fgColor rgb="00FFCC99"/>
        <bgColor rgb="00FFCC99"/>
      </patternFill>
    </fill>
    <fill>
      <patternFill patternType="solid">
        <fgColor rgb="00FFFF99"/>
        <bgColor rgb="00FFFF99"/>
      </patternFill>
    </fill>
    <fill>
      <patternFill patternType="solid">
        <fgColor rgb="00FFCCCC"/>
        <bgColor rgb="00FFCCCC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9BC2E6"/>
        <bgColor rgb="009BC2E6"/>
      </patternFill>
    </fill>
    <fill>
      <patternFill patternType="solid">
        <fgColor rgb="001F497D"/>
        <bgColor rgb="001F497D"/>
      </patternFill>
    </fill>
    <fill>
      <patternFill patternType="solid">
        <fgColor rgb="000070C0"/>
        <bgColor rgb="000070C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8CBAD"/>
        <bgColor rgb="00F8CBAD"/>
      </patternFill>
    </fill>
    <fill>
      <patternFill patternType="solid">
        <fgColor rgb="005B9BD5"/>
        <bgColor rgb="005B9BD5"/>
      </patternFill>
    </fill>
    <fill>
      <patternFill patternType="solid">
        <fgColor rgb="00FFE699"/>
        <bgColor rgb="00FFE699"/>
      </patternFill>
    </fill>
    <fill>
      <patternFill patternType="solid">
        <fgColor indexed="23"/>
        <bgColor auto="1"/>
      </patternFill>
    </fill>
    <fill>
      <patternFill patternType="solid">
        <fgColor rgb="001F4E78"/>
        <bgColor rgb="001F4E78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</fills>
  <borders count="6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  <border>
      <left/>
      <top/>
      <bottom/>
    </border>
    <border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  <bottom style="thin">
        <color rgb="FF0B304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</border>
    <border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</border>
    <border>
      <left style="thin">
        <color rgb="FF0B3040"/>
      </left>
      <right style="thin">
        <color rgb="FF0B3040"/>
      </right>
      <bottom style="thin">
        <color rgb="FF0B3040"/>
      </bottom>
    </border>
    <border>
      <right style="thin">
        <color rgb="FF000000"/>
      </right>
      <top style="thin">
        <color rgb="FF000000"/>
      </top>
      <bottom/>
    </border>
    <border>
      <right style="hair">
        <color rgb="FF000000"/>
      </right>
      <top style="hair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>
        <color indexed="8"/>
      </lef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top style="thin">
        <color indexed="10"/>
      </top>
    </border>
    <border>
      <top style="thin">
        <color indexed="10"/>
      </top>
      <bottom style="thin">
        <color indexed="8"/>
      </bottom>
    </border>
    <border>
      <right style="thin">
        <color indexed="10"/>
      </right>
      <top style="thin">
        <color indexed="10"/>
      </top>
    </border>
    <border>
      <right style="thin">
        <color indexed="10"/>
      </right>
      <top style="thin">
        <color indexed="10"/>
      </top>
      <bottom style="thin">
        <color indexed="8"/>
      </bottom>
    </border>
  </borders>
  <cellStyleXfs count="1">
    <xf numFmtId="0" fontId="0" fillId="0" borderId="0"/>
  </cellStyleXfs>
  <cellXfs count="48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 wrapText="1"/>
    </xf>
    <xf numFmtId="0" fontId="8" fillId="0" borderId="0" applyAlignment="1" pivotButton="0" quotePrefix="0" xfId="0">
      <alignment vertical="center"/>
    </xf>
    <xf numFmtId="2" fontId="6" fillId="2" borderId="1" applyAlignment="1" pivotButton="0" quotePrefix="0" xfId="0">
      <alignment vertical="center"/>
    </xf>
    <xf numFmtId="2" fontId="6" fillId="2" borderId="2" applyAlignment="1" pivotButton="0" quotePrefix="0" xfId="0">
      <alignment horizontal="center" vertical="center"/>
    </xf>
    <xf numFmtId="2" fontId="9" fillId="3" borderId="3" applyAlignment="1" pivotButton="0" quotePrefix="0" xfId="0">
      <alignment horizontal="center" vertical="center" textRotation="90"/>
    </xf>
    <xf numFmtId="2" fontId="9" fillId="4" borderId="4" applyAlignment="1" pivotButton="0" quotePrefix="0" xfId="0">
      <alignment horizontal="center" vertical="center" textRotation="90"/>
    </xf>
    <xf numFmtId="2" fontId="9" fillId="5" borderId="4" applyAlignment="1" pivotButton="0" quotePrefix="0" xfId="0">
      <alignment horizontal="center" vertical="center" textRotation="90"/>
    </xf>
    <xf numFmtId="2" fontId="9" fillId="6" borderId="4" applyAlignment="1" pivotButton="0" quotePrefix="0" xfId="0">
      <alignment horizontal="center" vertical="center" textRotation="90"/>
    </xf>
    <xf numFmtId="2" fontId="9" fillId="7" borderId="4" applyAlignment="1" pivotButton="0" quotePrefix="0" xfId="0">
      <alignment horizontal="center" vertical="center" textRotation="90"/>
    </xf>
    <xf numFmtId="2" fontId="10" fillId="8" borderId="5" applyAlignment="1" pivotButton="0" quotePrefix="0" xfId="0">
      <alignment horizontal="center" vertical="center" textRotation="90"/>
    </xf>
    <xf numFmtId="2" fontId="9" fillId="9" borderId="4" applyAlignment="1" pivotButton="0" quotePrefix="0" xfId="0">
      <alignment horizontal="center" vertical="center" textRotation="90"/>
    </xf>
    <xf numFmtId="2" fontId="11" fillId="10" borderId="6" applyAlignment="1" pivotButton="0" quotePrefix="0" xfId="0">
      <alignment horizontal="center" vertical="center" textRotation="90"/>
    </xf>
    <xf numFmtId="2" fontId="9" fillId="11" borderId="4" applyAlignment="1" pivotButton="0" quotePrefix="0" xfId="0">
      <alignment horizontal="center" vertical="center" textRotation="90"/>
    </xf>
    <xf numFmtId="2" fontId="9" fillId="3" borderId="4" applyAlignment="1" pivotButton="0" quotePrefix="0" xfId="0">
      <alignment horizontal="center" vertical="center" textRotation="90"/>
    </xf>
    <xf numFmtId="2" fontId="9" fillId="12" borderId="5" applyAlignment="1" pivotButton="0" quotePrefix="0" xfId="0">
      <alignment horizontal="center" vertical="center" textRotation="90"/>
    </xf>
    <xf numFmtId="2" fontId="9" fillId="13" borderId="7" applyAlignment="1" pivotButton="0" quotePrefix="0" xfId="0">
      <alignment horizontal="center" vertical="center" textRotation="90"/>
    </xf>
    <xf numFmtId="2" fontId="12" fillId="8" borderId="8" applyAlignment="1" pivotButton="0" quotePrefix="0" xfId="0">
      <alignment horizontal="center" vertical="center"/>
    </xf>
    <xf numFmtId="1" fontId="13" fillId="14" borderId="9" applyAlignment="1" pivotButton="0" quotePrefix="0" xfId="0">
      <alignment horizontal="center" vertical="center" wrapText="1"/>
    </xf>
    <xf numFmtId="0" fontId="14" fillId="14" borderId="5" applyAlignment="1" pivotButton="0" quotePrefix="0" xfId="0">
      <alignment horizontal="left" vertical="center"/>
    </xf>
    <xf numFmtId="2" fontId="15" fillId="3" borderId="5" applyAlignment="1" pivotButton="0" quotePrefix="0" xfId="0">
      <alignment horizontal="center" vertical="center"/>
    </xf>
    <xf numFmtId="2" fontId="15" fillId="15" borderId="5" applyAlignment="1" pivotButton="0" quotePrefix="0" xfId="0">
      <alignment horizontal="center" vertical="center"/>
    </xf>
    <xf numFmtId="2" fontId="16" fillId="16" borderId="5" applyAlignment="1" pivotButton="0" quotePrefix="0" xfId="0">
      <alignment horizontal="center" vertical="center"/>
    </xf>
    <xf numFmtId="2" fontId="15" fillId="6" borderId="5" applyAlignment="1" pivotButton="0" quotePrefix="0" xfId="0">
      <alignment horizontal="center" vertical="center"/>
    </xf>
    <xf numFmtId="2" fontId="15" fillId="17" borderId="5" applyAlignment="1" pivotButton="0" quotePrefix="0" xfId="0">
      <alignment horizontal="center" vertical="center"/>
    </xf>
    <xf numFmtId="0" fontId="17" fillId="8" borderId="10" applyAlignment="1" pivotButton="0" quotePrefix="0" xfId="0">
      <alignment horizontal="center" vertical="center"/>
    </xf>
    <xf numFmtId="2" fontId="15" fillId="9" borderId="5" applyAlignment="1" pivotButton="0" quotePrefix="0" xfId="0">
      <alignment horizontal="center" vertical="center"/>
    </xf>
    <xf numFmtId="2" fontId="6" fillId="10" borderId="5" applyAlignment="1" pivotButton="0" quotePrefix="0" xfId="0">
      <alignment horizontal="center" vertical="bottom"/>
    </xf>
    <xf numFmtId="2" fontId="18" fillId="11" borderId="5" applyAlignment="1" pivotButton="0" quotePrefix="0" xfId="0">
      <alignment horizontal="center" vertical="center"/>
    </xf>
    <xf numFmtId="2" fontId="19" fillId="3" borderId="5" applyAlignment="1" pivotButton="0" quotePrefix="0" xfId="0">
      <alignment horizontal="center" vertical="center"/>
    </xf>
    <xf numFmtId="2" fontId="15" fillId="12" borderId="5" applyAlignment="1" pivotButton="0" quotePrefix="0" xfId="0">
      <alignment horizontal="center" vertical="center"/>
    </xf>
    <xf numFmtId="2" fontId="19" fillId="13" borderId="5" applyAlignment="1" pivotButton="0" quotePrefix="0" xfId="0">
      <alignment horizontal="center" vertical="center"/>
    </xf>
    <xf numFmtId="2" fontId="20" fillId="14" borderId="5" applyAlignment="1" pivotButton="0" quotePrefix="0" xfId="0">
      <alignment vertical="center" wrapText="1"/>
    </xf>
    <xf numFmtId="2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2" fontId="15" fillId="4" borderId="5" applyAlignment="1" pivotButton="0" quotePrefix="0" xfId="0">
      <alignment horizontal="center" vertical="center"/>
    </xf>
    <xf numFmtId="0" fontId="15" fillId="18" borderId="5" applyAlignment="1" pivotButton="0" quotePrefix="0" xfId="0">
      <alignment horizontal="center" vertical="center"/>
    </xf>
    <xf numFmtId="2" fontId="17" fillId="8" borderId="10" applyAlignment="1" pivotButton="0" quotePrefix="0" xfId="0">
      <alignment horizontal="center" vertical="center"/>
    </xf>
    <xf numFmtId="2" fontId="19" fillId="11" borderId="5" applyAlignment="1" pivotButton="0" quotePrefix="0" xfId="0">
      <alignment horizontal="center" vertical="center"/>
    </xf>
    <xf numFmtId="2" fontId="15" fillId="5" borderId="5" applyAlignment="1" pivotButton="0" quotePrefix="0" xfId="0">
      <alignment horizontal="center" vertical="center"/>
    </xf>
    <xf numFmtId="2" fontId="15" fillId="7" borderId="5" applyAlignment="1" pivotButton="0" quotePrefix="0" xfId="0">
      <alignment horizontal="center" vertical="center"/>
    </xf>
    <xf numFmtId="0" fontId="15" fillId="5" borderId="5" applyAlignment="1" pivotButton="0" quotePrefix="0" xfId="0">
      <alignment horizontal="center" vertical="center"/>
    </xf>
    <xf numFmtId="2" fontId="22" fillId="11" borderId="5" applyAlignment="1" pivotButton="0" quotePrefix="0" xfId="0">
      <alignment horizontal="center" vertical="center"/>
    </xf>
    <xf numFmtId="0" fontId="15" fillId="4" borderId="5" applyAlignment="1" pivotButton="0" quotePrefix="0" xfId="0">
      <alignment horizontal="center" vertical="center"/>
    </xf>
    <xf numFmtId="2" fontId="19" fillId="19" borderId="5" applyAlignment="1" pivotButton="0" quotePrefix="0" xfId="0">
      <alignment horizontal="center" vertical="center"/>
    </xf>
    <xf numFmtId="2" fontId="20" fillId="16" borderId="5" applyAlignment="1" pivotButton="0" quotePrefix="0" xfId="0">
      <alignment vertical="center" wrapText="1"/>
    </xf>
    <xf numFmtId="2" fontId="15" fillId="16" borderId="5" applyAlignment="1" pivotButton="0" quotePrefix="0" xfId="0">
      <alignment horizontal="center" vertical="center"/>
    </xf>
    <xf numFmtId="0" fontId="15" fillId="16" borderId="5" applyAlignment="1" pivotButton="0" quotePrefix="0" xfId="0">
      <alignment horizontal="center" vertical="center"/>
    </xf>
    <xf numFmtId="2" fontId="19" fillId="3" borderId="5" applyAlignment="1" pivotButton="0" quotePrefix="0" xfId="0">
      <alignment horizontal="center" vertical="center" wrapText="1"/>
    </xf>
    <xf numFmtId="2" fontId="19" fillId="4" borderId="5" applyAlignment="1" pivotButton="0" quotePrefix="0" xfId="0">
      <alignment horizontal="center" vertical="center" wrapText="1"/>
    </xf>
    <xf numFmtId="2" fontId="19" fillId="5" borderId="5" applyAlignment="1" pivotButton="0" quotePrefix="0" xfId="0">
      <alignment horizontal="center" vertical="center" wrapText="1"/>
    </xf>
    <xf numFmtId="2" fontId="19" fillId="6" borderId="5" applyAlignment="1" pivotButton="0" quotePrefix="0" xfId="0">
      <alignment horizontal="center" vertical="center" wrapText="1"/>
    </xf>
    <xf numFmtId="2" fontId="19" fillId="7" borderId="5" applyAlignment="1" pivotButton="0" quotePrefix="0" xfId="0">
      <alignment horizontal="center" vertical="center" wrapText="1"/>
    </xf>
    <xf numFmtId="2" fontId="19" fillId="8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/>
    </xf>
    <xf numFmtId="2" fontId="19" fillId="12" borderId="5" applyAlignment="1" pivotButton="0" quotePrefix="0" xfId="0">
      <alignment horizontal="center" vertical="center" wrapText="1"/>
    </xf>
    <xf numFmtId="0" fontId="23" fillId="14" borderId="11" applyAlignment="1" pivotButton="0" quotePrefix="0" xfId="0">
      <alignment vertical="bottom"/>
    </xf>
    <xf numFmtId="0" fontId="24" fillId="0" borderId="12" applyAlignment="1" pivotButton="0" quotePrefix="0" xfId="0">
      <alignment vertical="center"/>
    </xf>
    <xf numFmtId="2" fontId="25" fillId="14" borderId="13" applyAlignment="1" pivotButton="0" quotePrefix="0" xfId="0">
      <alignment vertical="center" wrapText="1"/>
    </xf>
    <xf numFmtId="0" fontId="24" fillId="0" borderId="14" applyAlignment="1" pivotButton="0" quotePrefix="0" xfId="0">
      <alignment vertical="center"/>
    </xf>
    <xf numFmtId="0" fontId="24" fillId="0" borderId="15" applyAlignment="1" pivotButton="0" quotePrefix="0" xfId="0">
      <alignment vertical="center"/>
    </xf>
    <xf numFmtId="2" fontId="7" fillId="14" borderId="1" applyAlignment="1" pivotButton="0" quotePrefix="0" xfId="0">
      <alignment vertical="center"/>
    </xf>
    <xf numFmtId="2" fontId="25" fillId="14" borderId="13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 wrapText="1"/>
    </xf>
    <xf numFmtId="2" fontId="6" fillId="2" borderId="16" applyAlignment="1" pivotButton="0" quotePrefix="0" xfId="0">
      <alignment vertical="center"/>
    </xf>
    <xf numFmtId="2" fontId="6" fillId="2" borderId="17" applyAlignment="1" pivotButton="0" quotePrefix="0" xfId="0">
      <alignment horizontal="center" vertical="center"/>
    </xf>
    <xf numFmtId="2" fontId="9" fillId="20" borderId="4" applyAlignment="1" pivotButton="0" quotePrefix="0" xfId="0">
      <alignment horizontal="center" vertical="center" textRotation="90"/>
    </xf>
    <xf numFmtId="2" fontId="9" fillId="21" borderId="18" applyAlignment="1" pivotButton="0" quotePrefix="0" xfId="0">
      <alignment horizontal="center" vertical="center" textRotation="90"/>
    </xf>
    <xf numFmtId="2" fontId="9" fillId="12" borderId="3" applyAlignment="1" pivotButton="0" quotePrefix="0" xfId="0">
      <alignment horizontal="center" vertical="center" textRotation="90"/>
    </xf>
    <xf numFmtId="2" fontId="9" fillId="13" borderId="4" applyAlignment="1" pivotButton="0" quotePrefix="0" xfId="0">
      <alignment horizontal="center" vertical="center" textRotation="90"/>
    </xf>
    <xf numFmtId="2" fontId="12" fillId="8" borderId="3" applyAlignment="1" pivotButton="0" quotePrefix="0" xfId="0">
      <alignment horizontal="center" vertical="center"/>
    </xf>
    <xf numFmtId="1" fontId="13" fillId="14" borderId="5" applyAlignment="1" pivotButton="0" quotePrefix="0" xfId="0">
      <alignment horizontal="center" vertical="center" wrapText="1"/>
    </xf>
    <xf numFmtId="0" fontId="13" fillId="14" borderId="5" applyAlignment="1" pivotButton="0" quotePrefix="0" xfId="0">
      <alignment horizontal="left" vertical="bottom"/>
    </xf>
    <xf numFmtId="2" fontId="19" fillId="4" borderId="5" applyAlignment="1" pivotButton="0" quotePrefix="0" xfId="0">
      <alignment horizontal="center" vertical="center" wrapText="1"/>
    </xf>
    <xf numFmtId="2" fontId="18" fillId="18" borderId="10" applyAlignment="1" pivotButton="0" quotePrefix="0" xfId="0">
      <alignment horizontal="center" vertical="center"/>
    </xf>
    <xf numFmtId="2" fontId="19" fillId="6" borderId="5" applyAlignment="1" pivotButton="0" quotePrefix="0" xfId="0">
      <alignment horizontal="center" vertical="center" wrapText="1"/>
    </xf>
    <xf numFmtId="2" fontId="19" fillId="7" borderId="5" applyAlignment="1" pivotButton="0" quotePrefix="0" xfId="0">
      <alignment horizontal="center" vertical="bottom"/>
    </xf>
    <xf numFmtId="2" fontId="26" fillId="22" borderId="10" applyAlignment="1" pivotButton="0" quotePrefix="0" xfId="0">
      <alignment horizontal="center" vertical="center"/>
    </xf>
    <xf numFmtId="2" fontId="19" fillId="9" borderId="5" applyAlignment="1" pivotButton="0" quotePrefix="0" xfId="0">
      <alignment horizontal="center" vertical="center" wrapText="1"/>
    </xf>
    <xf numFmtId="2" fontId="6" fillId="10" borderId="5" applyAlignment="1" pivotButton="0" quotePrefix="0" xfId="0">
      <alignment vertical="bottom"/>
    </xf>
    <xf numFmtId="2" fontId="19" fillId="13" borderId="5" applyAlignment="1" pivotButton="0" quotePrefix="0" xfId="0">
      <alignment horizontal="center" vertical="center" wrapText="1"/>
    </xf>
    <xf numFmtId="2" fontId="20" fillId="14" borderId="19" applyAlignment="1" pivotButton="0" quotePrefix="0" xfId="0">
      <alignment vertical="center" wrapText="1"/>
    </xf>
    <xf numFmtId="2" fontId="22" fillId="3" borderId="5" applyAlignment="1" pivotButton="0" quotePrefix="0" xfId="0">
      <alignment horizontal="center" vertical="center"/>
    </xf>
    <xf numFmtId="0" fontId="27" fillId="18" borderId="10" applyAlignment="1" pivotButton="0" quotePrefix="0" xfId="0">
      <alignment horizontal="center" vertical="center"/>
    </xf>
    <xf numFmtId="0" fontId="19" fillId="9" borderId="5" applyAlignment="1" pivotButton="0" quotePrefix="0" xfId="0">
      <alignment horizontal="center" vertical="center" wrapText="1"/>
    </xf>
    <xf numFmtId="2" fontId="27" fillId="18" borderId="10" applyAlignment="1" pivotButton="0" quotePrefix="0" xfId="0">
      <alignment horizontal="center" vertical="center"/>
    </xf>
    <xf numFmtId="2" fontId="28" fillId="22" borderId="10" applyAlignment="1" pivotButton="0" quotePrefix="0" xfId="0">
      <alignment horizontal="center" vertical="center"/>
    </xf>
    <xf numFmtId="2" fontId="29" fillId="22" borderId="5" applyAlignment="1" pivotButton="0" quotePrefix="0" xfId="0">
      <alignment horizontal="center" vertical="center"/>
    </xf>
    <xf numFmtId="0" fontId="13" fillId="14" borderId="20" applyAlignment="1" pivotButton="0" quotePrefix="0" xfId="0">
      <alignment horizontal="left" vertical="bottom"/>
    </xf>
    <xf numFmtId="0" fontId="13" fillId="14" borderId="7" applyAlignment="1" pivotButton="0" quotePrefix="0" xfId="0">
      <alignment horizontal="left" vertical="bottom"/>
    </xf>
    <xf numFmtId="2" fontId="27" fillId="23" borderId="10" applyAlignment="1" pivotButton="0" quotePrefix="0" xfId="0">
      <alignment horizontal="center" vertical="center"/>
    </xf>
    <xf numFmtId="2" fontId="20" fillId="16" borderId="19" applyAlignment="1" pivotButton="0" quotePrefix="0" xfId="0">
      <alignment vertical="center" wrapText="1"/>
    </xf>
    <xf numFmtId="0" fontId="19" fillId="4" borderId="5" applyAlignment="1" pivotButton="0" quotePrefix="0" xfId="0">
      <alignment horizontal="center" vertical="center" wrapText="1"/>
    </xf>
    <xf numFmtId="2" fontId="19" fillId="3" borderId="5" applyAlignment="1" pivotButton="0" quotePrefix="0" xfId="0">
      <alignment horizontal="center" vertical="center" wrapText="1"/>
    </xf>
    <xf numFmtId="2" fontId="19" fillId="18" borderId="5" applyAlignment="1" pivotButton="0" quotePrefix="0" xfId="0">
      <alignment horizontal="center" vertical="center" wrapText="1"/>
    </xf>
    <xf numFmtId="2" fontId="19" fillId="24" borderId="5" applyAlignment="1" pivotButton="0" quotePrefix="0" xfId="0">
      <alignment horizontal="center" vertical="center" wrapText="1"/>
    </xf>
    <xf numFmtId="2" fontId="19" fillId="14" borderId="5" applyAlignment="1" pivotButton="0" quotePrefix="0" xfId="0">
      <alignment horizontal="center" vertical="center" wrapText="1"/>
    </xf>
    <xf numFmtId="2" fontId="19" fillId="22" borderId="5" applyAlignment="1" pivotButton="0" quotePrefix="0" xfId="0">
      <alignment horizontal="center" vertical="center" wrapText="1"/>
    </xf>
    <xf numFmtId="2" fontId="19" fillId="14" borderId="5" applyAlignment="1" pivotButton="0" quotePrefix="0" xfId="0">
      <alignment horizontal="center" vertical="center" wrapText="1"/>
    </xf>
    <xf numFmtId="0" fontId="22" fillId="25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2" fontId="9" fillId="26" borderId="4" applyAlignment="1" pivotButton="0" quotePrefix="0" xfId="0">
      <alignment horizontal="center" vertical="center" textRotation="90"/>
    </xf>
    <xf numFmtId="2" fontId="9" fillId="3" borderId="18" applyAlignment="1" pivotButton="0" quotePrefix="0" xfId="0">
      <alignment horizontal="center" vertical="center" textRotation="90"/>
    </xf>
    <xf numFmtId="2" fontId="19" fillId="3" borderId="5" applyAlignment="1" pivotButton="0" quotePrefix="0" xfId="0">
      <alignment horizontal="center" vertical="bottom"/>
    </xf>
    <xf numFmtId="2" fontId="19" fillId="5" borderId="5" applyAlignment="1" pivotButton="0" quotePrefix="0" xfId="0">
      <alignment horizontal="center" vertical="bottom"/>
    </xf>
    <xf numFmtId="2" fontId="19" fillId="26" borderId="5" applyAlignment="1" pivotButton="0" quotePrefix="0" xfId="0">
      <alignment horizontal="center" vertical="center" wrapText="1"/>
    </xf>
    <xf numFmtId="2" fontId="17" fillId="27" borderId="21" applyAlignment="1" pivotButton="0" quotePrefix="0" xfId="0">
      <alignment horizontal="center" vertical="center"/>
    </xf>
    <xf numFmtId="2" fontId="19" fillId="20" borderId="5" applyAlignment="1" pivotButton="0" quotePrefix="0" xfId="0">
      <alignment horizontal="center" vertical="center" wrapText="1"/>
    </xf>
    <xf numFmtId="2" fontId="22" fillId="11" borderId="5" applyAlignment="1" pivotButton="0" quotePrefix="0" xfId="0">
      <alignment horizontal="center" vertical="center"/>
    </xf>
    <xf numFmtId="2" fontId="30" fillId="28" borderId="5" applyAlignment="1" pivotButton="0" quotePrefix="0" xfId="0">
      <alignment vertical="bottom"/>
    </xf>
    <xf numFmtId="0" fontId="19" fillId="5" borderId="5" applyAlignment="1" pivotButton="0" quotePrefix="0" xfId="0">
      <alignment horizontal="center" vertical="bottom"/>
    </xf>
    <xf numFmtId="2" fontId="17" fillId="0" borderId="21" applyAlignment="1" pivotButton="0" quotePrefix="0" xfId="0">
      <alignment horizontal="center" vertical="center"/>
    </xf>
    <xf numFmtId="1" fontId="13" fillId="14" borderId="22" applyAlignment="1" pivotButton="0" quotePrefix="0" xfId="0">
      <alignment horizontal="center" vertical="center" wrapText="1"/>
    </xf>
    <xf numFmtId="0" fontId="6" fillId="0" borderId="23" applyAlignment="1" pivotButton="0" quotePrefix="0" xfId="0">
      <alignment vertical="bottom"/>
    </xf>
    <xf numFmtId="0" fontId="13" fillId="29" borderId="10" applyAlignment="1" pivotButton="0" quotePrefix="0" xfId="0">
      <alignment vertical="bottom"/>
    </xf>
    <xf numFmtId="0" fontId="13" fillId="29" borderId="5" applyAlignment="1" pivotButton="0" quotePrefix="0" xfId="0">
      <alignment horizontal="left" vertical="center" wrapText="1"/>
    </xf>
    <xf numFmtId="0" fontId="6" fillId="0" borderId="24" applyAlignment="1" pivotButton="0" quotePrefix="0" xfId="0">
      <alignment vertical="bottom"/>
    </xf>
    <xf numFmtId="2" fontId="6" fillId="2" borderId="5" applyAlignment="1" pivotButton="0" quotePrefix="0" xfId="0">
      <alignment vertical="center"/>
    </xf>
    <xf numFmtId="2" fontId="6" fillId="2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vertical="center"/>
    </xf>
    <xf numFmtId="2" fontId="9" fillId="5" borderId="18" applyAlignment="1" pivotButton="0" quotePrefix="0" xfId="0">
      <alignment horizontal="center" vertical="center" textRotation="90"/>
    </xf>
    <xf numFmtId="2" fontId="9" fillId="17" borderId="4" applyAlignment="1" pivotButton="0" quotePrefix="0" xfId="0">
      <alignment horizontal="center" vertical="center" textRotation="90"/>
    </xf>
    <xf numFmtId="1" fontId="31" fillId="14" borderId="5" applyAlignment="1" pivotButton="0" quotePrefix="0" xfId="0">
      <alignment horizontal="center" vertical="center" wrapText="1"/>
    </xf>
    <xf numFmtId="0" fontId="32" fillId="14" borderId="5" applyAlignment="1" pivotButton="0" quotePrefix="0" xfId="0">
      <alignment horizontal="left" vertical="bottom"/>
    </xf>
    <xf numFmtId="0" fontId="33" fillId="18" borderId="5" applyAlignment="1" pivotButton="0" quotePrefix="0" xfId="0">
      <alignment horizontal="center" vertical="bottom"/>
    </xf>
    <xf numFmtId="2" fontId="19" fillId="6" borderId="5" applyAlignment="1" pivotButton="0" quotePrefix="0" xfId="0">
      <alignment horizontal="center" vertical="center"/>
    </xf>
    <xf numFmtId="2" fontId="17" fillId="17" borderId="21" applyAlignment="1" pivotButton="0" quotePrefix="0" xfId="0">
      <alignment horizontal="center" vertical="center"/>
    </xf>
    <xf numFmtId="2" fontId="19" fillId="11" borderId="5" applyAlignment="1" pivotButton="0" quotePrefix="0" xfId="0">
      <alignment horizontal="center" vertical="center" wrapText="1"/>
    </xf>
    <xf numFmtId="2" fontId="6" fillId="30" borderId="5" applyAlignment="1" pivotButton="0" quotePrefix="0" xfId="0">
      <alignment vertical="bottom"/>
    </xf>
    <xf numFmtId="0" fontId="6" fillId="0" borderId="0" applyAlignment="1" pivotButton="0" quotePrefix="0" xfId="0">
      <alignment vertical="center"/>
    </xf>
    <xf numFmtId="2" fontId="33" fillId="18" borderId="5" applyAlignment="1" pivotButton="0" quotePrefix="0" xfId="0">
      <alignment horizontal="center" vertical="bottom"/>
    </xf>
    <xf numFmtId="0" fontId="13" fillId="14" borderId="10" applyAlignment="1" pivotButton="0" quotePrefix="0" xfId="0">
      <alignment vertical="bottom"/>
    </xf>
    <xf numFmtId="0" fontId="34" fillId="18" borderId="5" applyAlignment="1" pivotButton="0" quotePrefix="0" xfId="0">
      <alignment horizontal="center" vertical="bottom"/>
    </xf>
    <xf numFmtId="2" fontId="34" fillId="18" borderId="5" applyAlignment="1" pivotButton="0" quotePrefix="0" xfId="0">
      <alignment horizontal="center" vertical="bottom"/>
    </xf>
    <xf numFmtId="2" fontId="34" fillId="18" borderId="0" applyAlignment="1" pivotButton="0" quotePrefix="0" xfId="0">
      <alignment horizontal="center" vertical="bottom"/>
    </xf>
    <xf numFmtId="2" fontId="17" fillId="17" borderId="27" applyAlignment="1" pivotButton="0" quotePrefix="0" xfId="0">
      <alignment horizontal="center" vertical="center"/>
    </xf>
    <xf numFmtId="2" fontId="35" fillId="17" borderId="5" applyAlignment="1" pivotButton="0" quotePrefix="0" xfId="0">
      <alignment horizontal="center" vertical="center"/>
    </xf>
    <xf numFmtId="2" fontId="17" fillId="17" borderId="28" applyAlignment="1" pivotButton="0" quotePrefix="0" xfId="0">
      <alignment horizontal="center" vertical="center"/>
    </xf>
    <xf numFmtId="0" fontId="34" fillId="5" borderId="5" applyAlignment="1" pivotButton="0" quotePrefix="0" xfId="0">
      <alignment horizontal="center" vertical="bottom"/>
    </xf>
    <xf numFmtId="2" fontId="34" fillId="5" borderId="5" applyAlignment="1" pivotButton="0" quotePrefix="0" xfId="0">
      <alignment horizontal="center" vertical="bottom"/>
    </xf>
    <xf numFmtId="0" fontId="32" fillId="0" borderId="5" applyAlignment="1" pivotButton="0" quotePrefix="0" xfId="0">
      <alignment vertical="center"/>
    </xf>
    <xf numFmtId="2" fontId="19" fillId="31" borderId="5" applyAlignment="1" pivotButton="0" quotePrefix="0" xfId="0">
      <alignment horizontal="center" vertical="center" wrapText="1"/>
    </xf>
    <xf numFmtId="2" fontId="19" fillId="17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/>
    </xf>
    <xf numFmtId="2" fontId="12" fillId="3" borderId="4" applyAlignment="1" pivotButton="0" quotePrefix="0" xfId="0">
      <alignment horizontal="center" vertical="center" textRotation="90"/>
    </xf>
    <xf numFmtId="2" fontId="12" fillId="4" borderId="4" applyAlignment="1" pivotButton="0" quotePrefix="0" xfId="0">
      <alignment horizontal="center" vertical="center" textRotation="90"/>
    </xf>
    <xf numFmtId="2" fontId="12" fillId="5" borderId="5" applyAlignment="1" pivotButton="0" quotePrefix="0" xfId="0">
      <alignment horizontal="center" vertical="center" textRotation="90"/>
    </xf>
    <xf numFmtId="2" fontId="12" fillId="6" borderId="29" applyAlignment="1" pivotButton="0" quotePrefix="0" xfId="0">
      <alignment horizontal="center" vertical="center" textRotation="90"/>
    </xf>
    <xf numFmtId="2" fontId="12" fillId="7" borderId="4" applyAlignment="1" pivotButton="0" quotePrefix="0" xfId="0">
      <alignment horizontal="center" vertical="center" textRotation="90"/>
    </xf>
    <xf numFmtId="2" fontId="12" fillId="20" borderId="4" applyAlignment="1" pivotButton="0" quotePrefix="0" xfId="0">
      <alignment horizontal="center" vertical="center" textRotation="90"/>
    </xf>
    <xf numFmtId="2" fontId="12" fillId="9" borderId="4" applyAlignment="1" pivotButton="0" quotePrefix="0" xfId="0">
      <alignment horizontal="center" vertical="center" textRotation="90"/>
    </xf>
    <xf numFmtId="2" fontId="12" fillId="21" borderId="18" applyAlignment="1" pivotButton="0" quotePrefix="0" xfId="0">
      <alignment horizontal="center" vertical="center" textRotation="90"/>
    </xf>
    <xf numFmtId="2" fontId="12" fillId="11" borderId="4" applyAlignment="1" pivotButton="0" quotePrefix="0" xfId="0">
      <alignment horizontal="center" vertical="center" textRotation="90"/>
    </xf>
    <xf numFmtId="2" fontId="12" fillId="12" borderId="3" applyAlignment="1" pivotButton="0" quotePrefix="0" xfId="0">
      <alignment horizontal="center" vertical="center" textRotation="90"/>
    </xf>
    <xf numFmtId="2" fontId="12" fillId="13" borderId="4" applyAlignment="1" pivotButton="0" quotePrefix="0" xfId="0">
      <alignment horizontal="center" vertical="center" textRotation="90"/>
    </xf>
    <xf numFmtId="0" fontId="32" fillId="14" borderId="20" applyAlignment="1" pivotButton="0" quotePrefix="0" xfId="0">
      <alignment horizontal="left" vertical="bottom"/>
    </xf>
    <xf numFmtId="0" fontId="32" fillId="14" borderId="7" applyAlignment="1" pivotButton="0" quotePrefix="0" xfId="0">
      <alignment horizontal="left" vertical="bottom"/>
    </xf>
    <xf numFmtId="2" fontId="17" fillId="4" borderId="5" applyAlignment="1" pivotButton="0" quotePrefix="0" xfId="0">
      <alignment horizontal="center" vertical="center"/>
    </xf>
    <xf numFmtId="2" fontId="33" fillId="5" borderId="5" applyAlignment="1" pivotButton="0" quotePrefix="0" xfId="0">
      <alignment horizontal="right" vertical="bottom"/>
    </xf>
    <xf numFmtId="2" fontId="6" fillId="7" borderId="21" applyAlignment="1" pivotButton="0" quotePrefix="0" xfId="0">
      <alignment horizontal="center" vertical="center"/>
    </xf>
    <xf numFmtId="2" fontId="19" fillId="20" borderId="5" applyAlignment="1" pivotButton="0" quotePrefix="0" xfId="0">
      <alignment horizontal="center" vertical="center"/>
    </xf>
    <xf numFmtId="2" fontId="31" fillId="12" borderId="5" applyAlignment="1" pivotButton="0" quotePrefix="0" xfId="0">
      <alignment horizontal="center" vertical="center" wrapText="1"/>
    </xf>
    <xf numFmtId="2" fontId="20" fillId="13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/>
    </xf>
    <xf numFmtId="2" fontId="36" fillId="4" borderId="5" applyAlignment="1" pivotButton="0" quotePrefix="0" xfId="0">
      <alignment horizontal="center" vertical="center"/>
    </xf>
    <xf numFmtId="2" fontId="33" fillId="5" borderId="5" applyAlignment="1" pivotButton="0" quotePrefix="0" xfId="0">
      <alignment vertical="bottom"/>
    </xf>
    <xf numFmtId="2" fontId="34" fillId="5" borderId="5" applyAlignment="1" pivotButton="0" quotePrefix="0" xfId="0">
      <alignment vertical="bottom"/>
    </xf>
    <xf numFmtId="0" fontId="36" fillId="4" borderId="5" applyAlignment="1" pivotButton="0" quotePrefix="0" xfId="0">
      <alignment horizontal="center" vertical="center"/>
    </xf>
    <xf numFmtId="0" fontId="33" fillId="5" borderId="5" applyAlignment="1" pivotButton="0" quotePrefix="0" xfId="0">
      <alignment vertical="bottom"/>
    </xf>
    <xf numFmtId="2" fontId="22" fillId="7" borderId="5" applyAlignment="1" pivotButton="0" quotePrefix="0" xfId="0">
      <alignment horizontal="center" vertical="center"/>
    </xf>
    <xf numFmtId="1" fontId="20" fillId="14" borderId="5" applyAlignment="1" pivotButton="0" quotePrefix="0" xfId="0">
      <alignment horizontal="center" vertical="center" wrapText="1"/>
    </xf>
    <xf numFmtId="0" fontId="32" fillId="14" borderId="5" applyAlignment="1" pivotButton="0" quotePrefix="0" xfId="0">
      <alignment horizontal="left" vertical="bottom"/>
    </xf>
    <xf numFmtId="0" fontId="37" fillId="14" borderId="25" applyAlignment="1" pivotButton="0" quotePrefix="0" xfId="0">
      <alignment horizontal="left" vertical="center" wrapText="1"/>
    </xf>
    <xf numFmtId="0" fontId="38" fillId="16" borderId="5" applyAlignment="1" pivotButton="0" quotePrefix="0" xfId="0">
      <alignment horizontal="center" vertical="center"/>
    </xf>
    <xf numFmtId="2" fontId="19" fillId="7" borderId="0" applyAlignment="1" pivotButton="0" quotePrefix="0" xfId="0">
      <alignment horizontal="center" vertical="center"/>
    </xf>
    <xf numFmtId="2" fontId="20" fillId="12" borderId="5" applyAlignment="1" pivotButton="0" quotePrefix="0" xfId="0">
      <alignment horizontal="center" vertical="center" wrapText="1"/>
    </xf>
    <xf numFmtId="2" fontId="19" fillId="7" borderId="5" applyAlignment="1" pivotButton="0" quotePrefix="0" xfId="0">
      <alignment horizontal="center" vertical="center"/>
    </xf>
    <xf numFmtId="0" fontId="39" fillId="14" borderId="25" applyAlignment="1" pivotButton="0" quotePrefix="0" xfId="0">
      <alignment horizontal="left" vertical="center" wrapText="1"/>
    </xf>
    <xf numFmtId="2" fontId="40" fillId="3" borderId="5" applyAlignment="1" pivotButton="0" quotePrefix="0" xfId="0">
      <alignment horizontal="center" vertical="center" wrapText="1"/>
    </xf>
    <xf numFmtId="2" fontId="40" fillId="4" borderId="5" applyAlignment="1" pivotButton="0" quotePrefix="0" xfId="0">
      <alignment horizontal="center" vertical="center" wrapText="1"/>
    </xf>
    <xf numFmtId="2" fontId="40" fillId="5" borderId="5" applyAlignment="1" pivotButton="0" quotePrefix="0" xfId="0">
      <alignment horizontal="center" vertical="center" wrapText="1"/>
    </xf>
    <xf numFmtId="2" fontId="40" fillId="14" borderId="5" applyAlignment="1" pivotButton="0" quotePrefix="0" xfId="0">
      <alignment horizontal="center" vertical="center" wrapText="1"/>
    </xf>
    <xf numFmtId="2" fontId="40" fillId="7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2" fontId="20" fillId="14" borderId="5" applyAlignment="1" pivotButton="0" quotePrefix="0" xfId="0">
      <alignment horizontal="center" vertical="center" wrapText="1"/>
    </xf>
    <xf numFmtId="2" fontId="9" fillId="5" borderId="5" applyAlignment="1" pivotButton="0" quotePrefix="0" xfId="0">
      <alignment horizontal="center" vertical="center" textRotation="90"/>
    </xf>
    <xf numFmtId="2" fontId="9" fillId="6" borderId="29" applyAlignment="1" pivotButton="0" quotePrefix="0" xfId="0">
      <alignment horizontal="center" vertical="center" textRotation="90"/>
    </xf>
    <xf numFmtId="0" fontId="19" fillId="4" borderId="5" applyAlignment="1" pivotButton="0" quotePrefix="0" xfId="0">
      <alignment horizontal="center" vertical="center"/>
    </xf>
    <xf numFmtId="0" fontId="41" fillId="18" borderId="5" applyAlignment="1" pivotButton="0" quotePrefix="0" xfId="0">
      <alignment vertical="bottom"/>
    </xf>
    <xf numFmtId="2" fontId="18" fillId="10" borderId="5" applyAlignment="1" pivotButton="0" quotePrefix="0" xfId="0">
      <alignment horizontal="center" vertical="center"/>
    </xf>
    <xf numFmtId="2" fontId="22" fillId="4" borderId="5" applyAlignment="1" pivotButton="0" quotePrefix="0" xfId="0">
      <alignment horizontal="center" vertical="center"/>
    </xf>
    <xf numFmtId="2" fontId="41" fillId="18" borderId="5" applyAlignment="1" pivotButton="0" quotePrefix="0" xfId="0">
      <alignment vertical="bottom"/>
    </xf>
    <xf numFmtId="0" fontId="20" fillId="18" borderId="5" applyAlignment="1" pivotButton="0" quotePrefix="0" xfId="0">
      <alignment vertical="bottom"/>
    </xf>
    <xf numFmtId="2" fontId="20" fillId="18" borderId="0" applyAlignment="1" pivotButton="0" quotePrefix="0" xfId="0">
      <alignment vertical="bottom"/>
    </xf>
    <xf numFmtId="0" fontId="22" fillId="4" borderId="5" applyAlignment="1" pivotButton="0" quotePrefix="0" xfId="0">
      <alignment horizontal="center" vertical="center"/>
    </xf>
    <xf numFmtId="2" fontId="20" fillId="18" borderId="5" applyAlignment="1" pivotButton="0" quotePrefix="0" xfId="0">
      <alignment vertical="bottom"/>
    </xf>
    <xf numFmtId="2" fontId="19" fillId="7" borderId="5" applyAlignment="1" pivotButton="0" quotePrefix="0" xfId="0">
      <alignment horizontal="center" vertical="center" wrapText="1"/>
    </xf>
    <xf numFmtId="2" fontId="17" fillId="30" borderId="21" applyAlignment="1" pivotButton="0" quotePrefix="0" xfId="0">
      <alignment horizontal="center" vertical="center"/>
    </xf>
    <xf numFmtId="2" fontId="17" fillId="32" borderId="2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42" fillId="0" borderId="5" applyAlignment="1" pivotButton="0" quotePrefix="0" xfId="0">
      <alignment vertical="center"/>
    </xf>
    <xf numFmtId="2" fontId="19" fillId="18" borderId="5" applyAlignment="1" pivotButton="0" quotePrefix="0" xfId="0">
      <alignment horizontal="center" vertical="center" wrapText="1"/>
    </xf>
    <xf numFmtId="2" fontId="19" fillId="32" borderId="5" applyAlignment="1" pivotButton="0" quotePrefix="0" xfId="0">
      <alignment horizontal="center" vertical="center" wrapText="1"/>
    </xf>
    <xf numFmtId="2" fontId="19" fillId="33" borderId="5" applyAlignment="1" pivotButton="0" quotePrefix="0" xfId="0">
      <alignment horizontal="center" vertical="center" wrapText="1"/>
    </xf>
    <xf numFmtId="0" fontId="15" fillId="28" borderId="5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2" fontId="19" fillId="31" borderId="5" applyAlignment="1" pivotButton="0" quotePrefix="0" xfId="0">
      <alignment horizontal="center" vertical="center" wrapText="1"/>
    </xf>
    <xf numFmtId="2" fontId="19" fillId="32" borderId="5" applyAlignment="1" pivotButton="0" quotePrefix="0" xfId="0">
      <alignment horizontal="center" vertical="center" wrapText="1"/>
    </xf>
    <xf numFmtId="2" fontId="19" fillId="33" borderId="5" applyAlignment="1" pivotButton="0" quotePrefix="0" xfId="0">
      <alignment horizontal="center" vertical="center" wrapText="1"/>
    </xf>
    <xf numFmtId="2" fontId="6" fillId="10" borderId="0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0" fontId="0" fillId="0" borderId="0" pivotButton="0" quotePrefix="0" xfId="0"/>
    <xf numFmtId="49" fontId="43" fillId="34" borderId="33" applyAlignment="1" pivotButton="0" quotePrefix="0" xfId="0">
      <alignment horizontal="center" vertical="center" wrapText="1"/>
    </xf>
    <xf numFmtId="0" fontId="44" fillId="0" borderId="34" pivotButton="0" quotePrefix="0" xfId="0"/>
    <xf numFmtId="0" fontId="44" fillId="0" borderId="35" pivotButton="0" quotePrefix="0" xfId="0"/>
    <xf numFmtId="49" fontId="45" fillId="35" borderId="33" applyAlignment="1" pivotButton="0" quotePrefix="0" xfId="0">
      <alignment horizontal="center" vertical="center"/>
    </xf>
    <xf numFmtId="49" fontId="46" fillId="36" borderId="33" applyAlignment="1" pivotButton="0" quotePrefix="0" xfId="0">
      <alignment horizontal="center" vertical="center" wrapText="1"/>
    </xf>
    <xf numFmtId="49" fontId="46" fillId="37" borderId="33" applyAlignment="1" pivotButton="0" quotePrefix="0" xfId="0">
      <alignment horizontal="center" vertical="center" wrapText="1"/>
    </xf>
    <xf numFmtId="49" fontId="46" fillId="38" borderId="33" applyAlignment="1" pivotButton="0" quotePrefix="0" xfId="0">
      <alignment horizontal="center" vertical="center" wrapText="1"/>
    </xf>
    <xf numFmtId="49" fontId="46" fillId="39" borderId="33" applyAlignment="1" pivotButton="0" quotePrefix="0" xfId="0">
      <alignment horizontal="center" vertical="center" wrapText="1"/>
    </xf>
    <xf numFmtId="49" fontId="46" fillId="40" borderId="33" applyAlignment="1" pivotButton="0" quotePrefix="0" xfId="0">
      <alignment horizontal="center" vertical="center" wrapText="1"/>
    </xf>
    <xf numFmtId="49" fontId="46" fillId="41" borderId="33" applyAlignment="1" pivotButton="0" quotePrefix="0" xfId="0">
      <alignment horizontal="center" vertical="center" wrapText="1"/>
    </xf>
    <xf numFmtId="49" fontId="46" fillId="42" borderId="33" applyAlignment="1" pivotButton="0" quotePrefix="0" xfId="0">
      <alignment horizontal="center" vertical="center" wrapText="1"/>
    </xf>
    <xf numFmtId="49" fontId="46" fillId="43" borderId="33" applyAlignment="1" pivotButton="0" quotePrefix="0" xfId="0">
      <alignment horizontal="center" vertical="center" wrapText="1"/>
    </xf>
    <xf numFmtId="49" fontId="46" fillId="44" borderId="33" applyAlignment="1" pivotButton="0" quotePrefix="0" xfId="0">
      <alignment horizontal="center" vertical="center" wrapText="1"/>
    </xf>
    <xf numFmtId="0" fontId="44" fillId="0" borderId="36" pivotButton="0" quotePrefix="0" xfId="0"/>
    <xf numFmtId="49" fontId="47" fillId="45" borderId="33" applyAlignment="1" pivotButton="0" quotePrefix="0" xfId="0">
      <alignment horizontal="center" vertical="center"/>
    </xf>
    <xf numFmtId="0" fontId="44" fillId="46" borderId="33" applyAlignment="1" pivotButton="0" quotePrefix="0" xfId="0">
      <alignment vertical="center"/>
    </xf>
    <xf numFmtId="49" fontId="44" fillId="46" borderId="33" applyAlignment="1" pivotButton="0" quotePrefix="0" xfId="0">
      <alignment vertical="center"/>
    </xf>
    <xf numFmtId="0" fontId="44" fillId="46" borderId="33" applyAlignment="1" pivotButton="0" quotePrefix="0" xfId="0">
      <alignment horizontal="center" vertical="center"/>
    </xf>
    <xf numFmtId="49" fontId="44" fillId="46" borderId="33" applyAlignment="1" pivotButton="0" quotePrefix="0" xfId="0">
      <alignment horizontal="center" vertical="center"/>
    </xf>
    <xf numFmtId="49" fontId="44" fillId="47" borderId="33" applyAlignment="1" pivotButton="0" quotePrefix="0" xfId="0">
      <alignment vertical="center"/>
    </xf>
    <xf numFmtId="0" fontId="44" fillId="48" borderId="33" applyAlignment="1" pivotButton="0" quotePrefix="0" xfId="0">
      <alignment horizontal="center" vertical="center"/>
    </xf>
    <xf numFmtId="0" fontId="23" fillId="14" borderId="17" applyAlignment="1" pivotButton="0" quotePrefix="0" xfId="0">
      <alignment vertical="bottom"/>
    </xf>
    <xf numFmtId="2" fontId="25" fillId="14" borderId="1" applyAlignment="1" pivotButton="0" quotePrefix="0" xfId="0">
      <alignment vertical="center" wrapText="1"/>
    </xf>
    <xf numFmtId="0" fontId="0" fillId="0" borderId="14" pivotButton="0" quotePrefix="0" xfId="0"/>
    <xf numFmtId="0" fontId="0" fillId="0" borderId="15" pivotButton="0" quotePrefix="0" xfId="0"/>
    <xf numFmtId="2" fontId="6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37" fillId="14" borderId="5" applyAlignment="1" pivotButton="0" quotePrefix="0" xfId="0">
      <alignment horizontal="left" vertical="center" wrapText="1"/>
    </xf>
    <xf numFmtId="0" fontId="39" fillId="14" borderId="5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39" pivotButton="0" quotePrefix="0" xfId="0"/>
    <xf numFmtId="0" fontId="0" fillId="0" borderId="43" pivotButton="0" quotePrefix="0" xfId="0"/>
    <xf numFmtId="49" fontId="48" fillId="36" borderId="33" applyAlignment="1" pivotButton="0" quotePrefix="0" xfId="0">
      <alignment horizontal="center" vertical="center" wrapText="1"/>
    </xf>
    <xf numFmtId="49" fontId="48" fillId="37" borderId="33" applyAlignment="1" pivotButton="0" quotePrefix="0" xfId="0">
      <alignment horizontal="center" vertical="center" wrapText="1"/>
    </xf>
    <xf numFmtId="49" fontId="48" fillId="38" borderId="33" applyAlignment="1" pivotButton="0" quotePrefix="0" xfId="0">
      <alignment horizontal="center" vertical="center" wrapText="1"/>
    </xf>
    <xf numFmtId="49" fontId="48" fillId="39" borderId="33" applyAlignment="1" pivotButton="0" quotePrefix="0" xfId="0">
      <alignment horizontal="center" vertical="center" wrapText="1"/>
    </xf>
    <xf numFmtId="49" fontId="48" fillId="40" borderId="33" applyAlignment="1" pivotButton="0" quotePrefix="0" xfId="0">
      <alignment horizontal="center" vertical="center" wrapText="1"/>
    </xf>
    <xf numFmtId="49" fontId="48" fillId="41" borderId="33" applyAlignment="1" pivotButton="0" quotePrefix="0" xfId="0">
      <alignment horizontal="center" vertical="center" wrapText="1"/>
    </xf>
    <xf numFmtId="49" fontId="48" fillId="42" borderId="33" applyAlignment="1" pivotButton="0" quotePrefix="0" xfId="0">
      <alignment horizontal="center" vertical="center" wrapText="1"/>
    </xf>
    <xf numFmtId="49" fontId="48" fillId="43" borderId="33" applyAlignment="1" pivotButton="0" quotePrefix="0" xfId="0">
      <alignment horizontal="center" vertical="center" wrapText="1"/>
    </xf>
    <xf numFmtId="49" fontId="48" fillId="44" borderId="33" applyAlignment="1" pivotButton="0" quotePrefix="0" xfId="0">
      <alignment horizontal="center" vertical="center" wrapText="1"/>
    </xf>
    <xf numFmtId="49" fontId="48" fillId="45" borderId="33" applyAlignment="1" pivotButton="0" quotePrefix="0" xfId="0">
      <alignment horizontal="center" vertical="center" wrapText="1"/>
    </xf>
    <xf numFmtId="49" fontId="49" fillId="49" borderId="33" applyAlignment="1" pivotButton="0" quotePrefix="0" xfId="0">
      <alignment horizontal="center" vertical="center"/>
    </xf>
    <xf numFmtId="49" fontId="48" fillId="35" borderId="33" applyAlignment="1" pivotButton="0" quotePrefix="0" xfId="0">
      <alignment horizontal="center" vertical="center" wrapText="1"/>
    </xf>
    <xf numFmtId="49" fontId="49" fillId="45" borderId="33" applyAlignment="1" pivotButton="0" quotePrefix="0" xfId="0">
      <alignment horizontal="center" vertical="center"/>
    </xf>
    <xf numFmtId="49" fontId="50" fillId="36" borderId="33" applyAlignment="1" pivotButton="0" quotePrefix="0" xfId="0">
      <alignment horizontal="center" vertical="center" wrapText="1"/>
    </xf>
    <xf numFmtId="49" fontId="50" fillId="37" borderId="33" applyAlignment="1" pivotButton="0" quotePrefix="0" xfId="0">
      <alignment horizontal="center" vertical="center" wrapText="1"/>
    </xf>
    <xf numFmtId="49" fontId="50" fillId="38" borderId="33" applyAlignment="1" pivotButton="0" quotePrefix="0" xfId="0">
      <alignment horizontal="center" vertical="center" wrapText="1"/>
    </xf>
    <xf numFmtId="49" fontId="50" fillId="39" borderId="33" applyAlignment="1" pivotButton="0" quotePrefix="0" xfId="0">
      <alignment horizontal="center" vertical="center" wrapText="1"/>
    </xf>
    <xf numFmtId="49" fontId="50" fillId="40" borderId="33" applyAlignment="1" pivotButton="0" quotePrefix="0" xfId="0">
      <alignment horizontal="center" vertical="center" wrapText="1"/>
    </xf>
    <xf numFmtId="49" fontId="50" fillId="41" borderId="33" applyAlignment="1" pivotButton="0" quotePrefix="0" xfId="0">
      <alignment horizontal="center" vertical="center" wrapText="1"/>
    </xf>
    <xf numFmtId="49" fontId="50" fillId="42" borderId="33" applyAlignment="1" pivotButton="0" quotePrefix="0" xfId="0">
      <alignment horizontal="center" vertical="center" wrapText="1"/>
    </xf>
    <xf numFmtId="49" fontId="50" fillId="43" borderId="33" applyAlignment="1" pivotButton="0" quotePrefix="0" xfId="0">
      <alignment horizontal="center" vertical="center" wrapText="1"/>
    </xf>
    <xf numFmtId="49" fontId="50" fillId="44" borderId="33" applyAlignment="1" pivotButton="0" quotePrefix="0" xfId="0">
      <alignment horizontal="center" vertical="center" wrapText="1"/>
    </xf>
    <xf numFmtId="49" fontId="51" fillId="36" borderId="33" applyAlignment="1" pivotButton="0" quotePrefix="0" xfId="0">
      <alignment horizontal="center" vertical="center"/>
    </xf>
    <xf numFmtId="49" fontId="51" fillId="37" borderId="33" applyAlignment="1" pivotButton="0" quotePrefix="0" xfId="0">
      <alignment horizontal="center" vertical="center"/>
    </xf>
    <xf numFmtId="49" fontId="51" fillId="38" borderId="33" applyAlignment="1" pivotButton="0" quotePrefix="0" xfId="0">
      <alignment horizontal="center" vertical="center"/>
    </xf>
    <xf numFmtId="49" fontId="51" fillId="39" borderId="33" applyAlignment="1" pivotButton="0" quotePrefix="0" xfId="0">
      <alignment horizontal="center" vertical="center"/>
    </xf>
    <xf numFmtId="49" fontId="51" fillId="40" borderId="33" applyAlignment="1" pivotButton="0" quotePrefix="0" xfId="0">
      <alignment horizontal="center" vertical="center"/>
    </xf>
    <xf numFmtId="49" fontId="51" fillId="41" borderId="33" applyAlignment="1" pivotButton="0" quotePrefix="0" xfId="0">
      <alignment horizontal="center" vertical="center"/>
    </xf>
    <xf numFmtId="49" fontId="51" fillId="42" borderId="33" applyAlignment="1" pivotButton="0" quotePrefix="0" xfId="0">
      <alignment horizontal="center" vertical="center"/>
    </xf>
    <xf numFmtId="0" fontId="52" fillId="46" borderId="33" applyAlignment="1" pivotButton="0" quotePrefix="0" xfId="0">
      <alignment vertical="center"/>
    </xf>
    <xf numFmtId="49" fontId="52" fillId="46" borderId="33" applyAlignment="1" pivotButton="0" quotePrefix="0" xfId="0">
      <alignment vertical="center"/>
    </xf>
    <xf numFmtId="0" fontId="46" fillId="36" borderId="33" applyAlignment="1" pivotButton="0" quotePrefix="0" xfId="0">
      <alignment horizontal="center" vertical="center"/>
    </xf>
    <xf numFmtId="49" fontId="46" fillId="36" borderId="33" applyAlignment="1" pivotButton="0" quotePrefix="0" xfId="0">
      <alignment horizontal="center" vertical="center"/>
    </xf>
    <xf numFmtId="0" fontId="46" fillId="37" borderId="33" applyAlignment="1" pivotButton="0" quotePrefix="0" xfId="0">
      <alignment horizontal="center" vertical="center"/>
    </xf>
    <xf numFmtId="49" fontId="46" fillId="37" borderId="33" applyAlignment="1" pivotButton="0" quotePrefix="0" xfId="0">
      <alignment horizontal="center" vertical="center"/>
    </xf>
    <xf numFmtId="0" fontId="46" fillId="38" borderId="33" applyAlignment="1" pivotButton="0" quotePrefix="0" xfId="0">
      <alignment horizontal="center" vertical="center"/>
    </xf>
    <xf numFmtId="49" fontId="46" fillId="38" borderId="33" applyAlignment="1" pivotButton="0" quotePrefix="0" xfId="0">
      <alignment horizontal="center" vertical="center"/>
    </xf>
    <xf numFmtId="0" fontId="46" fillId="39" borderId="33" applyAlignment="1" pivotButton="0" quotePrefix="0" xfId="0">
      <alignment horizontal="center" vertical="center"/>
    </xf>
    <xf numFmtId="49" fontId="46" fillId="39" borderId="33" applyAlignment="1" pivotButton="0" quotePrefix="0" xfId="0">
      <alignment horizontal="center" vertical="center"/>
    </xf>
    <xf numFmtId="0" fontId="46" fillId="40" borderId="33" applyAlignment="1" pivotButton="0" quotePrefix="0" xfId="0">
      <alignment horizontal="center" vertical="center"/>
    </xf>
    <xf numFmtId="49" fontId="46" fillId="40" borderId="33" applyAlignment="1" pivotButton="0" quotePrefix="0" xfId="0">
      <alignment horizontal="center" vertical="center"/>
    </xf>
    <xf numFmtId="0" fontId="46" fillId="41" borderId="33" applyAlignment="1" pivotButton="0" quotePrefix="0" xfId="0">
      <alignment horizontal="center" vertical="center"/>
    </xf>
    <xf numFmtId="49" fontId="46" fillId="41" borderId="33" applyAlignment="1" pivotButton="0" quotePrefix="0" xfId="0">
      <alignment horizontal="center" vertical="center"/>
    </xf>
    <xf numFmtId="0" fontId="46" fillId="42" borderId="33" applyAlignment="1" pivotButton="0" quotePrefix="0" xfId="0">
      <alignment horizontal="center" vertical="center"/>
    </xf>
    <xf numFmtId="49" fontId="46" fillId="42" borderId="33" applyAlignment="1" pivotButton="0" quotePrefix="0" xfId="0">
      <alignment horizontal="center" vertical="center"/>
    </xf>
    <xf numFmtId="49" fontId="46" fillId="43" borderId="33" applyAlignment="1" pivotButton="0" quotePrefix="0" xfId="0">
      <alignment horizontal="center" vertical="center"/>
    </xf>
    <xf numFmtId="0" fontId="52" fillId="43" borderId="33" applyAlignment="1" pivotButton="0" quotePrefix="0" xfId="0">
      <alignment horizontal="center" vertical="center"/>
    </xf>
    <xf numFmtId="49" fontId="52" fillId="43" borderId="33" applyAlignment="1" pivotButton="0" quotePrefix="0" xfId="0">
      <alignment horizontal="center" vertical="center"/>
    </xf>
    <xf numFmtId="49" fontId="48" fillId="43" borderId="33" applyAlignment="1" pivotButton="0" quotePrefix="0" xfId="0">
      <alignment horizontal="center" vertical="center"/>
    </xf>
    <xf numFmtId="49" fontId="52" fillId="47" borderId="33" applyAlignment="1" pivotButton="0" quotePrefix="0" xfId="0">
      <alignment vertical="center"/>
    </xf>
    <xf numFmtId="0" fontId="46" fillId="48" borderId="33" applyAlignment="1" pivotButton="0" quotePrefix="0" xfId="0">
      <alignment horizontal="center" vertical="center"/>
    </xf>
    <xf numFmtId="0" fontId="52" fillId="48" borderId="33" applyAlignment="1" pivotButton="0" quotePrefix="0" xfId="0">
      <alignment horizontal="center" vertical="center"/>
    </xf>
    <xf numFmtId="49" fontId="53" fillId="46" borderId="33" applyAlignment="1" pivotButton="0" quotePrefix="0" xfId="0">
      <alignment vertical="center"/>
    </xf>
    <xf numFmtId="0" fontId="53" fillId="36" borderId="33" applyAlignment="1" pivotButton="0" quotePrefix="0" xfId="0">
      <alignment horizontal="center" vertical="center"/>
    </xf>
    <xf numFmtId="49" fontId="53" fillId="36" borderId="33" applyAlignment="1" pivotButton="0" quotePrefix="0" xfId="0">
      <alignment horizontal="center" vertical="center"/>
    </xf>
    <xf numFmtId="0" fontId="53" fillId="37" borderId="33" applyAlignment="1" pivotButton="0" quotePrefix="0" xfId="0">
      <alignment horizontal="center" vertical="center"/>
    </xf>
    <xf numFmtId="49" fontId="53" fillId="37" borderId="33" applyAlignment="1" pivotButton="0" quotePrefix="0" xfId="0">
      <alignment horizontal="center" vertical="center"/>
    </xf>
    <xf numFmtId="0" fontId="53" fillId="38" borderId="33" applyAlignment="1" pivotButton="0" quotePrefix="0" xfId="0">
      <alignment horizontal="center" vertical="center"/>
    </xf>
    <xf numFmtId="49" fontId="53" fillId="38" borderId="33" applyAlignment="1" pivotButton="0" quotePrefix="0" xfId="0">
      <alignment horizontal="center" vertical="center"/>
    </xf>
    <xf numFmtId="0" fontId="53" fillId="39" borderId="33" applyAlignment="1" pivotButton="0" quotePrefix="0" xfId="0">
      <alignment horizontal="center" vertical="center"/>
    </xf>
    <xf numFmtId="49" fontId="53" fillId="39" borderId="33" applyAlignment="1" pivotButton="0" quotePrefix="0" xfId="0">
      <alignment horizontal="center" vertical="center"/>
    </xf>
    <xf numFmtId="0" fontId="53" fillId="40" borderId="33" applyAlignment="1" pivotButton="0" quotePrefix="0" xfId="0">
      <alignment horizontal="center" vertical="center"/>
    </xf>
    <xf numFmtId="49" fontId="53" fillId="40" borderId="33" applyAlignment="1" pivotButton="0" quotePrefix="0" xfId="0">
      <alignment horizontal="center" vertical="center"/>
    </xf>
    <xf numFmtId="0" fontId="53" fillId="41" borderId="33" applyAlignment="1" pivotButton="0" quotePrefix="0" xfId="0">
      <alignment horizontal="center" vertical="center"/>
    </xf>
    <xf numFmtId="49" fontId="53" fillId="41" borderId="33" applyAlignment="1" pivotButton="0" quotePrefix="0" xfId="0">
      <alignment horizontal="center" vertical="center"/>
    </xf>
    <xf numFmtId="0" fontId="53" fillId="42" borderId="33" applyAlignment="1" pivotButton="0" quotePrefix="0" xfId="0">
      <alignment horizontal="center" vertical="center"/>
    </xf>
    <xf numFmtId="49" fontId="53" fillId="42" borderId="33" applyAlignment="1" pivotButton="0" quotePrefix="0" xfId="0">
      <alignment horizontal="center" vertical="center"/>
    </xf>
    <xf numFmtId="49" fontId="53" fillId="43" borderId="33" applyAlignment="1" pivotButton="0" quotePrefix="0" xfId="0">
      <alignment horizontal="center" vertical="center"/>
    </xf>
    <xf numFmtId="0" fontId="53" fillId="43" borderId="33" applyAlignment="1" pivotButton="0" quotePrefix="0" xfId="0">
      <alignment horizontal="center" vertical="center"/>
    </xf>
    <xf numFmtId="0" fontId="54" fillId="50" borderId="44" applyAlignment="1" pivotButton="0" quotePrefix="0" xfId="0">
      <alignment horizontal="center" vertical="center" wrapText="1"/>
    </xf>
    <xf numFmtId="0" fontId="55" fillId="0" borderId="45" pivotButton="0" quotePrefix="0" xfId="0"/>
    <xf numFmtId="0" fontId="55" fillId="0" borderId="46" pivotButton="0" quotePrefix="0" xfId="0"/>
    <xf numFmtId="0" fontId="56" fillId="51" borderId="44" applyAlignment="1" pivotButton="0" quotePrefix="0" xfId="0">
      <alignment horizontal="center" vertical="center"/>
    </xf>
    <xf numFmtId="0" fontId="57" fillId="52" borderId="44" applyAlignment="1" pivotButton="0" quotePrefix="0" xfId="0">
      <alignment horizontal="center" vertical="center" wrapText="1"/>
    </xf>
    <xf numFmtId="0" fontId="58" fillId="53" borderId="44" applyAlignment="1" pivotButton="0" quotePrefix="0" xfId="0">
      <alignment horizontal="center" vertical="center" wrapText="1"/>
    </xf>
    <xf numFmtId="0" fontId="57" fillId="54" borderId="44" applyAlignment="1" pivotButton="0" quotePrefix="0" xfId="0">
      <alignment horizontal="center" vertical="center" wrapText="1"/>
    </xf>
    <xf numFmtId="0" fontId="57" fillId="55" borderId="44" applyAlignment="1" pivotButton="0" quotePrefix="0" xfId="0">
      <alignment horizontal="center" vertical="center" wrapText="1"/>
    </xf>
    <xf numFmtId="0" fontId="58" fillId="56" borderId="44" applyAlignment="1" pivotButton="0" quotePrefix="0" xfId="0">
      <alignment horizontal="center" vertical="center" wrapText="1"/>
    </xf>
    <xf numFmtId="0" fontId="57" fillId="57" borderId="44" applyAlignment="1" pivotButton="0" quotePrefix="0" xfId="0">
      <alignment horizontal="center" vertical="center" wrapText="1"/>
    </xf>
    <xf numFmtId="0" fontId="57" fillId="58" borderId="44" applyAlignment="1" pivotButton="0" quotePrefix="0" xfId="0">
      <alignment horizontal="center" vertical="center" wrapText="1"/>
    </xf>
    <xf numFmtId="0" fontId="57" fillId="59" borderId="44" applyAlignment="1" pivotButton="0" quotePrefix="0" xfId="0">
      <alignment horizontal="center" vertical="center" wrapText="1"/>
    </xf>
    <xf numFmtId="0" fontId="57" fillId="60" borderId="44" applyAlignment="1" pivotButton="0" quotePrefix="0" xfId="0">
      <alignment horizontal="center" vertical="center" textRotation="90" wrapText="1"/>
    </xf>
    <xf numFmtId="0" fontId="55" fillId="0" borderId="47" pivotButton="0" quotePrefix="0" xfId="0"/>
    <xf numFmtId="0" fontId="59" fillId="61" borderId="44" applyAlignment="1" pivotButton="0" quotePrefix="0" xfId="0">
      <alignment horizontal="center" vertical="center"/>
    </xf>
    <xf numFmtId="0" fontId="60" fillId="0" borderId="44" applyAlignment="1" pivotButton="0" quotePrefix="0" xfId="0">
      <alignment horizontal="center" vertical="center"/>
    </xf>
    <xf numFmtId="0" fontId="60" fillId="0" borderId="44" applyAlignment="1" pivotButton="0" quotePrefix="0" xfId="0">
      <alignment horizontal="left" vertical="center"/>
    </xf>
    <xf numFmtId="0" fontId="61" fillId="52" borderId="44" applyAlignment="1" pivotButton="0" quotePrefix="0" xfId="0">
      <alignment horizontal="center" vertical="center"/>
    </xf>
    <xf numFmtId="0" fontId="61" fillId="62" borderId="44" applyAlignment="1" pivotButton="0" quotePrefix="0" xfId="0">
      <alignment horizontal="center" vertical="center"/>
    </xf>
    <xf numFmtId="0" fontId="61" fillId="55" borderId="44" applyAlignment="1" pivotButton="0" quotePrefix="0" xfId="0">
      <alignment horizontal="center" vertical="center"/>
    </xf>
    <xf numFmtId="0" fontId="61" fillId="60" borderId="44" applyAlignment="1" pivotButton="0" quotePrefix="0" xfId="0">
      <alignment horizontal="center" vertical="center"/>
    </xf>
    <xf numFmtId="0" fontId="61" fillId="47" borderId="44" applyAlignment="1" pivotButton="0" quotePrefix="0" xfId="0">
      <alignment horizontal="center" vertical="center"/>
    </xf>
    <xf numFmtId="0" fontId="61" fillId="63" borderId="44" applyAlignment="1" pivotButton="0" quotePrefix="0" xfId="0">
      <alignment horizontal="center" vertical="center"/>
    </xf>
    <xf numFmtId="0" fontId="61" fillId="0" borderId="44" applyAlignment="1" pivotButton="0" quotePrefix="0" xfId="0">
      <alignment horizontal="center" vertical="center"/>
    </xf>
    <xf numFmtId="0" fontId="57" fillId="0" borderId="44" applyAlignment="1" pivotButton="0" quotePrefix="0" xfId="0">
      <alignment horizontal="center" vertical="center"/>
    </xf>
    <xf numFmtId="0" fontId="60" fillId="47" borderId="44" applyAlignment="1" pivotButton="0" quotePrefix="0" xfId="0">
      <alignment horizontal="left" vertical="center"/>
    </xf>
    <xf numFmtId="0" fontId="61" fillId="48" borderId="44" applyAlignment="1" pivotButton="0" quotePrefix="0" xfId="0">
      <alignment horizontal="center" vertical="center"/>
    </xf>
    <xf numFmtId="0" fontId="62" fillId="0" borderId="44" applyAlignment="1" pivotButton="0" quotePrefix="0" xfId="0">
      <alignment horizontal="center" vertical="center"/>
    </xf>
    <xf numFmtId="0" fontId="62" fillId="52" borderId="44" applyAlignment="1" pivotButton="0" quotePrefix="0" xfId="0">
      <alignment horizontal="center" vertical="center"/>
    </xf>
    <xf numFmtId="0" fontId="62" fillId="62" borderId="44" applyAlignment="1" pivotButton="0" quotePrefix="0" xfId="0">
      <alignment horizontal="center" vertical="center"/>
    </xf>
    <xf numFmtId="0" fontId="62" fillId="55" borderId="44" applyAlignment="1" pivotButton="0" quotePrefix="0" xfId="0">
      <alignment horizontal="center" vertical="center"/>
    </xf>
    <xf numFmtId="0" fontId="62" fillId="60" borderId="44" applyAlignment="1" pivotButton="0" quotePrefix="0" xfId="0">
      <alignment horizontal="center" vertical="center"/>
    </xf>
    <xf numFmtId="0" fontId="62" fillId="47" borderId="44" applyAlignment="1" pivotButton="0" quotePrefix="0" xfId="0">
      <alignment horizontal="center" vertical="center"/>
    </xf>
    <xf numFmtId="0" fontId="62" fillId="63" borderId="44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0" pivotButton="0" quotePrefix="0" xfId="0"/>
    <xf numFmtId="0" fontId="0" fillId="0" borderId="54" pivotButton="0" quotePrefix="0" xfId="0"/>
    <xf numFmtId="49" fontId="63" fillId="64" borderId="33" applyAlignment="1" pivotButton="0" quotePrefix="0" xfId="0">
      <alignment horizontal="left" vertical="center"/>
    </xf>
    <xf numFmtId="0" fontId="64" fillId="46" borderId="33" applyAlignment="1" pivotButton="0" quotePrefix="0" xfId="0">
      <alignment vertical="center"/>
    </xf>
    <xf numFmtId="49" fontId="64" fillId="46" borderId="33" applyAlignment="1" pivotButton="0" quotePrefix="0" xfId="0">
      <alignment vertical="center"/>
    </xf>
    <xf numFmtId="49" fontId="64" fillId="47" borderId="33" applyAlignment="1" pivotButton="0" quotePrefix="0" xfId="0">
      <alignment vertical="center"/>
    </xf>
    <xf numFmtId="0" fontId="48" fillId="46" borderId="33" applyAlignment="1" pivotButton="0" quotePrefix="0" xfId="0">
      <alignment horizontal="center" vertical="center"/>
    </xf>
    <xf numFmtId="49" fontId="48" fillId="46" borderId="33" applyAlignment="1" pivotButton="0" quotePrefix="0" xfId="0">
      <alignment horizontal="center" vertical="center"/>
    </xf>
    <xf numFmtId="0" fontId="48" fillId="48" borderId="33" applyAlignment="1" pivotButton="0" quotePrefix="0" xfId="0">
      <alignment horizontal="center" vertical="center"/>
    </xf>
    <xf numFmtId="49" fontId="64" fillId="46" borderId="33" applyAlignment="1" pivotButton="0" quotePrefix="0" xfId="0">
      <alignment horizontal="center" vertical="center"/>
    </xf>
    <xf numFmtId="0" fontId="54" fillId="65" borderId="55" applyAlignment="1" pivotButton="0" quotePrefix="0" xfId="0">
      <alignment horizontal="center" vertical="center" wrapText="1"/>
    </xf>
    <xf numFmtId="0" fontId="65" fillId="66" borderId="55" applyAlignment="1" pivotButton="0" quotePrefix="0" xfId="0">
      <alignment horizontal="center" vertical="center" textRotation="90"/>
    </xf>
    <xf numFmtId="0" fontId="61" fillId="0" borderId="55" applyAlignment="1" pivotButton="0" quotePrefix="0" xfId="0">
      <alignment horizontal="center" vertical="center"/>
    </xf>
    <xf numFmtId="0" fontId="66" fillId="67" borderId="55" applyAlignment="1" pivotButton="0" quotePrefix="0" xfId="0">
      <alignment horizontal="center" vertical="center" textRotation="90" wrapText="1"/>
    </xf>
    <xf numFmtId="0" fontId="62" fillId="0" borderId="55" applyAlignment="1" pivotButton="0" quotePrefix="0" xfId="0">
      <alignment horizontal="center" vertical="center"/>
    </xf>
    <xf numFmtId="0" fontId="66" fillId="66" borderId="55" applyAlignment="1" pivotButton="0" quotePrefix="0" xfId="0">
      <alignment horizontal="center" vertical="center" textRotation="90" wrapText="1"/>
    </xf>
    <xf numFmtId="0" fontId="61" fillId="68" borderId="44" applyAlignment="1" pivotButton="0" quotePrefix="0" xfId="0">
      <alignment horizontal="center" vertical="center" wrapText="1"/>
    </xf>
    <xf numFmtId="0" fontId="61" fillId="69" borderId="44" applyAlignment="1" pivotButton="0" quotePrefix="0" xfId="0">
      <alignment horizontal="center" vertical="center" textRotation="90" wrapText="1"/>
    </xf>
    <xf numFmtId="0" fontId="61" fillId="70" borderId="44" applyAlignment="1" pivotButton="0" quotePrefix="0" xfId="0">
      <alignment horizontal="center" vertical="center" textRotation="90" wrapText="1"/>
    </xf>
    <xf numFmtId="0" fontId="61" fillId="71" borderId="44" applyAlignment="1" pivotButton="0" quotePrefix="0" xfId="0">
      <alignment horizontal="center" vertical="center" textRotation="90" wrapText="1"/>
    </xf>
    <xf numFmtId="0" fontId="61" fillId="72" borderId="44" applyAlignment="1" pivotButton="0" quotePrefix="0" xfId="0">
      <alignment horizontal="center" vertical="center" textRotation="90" wrapText="1"/>
    </xf>
    <xf numFmtId="0" fontId="61" fillId="73" borderId="44" applyAlignment="1" pivotButton="0" quotePrefix="0" xfId="0">
      <alignment horizontal="center" vertical="center" textRotation="90" wrapText="1"/>
    </xf>
    <xf numFmtId="0" fontId="61" fillId="57" borderId="44" applyAlignment="1" pivotButton="0" quotePrefix="0" xfId="0">
      <alignment horizontal="center" vertical="center" textRotation="90" wrapText="1"/>
    </xf>
    <xf numFmtId="0" fontId="61" fillId="74" borderId="44" applyAlignment="1" pivotButton="0" quotePrefix="0" xfId="0">
      <alignment horizontal="center" vertical="center" textRotation="90" wrapText="1"/>
    </xf>
    <xf numFmtId="0" fontId="61" fillId="75" borderId="44" applyAlignment="1" pivotButton="0" quotePrefix="0" xfId="0">
      <alignment horizontal="center" vertical="center" textRotation="90" wrapText="1"/>
    </xf>
    <xf numFmtId="0" fontId="61" fillId="76" borderId="44" applyAlignment="1" pivotButton="0" quotePrefix="0" xfId="0">
      <alignment horizontal="center" vertical="center" textRotation="90" wrapText="1"/>
    </xf>
    <xf numFmtId="0" fontId="61" fillId="66" borderId="44" applyAlignment="1" pivotButton="0" quotePrefix="0" xfId="0">
      <alignment horizontal="center" vertical="center" textRotation="90" wrapText="1"/>
    </xf>
    <xf numFmtId="0" fontId="61" fillId="77" borderId="44" applyAlignment="1" pivotButton="0" quotePrefix="0" xfId="0">
      <alignment horizontal="center" vertical="center" textRotation="90" wrapText="1"/>
    </xf>
    <xf numFmtId="0" fontId="55" fillId="0" borderId="44" applyAlignment="1" pivotButton="0" quotePrefix="0" xfId="0">
      <alignment vertical="center"/>
    </xf>
    <xf numFmtId="0" fontId="55" fillId="47" borderId="44" applyAlignment="1" pivotButton="0" quotePrefix="0" xfId="0">
      <alignment vertical="center"/>
    </xf>
    <xf numFmtId="0" fontId="55" fillId="0" borderId="44" applyAlignment="1" pivotButton="0" quotePrefix="0" xfId="0">
      <alignment horizontal="center" vertical="center"/>
    </xf>
    <xf numFmtId="0" fontId="55" fillId="48" borderId="44" applyAlignment="1" pivotButton="0" quotePrefix="0" xfId="0">
      <alignment horizontal="center" vertical="center"/>
    </xf>
    <xf numFmtId="0" fontId="65" fillId="67" borderId="55" applyAlignment="1" pivotButton="0" quotePrefix="0" xfId="0">
      <alignment horizontal="center" vertical="center" textRotation="90"/>
    </xf>
    <xf numFmtId="0" fontId="57" fillId="68" borderId="44" applyAlignment="1" pivotButton="0" quotePrefix="0" xfId="0">
      <alignment horizontal="center" vertical="center" wrapText="1"/>
    </xf>
    <xf numFmtId="0" fontId="57" fillId="72" borderId="44" applyAlignment="1" pivotButton="0" quotePrefix="0" xfId="0">
      <alignment horizontal="center" vertical="center" textRotation="90" wrapText="1"/>
    </xf>
    <xf numFmtId="0" fontId="57" fillId="68" borderId="44" applyAlignment="1" pivotButton="0" quotePrefix="0" xfId="0">
      <alignment horizontal="center" vertical="center" textRotation="90" wrapText="1"/>
    </xf>
    <xf numFmtId="0" fontId="57" fillId="62" borderId="44" applyAlignment="1" pivotButton="0" quotePrefix="0" xfId="0">
      <alignment horizontal="center" vertical="center" textRotation="90" wrapText="1"/>
    </xf>
    <xf numFmtId="0" fontId="57" fillId="63" borderId="44" applyAlignment="1" pivotButton="0" quotePrefix="0" xfId="0">
      <alignment horizontal="center" vertical="center" textRotation="90" wrapText="1"/>
    </xf>
    <xf numFmtId="0" fontId="57" fillId="78" borderId="44" applyAlignment="1" pivotButton="0" quotePrefix="0" xfId="0">
      <alignment horizontal="center" vertical="center" textRotation="90" wrapText="1"/>
    </xf>
    <xf numFmtId="0" fontId="67" fillId="0" borderId="44" applyAlignment="1" pivotButton="0" quotePrefix="0" xfId="0">
      <alignment horizontal="center" vertical="center"/>
    </xf>
    <xf numFmtId="0" fontId="67" fillId="48" borderId="44" applyAlignment="1" pivotButton="0" quotePrefix="0" xfId="0">
      <alignment horizontal="center" vertical="center"/>
    </xf>
    <xf numFmtId="0" fontId="68" fillId="0" borderId="44" applyAlignment="1" pivotButton="0" quotePrefix="0" xfId="0">
      <alignment vertical="center"/>
    </xf>
    <xf numFmtId="0" fontId="68" fillId="0" borderId="44" applyAlignment="1" pivotButton="0" quotePrefix="0" xfId="0">
      <alignment horizontal="center" vertical="center"/>
    </xf>
    <xf numFmtId="0" fontId="65" fillId="79" borderId="55" applyAlignment="1" pivotButton="0" quotePrefix="0" xfId="0">
      <alignment horizontal="center" vertical="center" textRotation="90"/>
    </xf>
    <xf numFmtId="0" fontId="66" fillId="80" borderId="55" applyAlignment="1" pivotButton="0" quotePrefix="0" xfId="0">
      <alignment horizontal="center" vertical="center" textRotation="90" wrapText="1"/>
    </xf>
    <xf numFmtId="0" fontId="68" fillId="0" borderId="55" applyAlignment="1" pivotButton="0" quotePrefix="0" xfId="0">
      <alignment horizontal="center" vertical="center"/>
    </xf>
    <xf numFmtId="0" fontId="68" fillId="0" borderId="55" applyAlignment="1" pivotButton="0" quotePrefix="0" xfId="0">
      <alignment horizontal="left" vertical="center"/>
    </xf>
    <xf numFmtId="0" fontId="61" fillId="81" borderId="44" applyAlignment="1" pivotButton="0" quotePrefix="0" xfId="0">
      <alignment horizontal="center" vertical="center" textRotation="90" wrapText="1"/>
    </xf>
    <xf numFmtId="0" fontId="61" fillId="78" borderId="44" applyAlignment="1" pivotButton="0" quotePrefix="0" xfId="0">
      <alignment horizontal="center" vertical="center" textRotation="90" wrapText="1"/>
    </xf>
    <xf numFmtId="0" fontId="61" fillId="82" borderId="44" applyAlignment="1" pivotButton="0" quotePrefix="0" xfId="0">
      <alignment horizontal="center" vertical="center" textRotation="90" wrapText="1"/>
    </xf>
    <xf numFmtId="0" fontId="61" fillId="83" borderId="44" applyAlignment="1" pivotButton="0" quotePrefix="0" xfId="0">
      <alignment horizontal="center" vertical="center" textRotation="90" wrapText="1"/>
    </xf>
    <xf numFmtId="0" fontId="61" fillId="59" borderId="44" applyAlignment="1" pivotButton="0" quotePrefix="0" xfId="0">
      <alignment horizontal="center" vertical="center" textRotation="90" wrapText="1"/>
    </xf>
    <xf numFmtId="0" fontId="61" fillId="84" borderId="44" applyAlignment="1" pivotButton="0" quotePrefix="0" xfId="0">
      <alignment horizontal="center" vertical="center" textRotation="90" wrapText="1"/>
    </xf>
    <xf numFmtId="0" fontId="61" fillId="85" borderId="44" applyAlignment="1" pivotButton="0" quotePrefix="0" xfId="0">
      <alignment horizontal="center" vertical="center" textRotation="90" wrapText="1"/>
    </xf>
    <xf numFmtId="49" fontId="43" fillId="64" borderId="33" applyAlignment="1" pivotButton="0" quotePrefix="0" xfId="0">
      <alignment horizontal="center" vertical="center" wrapText="1"/>
    </xf>
    <xf numFmtId="49" fontId="69" fillId="34" borderId="33" applyAlignment="1" pivotButton="0" quotePrefix="0" xfId="0">
      <alignment horizontal="center" vertical="center"/>
    </xf>
    <xf numFmtId="49" fontId="70" fillId="64" borderId="33" applyAlignment="1" pivotButton="0" quotePrefix="0" xfId="0">
      <alignment horizontal="center" vertical="center" wrapText="1"/>
    </xf>
    <xf numFmtId="49" fontId="46" fillId="35" borderId="33" applyAlignment="1" pivotButton="0" quotePrefix="0" xfId="0">
      <alignment horizontal="center" vertical="center" wrapText="1"/>
    </xf>
    <xf numFmtId="49" fontId="48" fillId="35" borderId="33" applyAlignment="1" pivotButton="0" quotePrefix="0" xfId="0">
      <alignment horizontal="center" vertical="center"/>
    </xf>
    <xf numFmtId="49" fontId="48" fillId="36" borderId="33" applyAlignment="1" pivotButton="0" quotePrefix="0" xfId="0">
      <alignment horizontal="center" vertical="center"/>
    </xf>
    <xf numFmtId="49" fontId="48" fillId="37" borderId="33" applyAlignment="1" pivotButton="0" quotePrefix="0" xfId="0">
      <alignment horizontal="center" vertical="center"/>
    </xf>
    <xf numFmtId="49" fontId="48" fillId="38" borderId="33" applyAlignment="1" pivotButton="0" quotePrefix="0" xfId="0">
      <alignment horizontal="center" vertical="center"/>
    </xf>
    <xf numFmtId="49" fontId="48" fillId="39" borderId="33" applyAlignment="1" pivotButton="0" quotePrefix="0" xfId="0">
      <alignment horizontal="center" vertical="center"/>
    </xf>
    <xf numFmtId="49" fontId="48" fillId="40" borderId="33" applyAlignment="1" pivotButton="0" quotePrefix="0" xfId="0">
      <alignment horizontal="center" vertical="center"/>
    </xf>
    <xf numFmtId="49" fontId="48" fillId="41" borderId="33" applyAlignment="1" pivotButton="0" quotePrefix="0" xfId="0">
      <alignment horizontal="center" vertical="center"/>
    </xf>
    <xf numFmtId="49" fontId="48" fillId="42" borderId="33" applyAlignment="1" pivotButton="0" quotePrefix="0" xfId="0">
      <alignment horizontal="center" vertical="center"/>
    </xf>
    <xf numFmtId="49" fontId="43" fillId="64" borderId="56" applyAlignment="1" pivotButton="0" quotePrefix="0" xfId="0">
      <alignment horizontal="center" vertical="center" wrapText="1"/>
    </xf>
    <xf numFmtId="0" fontId="44" fillId="0" borderId="57" pivotButton="0" quotePrefix="0" xfId="0"/>
    <xf numFmtId="49" fontId="71" fillId="35" borderId="57" applyAlignment="1" pivotButton="0" quotePrefix="0" xfId="0">
      <alignment horizontal="center" vertical="center"/>
    </xf>
    <xf numFmtId="49" fontId="72" fillId="46" borderId="58" applyAlignment="1" pivotButton="0" quotePrefix="0" xfId="0">
      <alignment horizontal="center" vertical="center"/>
    </xf>
    <xf numFmtId="0" fontId="44" fillId="0" borderId="58" pivotButton="0" quotePrefix="0" xfId="0"/>
    <xf numFmtId="49" fontId="71" fillId="36" borderId="57" applyAlignment="1" pivotButton="0" quotePrefix="0" xfId="0">
      <alignment horizontal="center" vertical="center"/>
    </xf>
    <xf numFmtId="49" fontId="71" fillId="37" borderId="57" applyAlignment="1" pivotButton="0" quotePrefix="0" xfId="0">
      <alignment horizontal="center" vertical="center"/>
    </xf>
    <xf numFmtId="0" fontId="44" fillId="46" borderId="59" applyAlignment="1" pivotButton="0" quotePrefix="0" xfId="0">
      <alignment vertical="bottom"/>
    </xf>
    <xf numFmtId="49" fontId="46" fillId="45" borderId="33" applyAlignment="1" pivotButton="0" quotePrefix="0" xfId="0">
      <alignment horizontal="center" vertical="center" wrapText="1"/>
    </xf>
    <xf numFmtId="49" fontId="46" fillId="49" borderId="33" applyAlignment="1" pivotButton="0" quotePrefix="0" xfId="0">
      <alignment horizontal="center" vertical="center" wrapText="1"/>
    </xf>
    <xf numFmtId="49" fontId="46" fillId="86" borderId="33" applyAlignment="1" pivotButton="0" quotePrefix="0" xfId="0">
      <alignment horizontal="center" vertical="center" wrapText="1"/>
    </xf>
    <xf numFmtId="49" fontId="73" fillId="46" borderId="33" applyAlignment="1" pivotButton="0" quotePrefix="0" xfId="0">
      <alignment horizontal="left" vertical="center"/>
    </xf>
    <xf numFmtId="0" fontId="72" fillId="46" borderId="33" applyAlignment="1" pivotButton="0" quotePrefix="0" xfId="0">
      <alignment vertical="center"/>
    </xf>
    <xf numFmtId="49" fontId="72" fillId="46" borderId="33" applyAlignment="1" pivotButton="0" quotePrefix="0" xfId="0">
      <alignment vertical="center"/>
    </xf>
    <xf numFmtId="0" fontId="72" fillId="46" borderId="33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3" pivotButton="0" quotePrefix="0" xfId="0"/>
    <xf numFmtId="49" fontId="74" fillId="64" borderId="59" applyAlignment="1" pivotButton="0" quotePrefix="0" xfId="0">
      <alignment horizontal="center" vertical="center"/>
    </xf>
    <xf numFmtId="49" fontId="53" fillId="46" borderId="33" applyAlignment="1" pivotButton="0" quotePrefix="0" xfId="0">
      <alignment horizontal="center" vertical="center" wrapText="1"/>
    </xf>
    <xf numFmtId="49" fontId="53" fillId="35" borderId="33" applyAlignment="1" pivotButton="0" quotePrefix="0" xfId="0">
      <alignment horizontal="center" vertical="center" wrapText="1"/>
    </xf>
    <xf numFmtId="49" fontId="53" fillId="36" borderId="33" applyAlignment="1" pivotButton="0" quotePrefix="0" xfId="0">
      <alignment horizontal="center" vertical="center" wrapText="1"/>
    </xf>
    <xf numFmtId="49" fontId="53" fillId="37" borderId="33" applyAlignment="1" pivotButton="0" quotePrefix="0" xfId="0">
      <alignment horizontal="center" vertical="center" wrapText="1"/>
    </xf>
    <xf numFmtId="49" fontId="53" fillId="38" borderId="33" applyAlignment="1" pivotButton="0" quotePrefix="0" xfId="0">
      <alignment horizontal="center" vertical="center" wrapText="1"/>
    </xf>
    <xf numFmtId="49" fontId="53" fillId="39" borderId="33" applyAlignment="1" pivotButton="0" quotePrefix="0" xfId="0">
      <alignment horizontal="center" vertical="center" wrapText="1"/>
    </xf>
    <xf numFmtId="49" fontId="72" fillId="46" borderId="33" applyAlignment="1" pivotButton="0" quotePrefix="0" xfId="0">
      <alignment horizontal="center" vertical="center"/>
    </xf>
    <xf numFmtId="0" fontId="14" fillId="47" borderId="5" applyAlignment="1" pivotButton="0" quotePrefix="0" xfId="0">
      <alignment horizontal="left" vertical="center"/>
    </xf>
    <xf numFmtId="2" fontId="15" fillId="48" borderId="5" applyAlignment="1" pivotButton="0" quotePrefix="0" xfId="0">
      <alignment horizontal="center" vertical="center"/>
    </xf>
    <xf numFmtId="2" fontId="19" fillId="48" borderId="5" applyAlignment="1" pivotButton="0" quotePrefix="0" xfId="0">
      <alignment horizontal="center" vertical="center"/>
    </xf>
    <xf numFmtId="0" fontId="15" fillId="48" borderId="5" applyAlignment="1" pivotButton="0" quotePrefix="0" xfId="0">
      <alignment horizontal="center" vertical="center"/>
    </xf>
    <xf numFmtId="0" fontId="13" fillId="47" borderId="5" applyAlignment="1" pivotButton="0" quotePrefix="0" xfId="0">
      <alignment horizontal="left" vertical="bottom"/>
    </xf>
    <xf numFmtId="2" fontId="19" fillId="48" borderId="5" applyAlignment="1" pivotButton="0" quotePrefix="0" xfId="0">
      <alignment horizontal="center" vertical="center" wrapText="1"/>
    </xf>
    <xf numFmtId="0" fontId="27" fillId="48" borderId="10" applyAlignment="1" pivotButton="0" quotePrefix="0" xfId="0">
      <alignment horizontal="center" vertical="center"/>
    </xf>
    <xf numFmtId="2" fontId="22" fillId="48" borderId="5" applyAlignment="1" pivotButton="0" quotePrefix="0" xfId="0">
      <alignment horizontal="center" vertical="center"/>
    </xf>
    <xf numFmtId="0" fontId="13" fillId="47" borderId="20" applyAlignment="1" pivotButton="0" quotePrefix="0" xfId="0">
      <alignment horizontal="left" vertical="bottom"/>
    </xf>
    <xf numFmtId="2" fontId="27" fillId="48" borderId="10" applyAlignment="1" pivotButton="0" quotePrefix="0" xfId="0">
      <alignment horizontal="center" vertical="center"/>
    </xf>
    <xf numFmtId="2" fontId="19" fillId="48" borderId="5" applyAlignment="1" pivotButton="0" quotePrefix="0" xfId="0">
      <alignment horizontal="center" vertical="bottom"/>
    </xf>
    <xf numFmtId="2" fontId="17" fillId="48" borderId="21" applyAlignment="1" pivotButton="0" quotePrefix="0" xfId="0">
      <alignment horizontal="center" vertical="center"/>
    </xf>
    <xf numFmtId="0" fontId="19" fillId="48" borderId="5" applyAlignment="1" pivotButton="0" quotePrefix="0" xfId="0">
      <alignment horizontal="center" vertical="center" wrapText="1"/>
    </xf>
    <xf numFmtId="0" fontId="19" fillId="48" borderId="5" applyAlignment="1" pivotButton="0" quotePrefix="0" xfId="0">
      <alignment horizontal="center" vertical="bottom"/>
    </xf>
    <xf numFmtId="0" fontId="13" fillId="47" borderId="10" applyAlignment="1" pivotButton="0" quotePrefix="0" xfId="0">
      <alignment vertical="bottom"/>
    </xf>
    <xf numFmtId="0" fontId="32" fillId="47" borderId="5" applyAlignment="1" pivotButton="0" quotePrefix="0" xfId="0">
      <alignment horizontal="left" vertical="bottom"/>
    </xf>
    <xf numFmtId="2" fontId="33" fillId="48" borderId="5" applyAlignment="1" pivotButton="0" quotePrefix="0" xfId="0">
      <alignment horizontal="center" vertical="bottom"/>
    </xf>
    <xf numFmtId="2" fontId="17" fillId="48" borderId="27" applyAlignment="1" pivotButton="0" quotePrefix="0" xfId="0">
      <alignment horizontal="center" vertical="center"/>
    </xf>
    <xf numFmtId="2" fontId="35" fillId="48" borderId="5" applyAlignment="1" pivotButton="0" quotePrefix="0" xfId="0">
      <alignment horizontal="center" vertical="center"/>
    </xf>
    <xf numFmtId="2" fontId="17" fillId="48" borderId="28" applyAlignment="1" pivotButton="0" quotePrefix="0" xfId="0">
      <alignment horizontal="center" vertical="center"/>
    </xf>
    <xf numFmtId="0" fontId="33" fillId="48" borderId="5" applyAlignment="1" pivotButton="0" quotePrefix="0" xfId="0">
      <alignment vertical="bottom"/>
    </xf>
    <xf numFmtId="2" fontId="6" fillId="48" borderId="21" applyAlignment="1" pivotButton="0" quotePrefix="0" xfId="0">
      <alignment horizontal="center" vertical="center"/>
    </xf>
    <xf numFmtId="2" fontId="31" fillId="48" borderId="5" applyAlignment="1" pivotButton="0" quotePrefix="0" xfId="0">
      <alignment horizontal="center" vertical="center" wrapText="1"/>
    </xf>
    <xf numFmtId="2" fontId="36" fillId="48" borderId="5" applyAlignment="1" pivotButton="0" quotePrefix="0" xfId="0">
      <alignment horizontal="center" vertical="center"/>
    </xf>
    <xf numFmtId="0" fontId="37" fillId="47" borderId="5" applyAlignment="1" pivotButton="0" quotePrefix="0" xfId="0">
      <alignment horizontal="left" vertical="center" wrapText="1"/>
    </xf>
    <xf numFmtId="0" fontId="38" fillId="48" borderId="5" applyAlignment="1" pivotButton="0" quotePrefix="0" xfId="0">
      <alignment horizontal="center" vertical="center"/>
    </xf>
    <xf numFmtId="2" fontId="34" fillId="48" borderId="5" applyAlignment="1" pivotButton="0" quotePrefix="0" xfId="0">
      <alignment vertical="bottom"/>
    </xf>
    <xf numFmtId="2" fontId="20" fillId="48" borderId="5" applyAlignment="1" pivotButton="0" quotePrefix="0" xfId="0">
      <alignment horizontal="center" vertical="center" wrapText="1"/>
    </xf>
    <xf numFmtId="0" fontId="41" fillId="48" borderId="5" applyAlignment="1" pivotButton="0" quotePrefix="0" xfId="0">
      <alignment vertical="bottom"/>
    </xf>
    <xf numFmtId="2" fontId="41" fillId="48" borderId="5" applyAlignment="1" pivotButton="0" quotePrefix="0" xfId="0">
      <alignment vertical="bottom"/>
    </xf>
    <xf numFmtId="0" fontId="32" fillId="47" borderId="5" applyAlignment="1" pivotButton="0" quotePrefix="0" xfId="0">
      <alignment vertical="center"/>
    </xf>
    <xf numFmtId="0" fontId="65" fillId="87" borderId="0" applyAlignment="1" pivotButton="0" quotePrefix="0" xfId="0">
      <alignment horizontal="center" vertical="center"/>
    </xf>
    <xf numFmtId="0" fontId="0" fillId="88" borderId="0" pivotButton="0" quotePrefix="0" xfId="0"/>
    <xf numFmtId="0" fontId="0" fillId="89" borderId="0" pivotButton="0" quotePrefix="0" xfId="0"/>
  </cellXfs>
  <cellStyles count="1">
    <cellStyle name="Normal" xfId="0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>
        <b val="1"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décimo B-style" pivot="0" count="3">
      <tableStyleElement type="headerRow" dxfId="6"/>
      <tableStyleElement type="firstRowStripe" dxfId="7"/>
      <tableStyleElement type="secondRow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externalLink" Target="/xl/externalLinks/externalLink1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omments/comment1.xml><?xml version="1.0" encoding="utf-8"?>
<comments xmlns="http://schemas.openxmlformats.org/spreadsheetml/2006/main">
  <authors>
    <author>None</author>
  </authors>
  <commentList>
    <comment ref="P7" authorId="0" shapeId="0">
      <text>
        <t>Sistema: 9.41
Diferencia: 0.41</t>
      </text>
    </comment>
    <comment ref="T7" authorId="0" shapeId="0">
      <text>
        <t>Sistema: 8.76
Diferencia: 0.07</t>
      </text>
    </comment>
    <comment ref="J11" authorId="0" shapeId="0">
      <text>
        <t>Sistema: 7.78
Diferencia: 0.05</t>
      </text>
    </comment>
    <comment ref="H34" authorId="0" shapeId="0">
      <text>
        <t>Sistema: 9.70
Diferencia: 0.14</t>
      </text>
    </comment>
    <comment ref="T34" authorId="0" shapeId="0">
      <text>
        <t>Sistema: 9.82
Diferencia: 0.03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15" authorId="0" shapeId="0">
      <text>
        <t>Sistema: 9.49
Diferencia: 0.13</t>
      </text>
    </comment>
    <comment ref="D33" authorId="0" shapeId="0">
      <text>
        <t>Sistema: 7.58
Diferencia: 0.06</t>
      </text>
    </comment>
    <comment ref="F33" authorId="0" shapeId="0">
      <text>
        <t>Sistema: 7.85
Diferencia: 0.39</t>
      </text>
    </comment>
    <comment ref="H33" authorId="0" shapeId="0">
      <text>
        <t>Sistema: 8.12
Diferencia: 0.21</t>
      </text>
    </comment>
    <comment ref="J33" authorId="0" shapeId="0">
      <text>
        <t>Sistema: 8.02
Diferencia: 0.11</t>
      </text>
    </comment>
    <comment ref="L33" authorId="0" shapeId="0">
      <text>
        <t>Sistema: 8.08
Diferencia: 0.29</t>
      </text>
    </comment>
    <comment ref="N33" authorId="0" shapeId="0">
      <text>
        <t>Sistema: 8.35
Diferencia: 0.42</t>
      </text>
    </comment>
    <comment ref="P33" authorId="0" shapeId="0">
      <text>
        <t>Sistema: 7.88
Diferencia: 0.06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4" authorId="0" shapeId="0">
      <text>
        <t>Sistema: 8.48
Diferencia: 0.07</t>
      </text>
    </comment>
    <comment ref="L5" authorId="0" shapeId="0">
      <text>
        <t>Sistema: 9.15
Diferencia: 0.03</t>
      </text>
    </comment>
    <comment ref="L6" authorId="0" shapeId="0">
      <text>
        <t>Sistema: 8.81
Diferencia: 0.21</t>
      </text>
    </comment>
    <comment ref="T6" authorId="0" shapeId="0">
      <text>
        <t>Sistema: 9.26
Diferencia: 0.03</t>
      </text>
    </comment>
    <comment ref="D7" authorId="0" shapeId="0">
      <text>
        <t>Sistema: 9.02
Diferencia: 0.60</t>
      </text>
    </comment>
    <comment ref="L7" authorId="0" shapeId="0">
      <text>
        <t>Sistema: 8.09
Diferencia: 0.11</t>
      </text>
    </comment>
    <comment ref="T7" authorId="0" shapeId="0">
      <text>
        <t>Sistema: 8.60
Diferencia: 0.06</t>
      </text>
    </comment>
    <comment ref="L8" authorId="0" shapeId="0">
      <text>
        <t>Sistema: 7.61
Diferencia: 0.24</t>
      </text>
    </comment>
    <comment ref="L9" authorId="0" shapeId="0">
      <text>
        <t>Sistema: 8.62
Diferencia: 0.05</t>
      </text>
    </comment>
    <comment ref="L10" authorId="0" shapeId="0">
      <text>
        <t>Sistema: 8.95
Diferencia: 0.32</t>
      </text>
    </comment>
    <comment ref="T10" authorId="0" shapeId="0">
      <text>
        <t>Sistema: 7.85
Diferencia: 0.03</t>
      </text>
    </comment>
    <comment ref="L12" authorId="0" shapeId="0">
      <text>
        <t>Sistema: 8.82
Diferencia: 0.05</t>
      </text>
    </comment>
    <comment ref="L14" authorId="0" shapeId="0">
      <text>
        <t>Sistema: 8.19
Diferencia: 0.04</t>
      </text>
    </comment>
    <comment ref="L15" authorId="0" shapeId="0">
      <text>
        <t>Sistema: 9.55
Diferencia: 0.18</t>
      </text>
    </comment>
    <comment ref="L16" authorId="0" shapeId="0">
      <text>
        <t>Sistema: 8.88
Diferencia: 0.03</t>
      </text>
    </comment>
    <comment ref="L17" authorId="0" shapeId="0">
      <text>
        <t>Sistema: 9.53
Diferencia: 0.16</t>
      </text>
    </comment>
    <comment ref="L18" authorId="0" shapeId="0">
      <text>
        <t>Sistema: 8.74
Diferencia: 0.22</t>
      </text>
    </comment>
    <comment ref="L19" authorId="0" shapeId="0">
      <text>
        <t>Sistema: 9.79
Diferencia: 0.13</t>
      </text>
    </comment>
    <comment ref="L20" authorId="0" shapeId="0">
      <text>
        <t>Sistema: 8.90
Diferencia: 0.08</t>
      </text>
    </comment>
    <comment ref="L21" authorId="0" shapeId="0">
      <text>
        <t>Sistema: 8.74
Diferencia: 0.04</t>
      </text>
    </comment>
    <comment ref="L22" authorId="0" shapeId="0">
      <text>
        <t>Sistema: 7.70
Diferencia: 0.20</t>
      </text>
    </comment>
    <comment ref="D23" authorId="0" shapeId="0">
      <text>
        <t>Sistema: 7.31
Diferencia: 0.26</t>
      </text>
    </comment>
    <comment ref="F23" authorId="0" shapeId="0">
      <text>
        <t>Sistema: 7.49
Diferencia: 0.47</t>
      </text>
    </comment>
    <comment ref="H23" authorId="0" shapeId="0">
      <text>
        <t>Sistema: 7.52
Diferencia: 0.46</t>
      </text>
    </comment>
    <comment ref="J23" authorId="0" shapeId="0">
      <text>
        <t>Sistema: 7.42
Diferencia: 0.39</t>
      </text>
    </comment>
    <comment ref="L23" authorId="0" shapeId="0">
      <text>
        <t>Sistema: 8.37
Diferencia: 0.13</t>
      </text>
    </comment>
    <comment ref="T23" authorId="0" shapeId="0">
      <text>
        <t>Sistema: 7.91
Diferencia: 0.24</t>
      </text>
    </comment>
    <comment ref="L25" authorId="0" shapeId="0">
      <text>
        <t>Sistema: 8.81
Diferencia: 0.18</t>
      </text>
    </comment>
    <comment ref="L26" authorId="0" shapeId="0">
      <text>
        <t>Sistema: 7.97
Diferencia: 0.29</t>
      </text>
    </comment>
    <comment ref="T26" authorId="0" shapeId="0">
      <text>
        <t>Sistema: 8.75
Diferencia: 0.05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P9" authorId="0" shapeId="0">
      <text>
        <t>Sistema: 10.00
Diferencia: 0.03</t>
      </text>
    </comment>
    <comment ref="H14" authorId="0" shapeId="0">
      <text>
        <t>Sistema: 9.73
Diferencia: 0.05</t>
      </text>
    </comment>
    <comment ref="N14" authorId="0" shapeId="0">
      <text>
        <t>Sistema: 9.72
Diferencia: 0.06</t>
      </text>
    </comment>
    <comment ref="T14" authorId="0" shapeId="0">
      <text>
        <t>Sistema: 9.69
Diferencia: 0.03</t>
      </text>
    </comment>
    <comment ref="F19" authorId="0" shapeId="0">
      <text>
        <t>Sistema: 8.49
Diferencia: 0.11</t>
      </text>
    </comment>
    <comment ref="F26" authorId="0" shapeId="0">
      <text>
        <t>Sistema: 9.35
Diferencia: 0.06</t>
      </text>
    </comment>
    <comment ref="P28" authorId="0" shapeId="0">
      <text>
        <t>Sistema: 8.92
Diferencia: 0.49</t>
      </text>
    </comment>
    <comment ref="T28" authorId="0" shapeId="0">
      <text>
        <t>Sistema: 8.80
Diferencia: 0.08</t>
      </text>
    </comment>
    <comment ref="P29" authorId="0" shapeId="0">
      <text>
        <t>Sistema: 8.70
Diferencia: 0.23</t>
      </text>
    </comment>
    <comment ref="T29" authorId="0" shapeId="0">
      <text>
        <t>Sistema: 8.61
Diferencia: 0.03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P6" authorId="0" shapeId="0">
      <text>
        <t>Sistema: 8.72
Diferencia: 0.67</t>
      </text>
    </comment>
    <comment ref="T6" authorId="0" shapeId="0">
      <text>
        <t>Sistema: 8.44
Diferencia: 0.10</t>
      </text>
    </comment>
    <comment ref="P7" authorId="0" shapeId="0">
      <text>
        <t>Sistema: 9.28
Diferencia: 0.06</t>
      </text>
    </comment>
    <comment ref="P8" authorId="0" shapeId="0">
      <text>
        <t>Sistema: 8.96
Diferencia: 0.29</t>
      </text>
    </comment>
    <comment ref="T8" authorId="0" shapeId="0">
      <text>
        <t>Sistema: 8.75
Diferencia: 0.05</t>
      </text>
    </comment>
    <comment ref="P9" authorId="0" shapeId="0">
      <text>
        <t>Sistema: 9.24
Diferencia: 1.04</t>
      </text>
    </comment>
    <comment ref="T9" authorId="0" shapeId="0">
      <text>
        <t>Sistema: 8.72
Diferencia: 0.14</t>
      </text>
    </comment>
    <comment ref="P10" authorId="0" shapeId="0">
      <text>
        <t>Sistema: 9.15
Diferencia: 0.85</t>
      </text>
    </comment>
    <comment ref="T10" authorId="0" shapeId="0">
      <text>
        <t>Sistema: 8.45
Diferencia: 0.13</t>
      </text>
    </comment>
    <comment ref="P11" authorId="0" shapeId="0">
      <text>
        <t>Sistema: 9.33
Diferencia: 0.76</t>
      </text>
    </comment>
    <comment ref="T11" authorId="0" shapeId="0">
      <text>
        <t>Sistema: 9.08
Diferencia: 0.10</t>
      </text>
    </comment>
    <comment ref="P13" authorId="0" shapeId="0">
      <text>
        <t>Sistema: 8.59
Diferencia: 0.49</t>
      </text>
    </comment>
    <comment ref="T13" authorId="0" shapeId="0">
      <text>
        <t>Sistema: 8.22
Diferencia: 0.07</t>
      </text>
    </comment>
    <comment ref="P14" authorId="0" shapeId="0">
      <text>
        <t>Sistema: 9.65
Diferencia: 0.41</t>
      </text>
    </comment>
    <comment ref="T14" authorId="0" shapeId="0">
      <text>
        <t>Sistema: 9.27
Diferencia: 0.05</t>
      </text>
    </comment>
    <comment ref="P15" authorId="0" shapeId="0">
      <text>
        <t>Sistema: 9.14
Diferencia: 0.70</t>
      </text>
    </comment>
    <comment ref="T15" authorId="0" shapeId="0">
      <text>
        <t>Sistema: 8.79
Diferencia: 0.09</t>
      </text>
    </comment>
    <comment ref="P16" authorId="0" shapeId="0">
      <text>
        <t>Sistema: 9.15
Diferencia: 0.55</t>
      </text>
    </comment>
    <comment ref="T16" authorId="0" shapeId="0">
      <text>
        <t>Sistema: 8.34
Diferencia: 0.09</t>
      </text>
    </comment>
    <comment ref="P17" authorId="0" shapeId="0">
      <text>
        <t>Sistema: 8.79
Diferencia: 0.83</t>
      </text>
    </comment>
    <comment ref="T17" authorId="0" shapeId="0">
      <text>
        <t>Sistema: 8.39
Diferencia: 0.12</t>
      </text>
    </comment>
    <comment ref="P19" authorId="0" shapeId="0">
      <text>
        <t>Sistema: 8.87
Diferencia: 0.22</t>
      </text>
    </comment>
    <comment ref="P20" authorId="0" shapeId="0">
      <text>
        <t>Sistema: 7.63
Diferencia: 2.07</t>
      </text>
    </comment>
    <comment ref="T20" authorId="0" shapeId="0">
      <text>
        <t>Sistema: 7.31
Diferencia: 0.30</t>
      </text>
    </comment>
    <comment ref="P21" authorId="0" shapeId="0">
      <text>
        <t>Sistema: 9.31
Diferencia: 0.17</t>
      </text>
    </comment>
    <comment ref="P22" authorId="0" shapeId="0">
      <text>
        <t>Sistema: 8.32
Diferencia: 0.87</t>
      </text>
    </comment>
    <comment ref="T22" authorId="0" shapeId="0">
      <text>
        <t>Sistema: 7.90
Diferencia: 0.13</t>
      </text>
    </comment>
    <comment ref="P23" authorId="0" shapeId="0">
      <text>
        <t>Sistema: 9.16
Diferencia: 0.56</t>
      </text>
    </comment>
    <comment ref="T23" authorId="0" shapeId="0">
      <text>
        <t>Sistema: 9.06
Diferencia: 0.07</t>
      </text>
    </comment>
    <comment ref="P24" authorId="0" shapeId="0">
      <text>
        <t>Sistema: 8.16
Diferencia: 0.94</t>
      </text>
    </comment>
    <comment ref="T24" authorId="0" shapeId="0">
      <text>
        <t>Sistema: 7.86
Diferencia: 0.15</t>
      </text>
    </comment>
    <comment ref="P25" authorId="0" shapeId="0">
      <text>
        <t>Sistema: 8.82
Diferencia: 0.27</t>
      </text>
    </comment>
    <comment ref="T25" authorId="0" shapeId="0">
      <text>
        <t>Sistema: 8.17
Diferencia: 0.04</t>
      </text>
    </comment>
    <comment ref="P26" authorId="0" shapeId="0">
      <text>
        <t>Sistema: 8.65
Diferencia: 0.53</t>
      </text>
    </comment>
    <comment ref="T26" authorId="0" shapeId="0">
      <text>
        <t>Sistema: 8.43
Diferencia: 0.07</t>
      </text>
    </comment>
    <comment ref="P27" authorId="0" shapeId="0">
      <text>
        <t>Sistema: 8.91
Diferencia: 0.61</t>
      </text>
    </comment>
    <comment ref="T27" authorId="0" shapeId="0">
      <text>
        <t>Sistema: 8.62
Diferencia: 0.08</t>
      </text>
    </comment>
    <comment ref="P30" authorId="0" shapeId="0">
      <text>
        <t>Sistema: 9.08
Diferencia: 0.29</t>
      </text>
    </comment>
    <comment ref="T30" authorId="0" shapeId="0">
      <text>
        <t>Sistema: 8.56
Diferencia: 0.05</t>
      </text>
    </comment>
    <comment ref="P31" authorId="0" shapeId="0">
      <text>
        <t>Sistema: 9.32
Diferencia: 0.03</t>
      </text>
    </comment>
    <comment ref="P33" authorId="0" shapeId="0">
      <text>
        <t>Sistema: 9.37
Diferencia: 0.05</t>
      </text>
    </comment>
    <comment ref="P34" authorId="0" shapeId="0">
      <text>
        <t>Sistema: 9.27
Diferencia: 0.07</t>
      </text>
    </comment>
    <comment ref="P35" authorId="0" shapeId="0">
      <text>
        <t>Sistema: 9.15
Diferencia: 0.07</t>
      </text>
    </comment>
    <comment ref="P36" authorId="0" shapeId="0">
      <text>
        <t>Sistema: 9.34
Diferencia: 0.13</t>
      </text>
    </comment>
    <comment ref="T36" authorId="0" shapeId="0">
      <text>
        <t>Sistema: 9.11
Diferencia: 0.03</t>
      </text>
    </comment>
    <comment ref="P38" authorId="0" shapeId="0">
      <text>
        <t>Sistema: 9.25
Diferencia: 0.04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L4" authorId="0" shapeId="0">
      <text>
        <t>Sistema: 6.26
Diferencia: 3.02</t>
      </text>
    </comment>
    <comment ref="T4" authorId="0" shapeId="0">
      <text>
        <t>Sistema: 8.78
Diferencia: 0.43</t>
      </text>
    </comment>
    <comment ref="H6" authorId="0" shapeId="0">
      <text>
        <t>Sistema: 8.30
Diferencia: 0.05</t>
      </text>
    </comment>
    <comment ref="J12" authorId="0" shapeId="0">
      <text>
        <t>Sistema: 9.24
Diferencia: 0.35</t>
      </text>
    </comment>
    <comment ref="T12" authorId="0" shapeId="0">
      <text>
        <t>Sistema: 9.06
Diferencia: 0.04</t>
      </text>
    </comment>
    <comment ref="J13" authorId="0" shapeId="0">
      <text>
        <t>Sistema: 7.61
Diferencia: 0.11</t>
      </text>
    </comment>
    <comment ref="F17" authorId="0" shapeId="0">
      <text>
        <t>Sistema: 8.62
Diferencia: 0.04</t>
      </text>
    </comment>
    <comment ref="D20" authorId="0" shapeId="0">
      <text>
        <t>Sistema: 9.45
Diferencia: 0.39</t>
      </text>
    </comment>
    <comment ref="F20" authorId="0" shapeId="0">
      <text>
        <t>Sistema: 9.32
Diferencia: 0.27</t>
      </text>
    </comment>
    <comment ref="H20" authorId="0" shapeId="0">
      <text>
        <t>Sistema: 9.10
Diferencia: 0.59</t>
      </text>
    </comment>
    <comment ref="J20" authorId="0" shapeId="0">
      <text>
        <t>Sistema: 8.99
Diferencia: 0.60</t>
      </text>
    </comment>
    <comment ref="N20" authorId="0" shapeId="0">
      <text>
        <t>Sistema: 9.14
Diferencia: 0.37</t>
      </text>
    </comment>
    <comment ref="T20" authorId="0" shapeId="0">
      <text>
        <t>Sistema: 9.23
Diferencia: 0.32</t>
      </text>
    </comment>
    <comment ref="J25" authorId="0" shapeId="0">
      <text>
        <t>Sistema: 8.77
Diferencia: 0.17</t>
      </text>
    </comment>
    <comment ref="H34" authorId="0" shapeId="0">
      <text>
        <t>Sistema: 9.09
Diferencia: 0.18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J3" authorId="0" shapeId="0">
      <text>
        <t>Sistema: 8.82
Diferencia: 0.15</t>
      </text>
    </comment>
    <comment ref="J4" authorId="0" shapeId="0">
      <text>
        <t>Sistema: 9.19
Diferencia: 0.31</t>
      </text>
    </comment>
    <comment ref="M4" authorId="0" shapeId="0">
      <text>
        <t>Sistema: 9.28
Diferencia: 0.04</t>
      </text>
    </comment>
    <comment ref="H5" authorId="0" shapeId="0">
      <text>
        <t>Sistema: 9.19
Diferencia: 0.20</t>
      </text>
    </comment>
    <comment ref="J5" authorId="0" shapeId="0">
      <text>
        <t>Sistema: 9.85
Diferencia: 0.10</t>
      </text>
    </comment>
    <comment ref="H6" authorId="0" shapeId="0">
      <text>
        <t>Sistema: 7.59
Diferencia: 0.26</t>
      </text>
    </comment>
    <comment ref="J6" authorId="0" shapeId="0">
      <text>
        <t>Sistema: 8.23
Diferencia: 0.18</t>
      </text>
    </comment>
    <comment ref="M6" authorId="0" shapeId="0">
      <text>
        <t>Sistema: 8.45
Diferencia: 0.07</t>
      </text>
    </comment>
    <comment ref="H7" authorId="0" shapeId="0">
      <text>
        <t>Sistema: 9.17
Diferencia: 0.08</t>
      </text>
    </comment>
    <comment ref="J7" authorId="0" shapeId="0">
      <text>
        <t>Sistema: 8.89
Diferencia: 0.23</t>
      </text>
    </comment>
    <comment ref="M7" authorId="0" shapeId="0">
      <text>
        <t>Sistema: 9.16
Diferencia: 0.03</t>
      </text>
    </comment>
    <comment ref="H8" authorId="0" shapeId="0">
      <text>
        <t>Sistema: 8.76
Diferencia: 0.14</t>
      </text>
    </comment>
    <comment ref="J8" authorId="0" shapeId="0">
      <text>
        <t>Sistema: 8.38
Diferencia: 0.19</t>
      </text>
    </comment>
    <comment ref="M8" authorId="0" shapeId="0">
      <text>
        <t>Sistema: 8.84
Diferencia: 0.05</t>
      </text>
    </comment>
    <comment ref="H9" authorId="0" shapeId="0">
      <text>
        <t>Sistema: 8.88
Diferencia: 0.19</t>
      </text>
    </comment>
    <comment ref="J9" authorId="0" shapeId="0">
      <text>
        <t>Sistema: 9.07
Diferencia: 0.27</t>
      </text>
    </comment>
    <comment ref="M9" authorId="0" shapeId="0">
      <text>
        <t>Sistema: 9.12
Diferencia: 0.07</t>
      </text>
    </comment>
    <comment ref="J10" authorId="0" shapeId="0">
      <text>
        <t>Sistema: 9.27
Diferencia: 0.28</t>
      </text>
    </comment>
    <comment ref="M10" authorId="0" shapeId="0">
      <text>
        <t>Sistema: 9.11
Diferencia: 0.05</t>
      </text>
    </comment>
    <comment ref="H11" authorId="0" shapeId="0">
      <text>
        <t>Sistema: 8.26
Diferencia: 0.08</t>
      </text>
    </comment>
    <comment ref="J11" authorId="0" shapeId="0">
      <text>
        <t>Sistema: 8.93
Diferencia: 0.31</t>
      </text>
    </comment>
    <comment ref="M11" authorId="0" shapeId="0">
      <text>
        <t>Sistema: 8.81
Diferencia: 0.06</t>
      </text>
    </comment>
    <comment ref="H13" authorId="0" shapeId="0">
      <text>
        <t>Sistema: 8.11
Diferencia: 0.11</t>
      </text>
    </comment>
    <comment ref="J13" authorId="0" shapeId="0">
      <text>
        <t>Sistema: 7.99
Diferencia: 0.20</t>
      </text>
    </comment>
    <comment ref="J14" authorId="0" shapeId="0">
      <text>
        <t>Sistema: 8.92
Diferencia: 0.11</t>
      </text>
    </comment>
    <comment ref="J15" authorId="0" shapeId="0">
      <text>
        <t>Sistema: 8.57
Diferencia: 0.41</t>
      </text>
    </comment>
    <comment ref="M15" authorId="0" shapeId="0">
      <text>
        <t>Sistema: 8.94
Diferencia: 0.06</t>
      </text>
    </comment>
    <comment ref="J16" authorId="0" shapeId="0">
      <text>
        <t>Sistema: 9.27
Diferencia: 0.32</t>
      </text>
    </comment>
    <comment ref="M16" authorId="0" shapeId="0">
      <text>
        <t>Sistema: 9.34
Diferencia: 0.05</t>
      </text>
    </comment>
    <comment ref="H17" authorId="0" shapeId="0">
      <text>
        <t>Sistema: 9.00
Diferencia: 0.11</t>
      </text>
    </comment>
    <comment ref="J17" authorId="0" shapeId="0">
      <text>
        <t>Sistema: 9.27
Diferencia: 0.24</t>
      </text>
    </comment>
    <comment ref="H18" authorId="0" shapeId="0">
      <text>
        <t>Sistema: 9.32
Diferencia: 0.03</t>
      </text>
    </comment>
    <comment ref="J18" authorId="0" shapeId="0">
      <text>
        <t>Sistema: 9.33
Diferencia: 0.30</t>
      </text>
    </comment>
    <comment ref="M18" authorId="0" shapeId="0">
      <text>
        <t>Sistema: 9.49
Diferencia: 0.06</t>
      </text>
    </comment>
    <comment ref="E19" authorId="0" shapeId="0">
      <text>
        <t>Sistema: 8.49
Diferencia: 0.13</t>
      </text>
    </comment>
    <comment ref="H19" authorId="0" shapeId="0">
      <text>
        <t>Sistema: 8.40
Diferencia: 0.18</t>
      </text>
    </comment>
    <comment ref="J19" authorId="0" shapeId="0">
      <text>
        <t>Sistema: 8.61
Diferencia: 0.16</t>
      </text>
    </comment>
    <comment ref="M19" authorId="0" shapeId="0">
      <text>
        <t>Sistema: 8.58
Diferencia: 0.04</t>
      </text>
    </comment>
    <comment ref="H20" authorId="0" shapeId="0">
      <text>
        <t>Sistema: 7.66
Diferencia: 0.20</t>
      </text>
    </comment>
    <comment ref="J20" authorId="0" shapeId="0">
      <text>
        <t>Sistema: 8.50
Diferencia: 0.36</t>
      </text>
    </comment>
    <comment ref="M20" authorId="0" shapeId="0">
      <text>
        <t>Sistema: 8.62
Diferencia: 0.09</t>
      </text>
    </comment>
    <comment ref="H21" authorId="0" shapeId="0">
      <text>
        <t>Sistema: 7.71
Diferencia: 0.09</t>
      </text>
    </comment>
    <comment ref="J21" authorId="0" shapeId="0">
      <text>
        <t>Sistema: 8.55
Diferencia: 0.17</t>
      </text>
    </comment>
    <comment ref="M21" authorId="0" shapeId="0">
      <text>
        <t>Sistema: 8.51
Diferencia: 0.04</t>
      </text>
    </comment>
    <comment ref="H22" authorId="0" shapeId="0">
      <text>
        <t>Sistema: 8.84
Diferencia: 0.16</t>
      </text>
    </comment>
    <comment ref="J22" authorId="0" shapeId="0">
      <text>
        <t>Sistema: 8.80
Diferencia: 0.42</t>
      </text>
    </comment>
    <comment ref="M22" authorId="0" shapeId="0">
      <text>
        <t>Sistema: 9.00
Diferencia: 0.09</t>
      </text>
    </comment>
    <comment ref="H23" authorId="0" shapeId="0">
      <text>
        <t>Sistema: 8.46
Diferencia: 0.41</t>
      </text>
    </comment>
    <comment ref="J23" authorId="0" shapeId="0">
      <text>
        <t>Sistema: 7.86
Diferencia: 0.21</t>
      </text>
    </comment>
    <comment ref="M23" authorId="0" shapeId="0">
      <text>
        <t>Sistema: 8.63
Diferencia: 0.09</t>
      </text>
    </comment>
    <comment ref="H24" authorId="0" shapeId="0">
      <text>
        <t>Sistema: 8.97
Diferencia: 0.07</t>
      </text>
    </comment>
    <comment ref="I24" authorId="0" shapeId="0">
      <text>
        <t>Sistema: 9.28
Diferencia: 0.36</t>
      </text>
    </comment>
    <comment ref="J24" authorId="0" shapeId="0">
      <text>
        <t>Sistema: 9.34
Diferencia: 0.25</t>
      </text>
    </comment>
    <comment ref="M24" authorId="0" shapeId="0">
      <text>
        <t>Sistema: 8.95
Diferencia: 0.10</t>
      </text>
    </comment>
    <comment ref="H25" authorId="0" shapeId="0">
      <text>
        <t>Sistema: 8.88
Diferencia: 0.17</t>
      </text>
    </comment>
    <comment ref="I25" authorId="0" shapeId="0">
      <text>
        <t>Sistema: 9.78
Diferencia: 0.09</t>
      </text>
    </comment>
    <comment ref="J25" authorId="0" shapeId="0">
      <text>
        <t>Sistema: 8.78
Diferencia: 0.06</t>
      </text>
    </comment>
    <comment ref="D26" authorId="0" shapeId="0">
      <text>
        <t>Sistema: 9.30
Diferencia: 0.19</t>
      </text>
    </comment>
    <comment ref="H26" authorId="0" shapeId="0">
      <text>
        <t>Sistema: 8.73
Diferencia: 0.06</t>
      </text>
    </comment>
    <comment ref="J26" authorId="0" shapeId="0">
      <text>
        <t>Sistema: 5.79
Diferencia: 2.92</t>
      </text>
    </comment>
    <comment ref="M26" authorId="0" shapeId="0">
      <text>
        <t>Sistema: 8.52
Diferencia: 0.41</t>
      </text>
    </comment>
    <comment ref="H27" authorId="0" shapeId="0">
      <text>
        <t>Sistema: 7.96
Diferencia: 0.03</t>
      </text>
    </comment>
    <comment ref="J27" authorId="0" shapeId="0">
      <text>
        <t>Sistema: 8.45
Diferencia: 0.39</t>
      </text>
    </comment>
    <comment ref="M27" authorId="0" shapeId="0">
      <text>
        <t>Sistema: 8.31
Diferencia: 0.06</t>
      </text>
    </comment>
    <comment ref="D28" authorId="0" shapeId="0">
      <text>
        <t>Sistema: 8.83
Diferencia: 0.08</t>
      </text>
    </comment>
    <comment ref="E28" authorId="0" shapeId="0">
      <text>
        <t>Sistema: 8.63
Diferencia: 0.30</t>
      </text>
    </comment>
    <comment ref="F28" authorId="0" shapeId="0">
      <text>
        <t>Sistema: 9.04
Diferencia: 0.39</t>
      </text>
    </comment>
    <comment ref="G28" authorId="0" shapeId="0">
      <text>
        <t>Sistema: 8.48
Diferencia: 0.07</t>
      </text>
    </comment>
    <comment ref="H28" authorId="0" shapeId="0">
      <text>
        <t>Sistema: 8.28
Diferencia: 0.03</t>
      </text>
    </comment>
    <comment ref="J28" authorId="0" shapeId="0">
      <text>
        <t>Sistema: 8.40
Diferencia: 0.16</t>
      </text>
    </comment>
    <comment ref="M28" authorId="0" shapeId="0">
      <text>
        <t>Sistema: 8.71
Diferencia: 0.07</t>
      </text>
    </comment>
    <comment ref="D29" authorId="0" shapeId="0">
      <text>
        <t>Sistema: 9.54
Diferencia: 0.38</t>
      </text>
    </comment>
    <comment ref="E29" authorId="0" shapeId="0">
      <text>
        <t>Sistema: 9.61
Diferencia: 0.33</t>
      </text>
    </comment>
    <comment ref="F29" authorId="0" shapeId="0">
      <text>
        <t>Sistema: 9.66
Diferencia: 0.27</t>
      </text>
    </comment>
    <comment ref="G29" authorId="0" shapeId="0">
      <text>
        <t>Sistema: 9.46
Diferencia: 0.34</t>
      </text>
    </comment>
    <comment ref="H29" authorId="0" shapeId="0">
      <text>
        <t>Sistema: 9.66
Diferencia: 0.60</t>
      </text>
    </comment>
    <comment ref="I29" authorId="0" shapeId="0">
      <text>
        <t>Sistema: 9.59
Diferencia: 0.10</t>
      </text>
    </comment>
    <comment ref="J29" authorId="0" shapeId="0">
      <text>
        <t>Sistema: 9.51
Diferencia: 0.30</t>
      </text>
    </comment>
    <comment ref="M29" authorId="0" shapeId="0">
      <text>
        <t>Sistema: 9.57
Diferencia: 0.21</t>
      </text>
    </comment>
    <comment ref="D30" authorId="0" shapeId="0">
      <text>
        <t>Sistema: 9.63
Diferencia: 0.07</t>
      </text>
    </comment>
    <comment ref="E30" authorId="0" shapeId="0">
      <text>
        <t>Sistema: 9.83
Diferencia: 0.09</t>
      </text>
    </comment>
    <comment ref="F30" authorId="0" shapeId="0">
      <text>
        <t>Sistema: 9.76
Diferencia: 0.07</t>
      </text>
    </comment>
    <comment ref="G30" authorId="0" shapeId="0">
      <text>
        <t>Sistema: 9.83
Diferencia: 0.14</t>
      </text>
    </comment>
    <comment ref="H30" authorId="0" shapeId="0">
      <text>
        <t>Sistema: 9.43
Diferencia: 0.20</t>
      </text>
    </comment>
    <comment ref="I30" authorId="0" shapeId="0">
      <text>
        <t>Sistema: 9.90
Diferencia: 0.25</t>
      </text>
    </comment>
    <comment ref="M30" authorId="0" shapeId="0">
      <text>
        <t>Sistema: 9.76
Diferencia: 0.03</t>
      </text>
    </comment>
    <comment ref="D31" authorId="0" shapeId="0">
      <text>
        <t>Sistema: 8.07
Diferencia: 0.75</t>
      </text>
    </comment>
    <comment ref="E31" authorId="0" shapeId="0">
      <text>
        <t>Sistema: 8.01
Diferencia: 0.72</t>
      </text>
    </comment>
    <comment ref="F31" authorId="0" shapeId="0">
      <text>
        <t>Sistema: 8.63
Diferencia: 0.57</t>
      </text>
    </comment>
    <comment ref="G31" authorId="0" shapeId="0">
      <text>
        <t>Sistema: 8.54
Diferencia: 0.46</t>
      </text>
    </comment>
    <comment ref="H31" authorId="0" shapeId="0">
      <text>
        <t>Sistema: 7.89
Diferencia: 0.35</t>
      </text>
    </comment>
    <comment ref="I31" authorId="0" shapeId="0">
      <text>
        <t>Sistema: 9.09
Diferencia: 0.25</t>
      </text>
    </comment>
    <comment ref="J31" authorId="0" shapeId="0">
      <text>
        <t>Sistema: 8.29
Diferencia: 0.19</t>
      </text>
    </comment>
    <comment ref="M31" authorId="0" shapeId="0">
      <text>
        <t>Sistema: 8.36
Diferencia: 0.47</t>
      </text>
    </comment>
    <comment ref="D32" authorId="0" shapeId="0">
      <text>
        <t>Sistema: 8.17
Diferencia: 0.06</t>
      </text>
    </comment>
    <comment ref="E32" authorId="0" shapeId="0">
      <text>
        <t>Sistema: 8.40
Diferencia: 0.04</t>
      </text>
    </comment>
    <comment ref="F32" authorId="0" shapeId="0">
      <text>
        <t>Sistema: 9.01
Diferencia: 0.36</t>
      </text>
    </comment>
    <comment ref="G32" authorId="0" shapeId="0">
      <text>
        <t>Sistema: 8.51
Diferencia: 0.17</t>
      </text>
    </comment>
    <comment ref="H32" authorId="0" shapeId="0">
      <text>
        <t>Sistema: 7.54
Diferencia: 0.34</t>
      </text>
    </comment>
    <comment ref="I32" authorId="0" shapeId="0">
      <text>
        <t>Sistema: 9.22
Diferencia: 0.12</t>
      </text>
    </comment>
    <comment ref="J32" authorId="0" shapeId="0">
      <text>
        <t>Sistema: 8.39
Diferencia: 0.37</t>
      </text>
    </comment>
    <comment ref="M32" authorId="0" shapeId="0">
      <text>
        <t>Sistema: 8.46
Diferencia: 0.04</t>
      </text>
    </comment>
    <comment ref="D33" authorId="0" shapeId="0">
      <text>
        <t>Sistema: 9.60
Diferencia: 0.51</t>
      </text>
    </comment>
    <comment ref="E33" authorId="0" shapeId="0">
      <text>
        <t>Sistema: 9.60
Diferencia: 0.60</t>
      </text>
    </comment>
    <comment ref="F33" authorId="0" shapeId="0">
      <text>
        <t>Sistema: 9.73
Diferencia: 0.23</t>
      </text>
    </comment>
    <comment ref="G33" authorId="0" shapeId="0">
      <text>
        <t>Sistema: 9.75
Diferencia: 0.67</t>
      </text>
    </comment>
    <comment ref="H33" authorId="0" shapeId="0">
      <text>
        <t>Sistema: 9.45
Diferencia: 0.76</t>
      </text>
    </comment>
    <comment ref="I33" authorId="0" shapeId="0">
      <text>
        <t>Sistema: 9.73
Diferencia: 0.08</t>
      </text>
    </comment>
    <comment ref="J33" authorId="0" shapeId="0">
      <text>
        <t>Sistema: 9.26
Diferencia: 0.28</t>
      </text>
    </comment>
    <comment ref="M33" authorId="0" shapeId="0">
      <text>
        <t>Sistema: 9.58
Diferencia: 0.36</t>
      </text>
    </comment>
    <comment ref="D34" authorId="0" shapeId="0">
      <text>
        <t>Sistema: 8.61
Diferencia: 0.40</t>
      </text>
    </comment>
    <comment ref="E34" authorId="0" shapeId="0">
      <text>
        <t>Sistema: 8.46
Diferencia: 0.48</t>
      </text>
    </comment>
    <comment ref="F34" authorId="0" shapeId="0">
      <text>
        <t>Sistema: 8.98
Diferencia: 0.40</t>
      </text>
    </comment>
    <comment ref="G34" authorId="0" shapeId="0">
      <text>
        <t>Sistema: 8.67
Diferencia: 0.47</t>
      </text>
    </comment>
    <comment ref="H34" authorId="0" shapeId="0">
      <text>
        <t>Sistema: 7.53
Diferencia: 0.89</t>
      </text>
    </comment>
    <comment ref="I34" authorId="0" shapeId="0">
      <text>
        <t>Sistema: 8.83
Diferencia: 0.21</t>
      </text>
    </comment>
    <comment ref="J34" authorId="0" shapeId="0">
      <text>
        <t>Sistema: 8.28
Diferencia: 0.33</t>
      </text>
    </comment>
    <comment ref="M34" authorId="0" shapeId="0">
      <text>
        <t>Sistema: 8.48
Diferencia: 0.45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F3" authorId="0" shapeId="0">
      <text>
        <t>Sistema: 7.05
Diferencia: 0.33</t>
      </text>
    </comment>
    <comment ref="M3" authorId="0" shapeId="0">
      <text>
        <t>Sistema: 7.54
Diferencia: 0.05</t>
      </text>
    </comment>
    <comment ref="E8" authorId="0" shapeId="0">
      <text>
        <t>Sistema: 9.20
Diferencia: 0.07</t>
      </text>
    </comment>
    <comment ref="F10" authorId="0" shapeId="0">
      <text>
        <t>Sistema: 9.76
Diferencia: 0.24</t>
      </text>
    </comment>
    <comment ref="M10" authorId="0" shapeId="0">
      <text>
        <t>Sistema: 9.62
Diferencia: 0.03</t>
      </text>
    </comment>
    <comment ref="E21" authorId="0" shapeId="0">
      <text>
        <t>Sistema: 9.45
Diferencia: 0.03</t>
      </text>
    </comment>
    <comment ref="H21" authorId="0" shapeId="0">
      <text>
        <t>Sistema: 9.28
Diferencia: 0.03</t>
      </text>
    </comment>
    <comment ref="H22" authorId="0" shapeId="0">
      <text>
        <t>Sistema: 9.53
Diferencia: 0.14</t>
      </text>
    </comment>
    <comment ref="H24" authorId="0" shapeId="0">
      <text>
        <t>Sistema: 9.45
Diferencia: 0.32</t>
      </text>
    </comment>
    <comment ref="M24" authorId="0" shapeId="0">
      <text>
        <t>Sistema: 9.17
Diferencia: 0.04</t>
      </text>
    </comment>
    <comment ref="E27" authorId="0" shapeId="0">
      <text>
        <t>Sistema: 7.61
Diferencia: 0.21</t>
      </text>
    </comment>
    <comment ref="M27" authorId="0" shapeId="0">
      <text>
        <t>Sistema: 7.89
Diferencia: 0.03</t>
      </text>
    </comment>
    <comment ref="E28" authorId="0" shapeId="0">
      <text>
        <t>Sistema: 8.96
Diferencia: 0.41</t>
      </text>
    </comment>
    <comment ref="I28" authorId="0" shapeId="0">
      <text>
        <t>Sistema: 9.35
Diferencia: 0.21</t>
      </text>
    </comment>
    <comment ref="E29" authorId="0" shapeId="0">
      <text>
        <t>Sistema: 9.10
Diferencia: 0.10</t>
      </text>
    </comment>
    <comment ref="E30" authorId="0" shapeId="0">
      <text>
        <t>Sistema: 8.24
Diferencia: 0.82</t>
      </text>
    </comment>
    <comment ref="F30" authorId="0" shapeId="0">
      <text>
        <t>Sistema: 8.64
Diferencia: 0.66</t>
      </text>
    </comment>
    <comment ref="M30" authorId="0" shapeId="0">
      <text>
        <t>Sistema: 8.74
Diferencia: 0.03</t>
      </text>
    </comment>
    <comment ref="E31" authorId="0" shapeId="0">
      <text>
        <t>Sistema: 7.59
Diferencia: 0.24</t>
      </text>
    </comment>
    <comment ref="M31" authorId="0" shapeId="0">
      <text>
        <t>Sistema: 8.21
Diferencia: 0.04</t>
      </text>
    </comment>
    <comment ref="F34" authorId="0" shapeId="0">
      <text>
        <t>Sistema: 8.10
Diferencia: 0.66</t>
      </text>
    </comment>
    <comment ref="M34" authorId="0" shapeId="0">
      <text>
        <t>Sistema: 7.93
Diferencia: 0.09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G31" authorId="0" shapeId="0">
      <text>
        <t>Sistema: 9.02
Diferencia: 0.22</t>
      </text>
    </comment>
    <comment ref="E33" authorId="0" shapeId="0">
      <text>
        <t>Sistema: 7.28
Diferencia: 0.13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G21" authorId="0" shapeId="0">
      <text>
        <t>Sistema: 9.32
Diferencia: 0.50</t>
      </text>
    </comment>
    <comment ref="I22" authorId="0" shapeId="0">
      <text>
        <t>Sistema: 8.19
Diferencia: 0.03</t>
      </text>
    </comment>
    <comment ref="I23" authorId="0" shapeId="0">
      <text>
        <t>Sistema: 7.58
Diferencia: 0.03</t>
      </text>
    </comment>
    <comment ref="M23" authorId="0" shapeId="0">
      <text>
        <t>Sistema: 8.33
Diferencia: 0.67</t>
      </text>
    </comment>
    <comment ref="S23" authorId="0" shapeId="0">
      <text>
        <t>Sistema: 7.83
Diferencia: 0.08</t>
      </text>
    </comment>
    <comment ref="I27" authorId="0" shapeId="0">
      <text>
        <t>Sistema: 9.31
Diferencia: 0.21</t>
      </text>
    </comment>
    <comment ref="S27" authorId="0" shapeId="0">
      <text>
        <t>Sistema: 9.15
Diferencia: 0.03</t>
      </text>
    </comment>
    <comment ref="E28" authorId="0" shapeId="0">
      <text>
        <t>Sistema: 8.79
Diferencia: 0.09</t>
      </text>
    </comment>
    <comment ref="I29" authorId="0" shapeId="0">
      <text>
        <t>Sistema: 8.66
Diferencia: 0.34</t>
      </text>
    </comment>
    <comment ref="K29" authorId="0" shapeId="0">
      <text>
        <t>Sistema: 9.30
Diferencia: 0.27</t>
      </text>
    </comment>
    <comment ref="S29" authorId="0" shapeId="0">
      <text>
        <t>Sistema: 8.94
Diferencia: 0.05</t>
      </text>
    </comment>
    <comment ref="E36" authorId="0" shapeId="0">
      <text>
        <t>Sistema: 8.23
Diferencia: 0.71</t>
      </text>
    </comment>
    <comment ref="S36" authorId="0" shapeId="0">
      <text>
        <t>Sistema: 7.95
Diferencia: 0.09</t>
      </text>
    </comment>
    <comment ref="E37" authorId="0" shapeId="0">
      <text>
        <t>Sistema: 7.00
Diferencia: 0.08</t>
      </text>
    </comment>
    <comment ref="I37" authorId="0" shapeId="0">
      <text>
        <t>Sistema: 7.00
Diferencia: 0.09</t>
      </text>
    </comment>
    <comment ref="M37" authorId="0" shapeId="0">
      <text>
        <t>Sistema: 7.00
Diferencia: 0.06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D3" authorId="0" shapeId="0">
      <text>
        <t>Sistema: 9.75
Diferencia: 0.22</t>
      </text>
    </comment>
    <comment ref="E3" authorId="0" shapeId="0">
      <text>
        <t>Sistema: 9.89
Diferencia: 0.07</t>
      </text>
    </comment>
    <comment ref="F3" authorId="0" shapeId="0">
      <text>
        <t>Sistema: 9.90
Diferencia: 0.19</t>
      </text>
    </comment>
    <comment ref="G3" authorId="0" shapeId="0">
      <text>
        <t>Sistema: 9.55
Diferencia: 0.34</t>
      </text>
    </comment>
    <comment ref="I3" authorId="0" shapeId="0">
      <text>
        <t>Sistema: 9.97
Diferencia: 0.10</t>
      </text>
    </comment>
    <comment ref="J3" authorId="0" shapeId="0">
      <text>
        <t>Sistema: 9.42
Diferencia: 0.19</t>
      </text>
    </comment>
    <comment ref="M3" authorId="0" shapeId="0">
      <text>
        <t>Sistema: 9.50
Diferencia: 0.16</t>
      </text>
    </comment>
    <comment ref="J4" authorId="0" shapeId="0">
      <text>
        <t>Sistema: 8.73
Diferencia: 0.60</t>
      </text>
    </comment>
    <comment ref="M4" authorId="0" shapeId="0">
      <text>
        <t>Sistema: 8.67
Diferencia: 0.08</t>
      </text>
    </comment>
    <comment ref="J5" authorId="0" shapeId="0">
      <text>
        <t>Sistema: 7.78
Diferencia: 0.60</t>
      </text>
    </comment>
    <comment ref="M5" authorId="0" shapeId="0">
      <text>
        <t>Sistema: 7.55
Diferencia: 0.09</t>
      </text>
    </comment>
    <comment ref="D6" authorId="0" shapeId="0">
      <text>
        <t>Sistema: 8.05
Diferencia: 0.12</t>
      </text>
    </comment>
    <comment ref="J6" authorId="0" shapeId="0">
      <text>
        <t>Sistema: 7.91
Diferencia: 0.12</t>
      </text>
    </comment>
    <comment ref="M6" authorId="0" shapeId="0">
      <text>
        <t>Sistema: 8.08
Diferencia: 0.04</t>
      </text>
    </comment>
    <comment ref="J7" authorId="0" shapeId="0">
      <text>
        <t>Sistema: 8.10
Diferencia: 0.35</t>
      </text>
    </comment>
    <comment ref="M7" authorId="0" shapeId="0">
      <text>
        <t>Sistema: 8.42
Diferencia: 0.06</t>
      </text>
    </comment>
    <comment ref="J8" authorId="0" shapeId="0">
      <text>
        <t>Sistema: 9.09
Diferencia: 0.59</t>
      </text>
    </comment>
    <comment ref="M8" authorId="0" shapeId="0">
      <text>
        <t>Sistema: 8.44
Diferencia: 0.08</t>
      </text>
    </comment>
    <comment ref="J9" authorId="0" shapeId="0">
      <text>
        <t>Sistema: 9.40
Diferencia: 0.13</t>
      </text>
    </comment>
    <comment ref="J10" authorId="0" shapeId="0">
      <text>
        <t>Sistema: 8.19
Diferencia: 0.40</t>
      </text>
    </comment>
    <comment ref="M10" authorId="0" shapeId="0">
      <text>
        <t>Sistema: 8.22
Diferencia: 0.07</t>
      </text>
    </comment>
    <comment ref="J11" authorId="0" shapeId="0">
      <text>
        <t>Sistema: 9.12
Diferencia: 0.50</t>
      </text>
    </comment>
    <comment ref="M11" authorId="0" shapeId="0">
      <text>
        <t>Sistema: 9.08
Diferencia: 0.07</t>
      </text>
    </comment>
    <comment ref="J12" authorId="0" shapeId="0">
      <text>
        <t>Sistema: 9.20
Diferencia: 1.10</t>
      </text>
    </comment>
    <comment ref="M12" authorId="0" shapeId="0">
      <text>
        <t>Sistema: 8.45
Diferencia: 0.15</t>
      </text>
    </comment>
    <comment ref="G13" authorId="0" shapeId="0">
      <text>
        <t>Sistema: 8.78
Diferencia: 0.34</t>
      </text>
    </comment>
    <comment ref="J13" authorId="0" shapeId="0">
      <text>
        <t>Sistema: 9.58
Diferencia: 1.08</t>
      </text>
    </comment>
    <comment ref="M13" authorId="0" shapeId="0">
      <text>
        <t>Sistema: 8.83
Diferencia: 0.15</t>
      </text>
    </comment>
    <comment ref="H14" authorId="0" shapeId="0">
      <text>
        <t>Sistema: 8.55
Diferencia: 0.03</t>
      </text>
    </comment>
    <comment ref="J14" authorId="0" shapeId="0">
      <text>
        <t>Sistema: 9.62
Diferencia: 0.18</t>
      </text>
    </comment>
    <comment ref="E15" authorId="0" shapeId="0">
      <text>
        <t>Sistema: 8.68
Diferencia: 0.28</t>
      </text>
    </comment>
    <comment ref="F15" authorId="0" shapeId="0">
      <text>
        <t>Sistema: 8.30
Diferencia: 0.20</t>
      </text>
    </comment>
    <comment ref="G15" authorId="0" shapeId="0">
      <text>
        <t>Sistema: 8.72
Diferencia: 0.22</t>
      </text>
    </comment>
    <comment ref="H15" authorId="0" shapeId="0">
      <text>
        <t>Sistema: 7.24
Diferencia: 0.04</t>
      </text>
    </comment>
    <comment ref="I15" authorId="0" shapeId="0">
      <text>
        <t>Sistema: 8.92
Diferencia: 0.14</t>
      </text>
    </comment>
    <comment ref="J15" authorId="0" shapeId="0">
      <text>
        <t>Sistema: 8.36
Diferencia: 0.40</t>
      </text>
    </comment>
    <comment ref="M15" authorId="0" shapeId="0">
      <text>
        <t>Sistema: 8.33
Diferencia: 0.16</t>
      </text>
    </comment>
    <comment ref="E16" authorId="0" shapeId="0">
      <text>
        <t>Sistema: 8.11
Diferencia: 0.28</t>
      </text>
    </comment>
    <comment ref="F16" authorId="0" shapeId="0">
      <text>
        <t>Sistema: 8.02
Diferencia: 0.21</t>
      </text>
    </comment>
    <comment ref="G16" authorId="0" shapeId="0">
      <text>
        <t>Sistema: 8.64
Diferencia: 0.23</t>
      </text>
    </comment>
    <comment ref="I16" authorId="0" shapeId="0">
      <text>
        <t>Sistema: 8.69
Diferencia: 0.16</t>
      </text>
    </comment>
    <comment ref="J16" authorId="0" shapeId="0">
      <text>
        <t>Sistema: 8.48
Diferencia: 0.27</t>
      </text>
    </comment>
    <comment ref="M16" authorId="0" shapeId="0">
      <text>
        <t>Sistema: 8.37
Diferencia: 0.09</t>
      </text>
    </comment>
    <comment ref="J17" authorId="0" shapeId="0">
      <text>
        <t>Sistema: 9.84
Diferencia: 0.03</t>
      </text>
    </comment>
    <comment ref="G18" authorId="0" shapeId="0">
      <text>
        <t>Sistema: 9.89
Diferencia: 0.18</t>
      </text>
    </comment>
    <comment ref="J18" authorId="0" shapeId="0">
      <text>
        <t>Sistema: 9.76
Diferencia: 0.46</t>
      </text>
    </comment>
    <comment ref="M18" authorId="0" shapeId="0">
      <text>
        <t>Sistema: 9.74
Diferencia: 0.08</t>
      </text>
    </comment>
    <comment ref="J19" authorId="0" shapeId="0">
      <text>
        <t>Sistema: 8.69
Diferencia: 0.60</t>
      </text>
    </comment>
    <comment ref="M19" authorId="0" shapeId="0">
      <text>
        <t>Sistema: 8.93
Diferencia: 0.09</t>
      </text>
    </comment>
    <comment ref="J20" authorId="0" shapeId="0">
      <text>
        <t>Sistema: 9.51
Diferencia: 0.52</t>
      </text>
    </comment>
    <comment ref="M20" authorId="0" shapeId="0">
      <text>
        <t>Sistema: 9.37
Diferencia: 0.07</t>
      </text>
    </comment>
    <comment ref="J22" authorId="0" shapeId="0">
      <text>
        <t>Sistema: 8.70
Diferencia: 0.18</t>
      </text>
    </comment>
    <comment ref="M22" authorId="0" shapeId="0">
      <text>
        <t>Sistema: 8.85
Diferencia: 0.03</t>
      </text>
    </comment>
    <comment ref="J23" authorId="0" shapeId="0">
      <text>
        <t>Sistema: 9.55
Diferencia: 0.59</t>
      </text>
    </comment>
    <comment ref="M23" authorId="0" shapeId="0">
      <text>
        <t>Sistema: 9.21
Diferencia: 0.08</t>
      </text>
    </comment>
    <comment ref="J24" authorId="0" shapeId="0">
      <text>
        <t>Sistema: 8.89
Diferencia: 0.52</t>
      </text>
    </comment>
    <comment ref="M24" authorId="0" shapeId="0">
      <text>
        <t>Sistema: 9.36
Diferencia: 0.08</t>
      </text>
    </comment>
    <comment ref="F25" authorId="0" shapeId="0">
      <text>
        <t>Sistema: 8.48
Diferencia: 0.39</t>
      </text>
    </comment>
    <comment ref="H25" authorId="0" shapeId="0">
      <text>
        <t>Sistema: 9.08
Diferencia: 0.04</t>
      </text>
    </comment>
    <comment ref="J25" authorId="0" shapeId="0">
      <text>
        <t>Sistema: 9.06
Diferencia: 0.24</t>
      </text>
    </comment>
    <comment ref="M25" authorId="0" shapeId="0">
      <text>
        <t>Sistema: 8.66
Diferencia: 0.04</t>
      </text>
    </comment>
    <comment ref="J27" authorId="0" shapeId="0">
      <text>
        <t>Sistema: 8.87
Diferencia: 0.19</t>
      </text>
    </comment>
    <comment ref="H28" authorId="0" shapeId="0">
      <text>
        <t>Sistema: 8.40
Diferencia: 0.03</t>
      </text>
    </comment>
    <comment ref="J28" authorId="0" shapeId="0">
      <text>
        <t>Sistema: 9.42
Diferencia: 0.51</t>
      </text>
    </comment>
    <comment ref="M28" authorId="0" shapeId="0">
      <text>
        <t>Sistema: 8.91
Diferencia: 0.06</t>
      </text>
    </comment>
    <comment ref="H29" authorId="0" shapeId="0">
      <text>
        <t>Sistema: 9.75
Diferencia: 0.03</t>
      </text>
    </comment>
    <comment ref="J29" authorId="0" shapeId="0">
      <text>
        <t>Sistema: 9.13
Diferencia: 0.57</t>
      </text>
    </comment>
    <comment ref="M29" authorId="0" shapeId="0">
      <text>
        <t>Sistema: 9.54
Diferencia: 0.09</t>
      </text>
    </comment>
    <comment ref="J30" authorId="0" shapeId="0">
      <text>
        <t>Sistema: 9.38
Diferencia: 0.08</t>
      </text>
    </comment>
    <comment ref="J31" authorId="0" shapeId="0">
      <text>
        <t>Sistema: 8.69
Diferencia: 0.07</t>
      </text>
    </comment>
    <comment ref="H33" authorId="0" shapeId="0">
      <text>
        <t>Sistema: 8.25
Diferencia: 0.03</t>
      </text>
    </comment>
    <comment ref="J33" authorId="0" shapeId="0">
      <text>
        <t>Sistema: 9.09
Diferencia: 0.19</t>
      </text>
    </comment>
    <comment ref="J34" authorId="0" shapeId="0">
      <text>
        <t>Sistema: 9.53
Diferencia: 0.40</t>
      </text>
    </comment>
    <comment ref="M34" authorId="0" shapeId="0">
      <text>
        <t>Sistema: 9.33
Diferencia: 0.05</t>
      </text>
    </comment>
    <comment ref="J35" authorId="0" shapeId="0">
      <text>
        <t>Sistema: 8.26
Diferencia: 0.44</t>
      </text>
    </comment>
    <comment ref="M35" authorId="0" shapeId="0">
      <text>
        <t>Sistema: 8.68
Diferencia: 0.07</t>
      </text>
    </comment>
    <comment ref="J36" authorId="0" shapeId="0">
      <text>
        <t>Sistema: 9.50
Diferencia: 0.13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F10" authorId="0" shapeId="0">
      <text>
        <t>Sistema: 9.55
Diferencia: 0.73</t>
      </text>
    </comment>
    <comment ref="M10" authorId="0" shapeId="0">
      <text>
        <t>Sistema: 9.05
Diferencia: 0.10</t>
      </text>
    </comment>
    <comment ref="F12" authorId="0" shapeId="0">
      <text>
        <t>Sistema: 9.05
Diferencia: 0.41</t>
      </text>
    </comment>
    <comment ref="M12" authorId="0" shapeId="0">
      <text>
        <t>Sistema: 8.39
Diferencia: 0.06</t>
      </text>
    </comment>
    <comment ref="C13" authorId="0" shapeId="0">
      <text>
        <t>Sistema: 7.85
Diferencia: 1.21</t>
      </text>
    </comment>
    <comment ref="M13" authorId="0" shapeId="0">
      <text>
        <t>Sistema: 7.90
Diferencia: 0.17</t>
      </text>
    </comment>
    <comment ref="C14" authorId="0" shapeId="0">
      <text>
        <t>Sistema: 7.88
Diferencia: 0.03</t>
      </text>
    </comment>
    <comment ref="C15" authorId="0" shapeId="0">
      <text>
        <t>Sistema: 7.44
Diferencia: 0.44</t>
      </text>
    </comment>
    <comment ref="E15" authorId="0" shapeId="0">
      <text>
        <t>Sistema: 6.23
Diferencia: 1.09</t>
      </text>
    </comment>
    <comment ref="M15" authorId="0" shapeId="0">
      <text>
        <t>Sistema: 7.51
Diferencia: 0.09</t>
      </text>
    </comment>
    <comment ref="C16" authorId="0" shapeId="0">
      <text>
        <t>Sistema: 8.59
Diferencia: 1.15</t>
      </text>
    </comment>
    <comment ref="F16" authorId="0" shapeId="0">
      <text>
        <t>Sistema: 8.85
Diferencia: 0.04</t>
      </text>
    </comment>
    <comment ref="M16" authorId="0" shapeId="0">
      <text>
        <t>Sistema: 8.61
Diferencia: 0.17</t>
      </text>
    </comment>
    <comment ref="C17" authorId="0" shapeId="0">
      <text>
        <t>Sistema: 9.15
Diferencia: 0.56</t>
      </text>
    </comment>
    <comment ref="F17" authorId="0" shapeId="0">
      <text>
        <t>Sistema: 8.39
Diferencia: 0.37</t>
      </text>
    </comment>
    <comment ref="M17" authorId="0" shapeId="0">
      <text>
        <t>Sistema: 8.79
Diferencia: 0.03</t>
      </text>
    </comment>
    <comment ref="C18" authorId="0" shapeId="0">
      <text>
        <t>Sistema: 7.53
Diferencia: 1.62</t>
      </text>
    </comment>
    <comment ref="D18" authorId="0" shapeId="0">
      <text>
        <t>Sistema: 7.66
Diferencia: 2.16</t>
      </text>
    </comment>
    <comment ref="E18" authorId="0" shapeId="0">
      <text>
        <t>Sistema: 6.86
Diferencia: 0.36</t>
      </text>
    </comment>
    <comment ref="F18" authorId="0" shapeId="0">
      <text>
        <t>Sistema: 8.20
Diferencia: 0.30</t>
      </text>
    </comment>
    <comment ref="M18" authorId="0" shapeId="0">
      <text>
        <t>Sistema: 6.63
Diferencia: 0.92</t>
      </text>
    </comment>
    <comment ref="C19" authorId="0" shapeId="0">
      <text>
        <t>Sistema: 8.21
Diferencia: 0.68</t>
      </text>
    </comment>
    <comment ref="F19" authorId="0" shapeId="0">
      <text>
        <t>Sistema: 8.35
Diferencia: 0.21</t>
      </text>
    </comment>
    <comment ref="M19" authorId="0" shapeId="0">
      <text>
        <t>Sistema: 8.36
Diferencia: 0.07</t>
      </text>
    </comment>
    <comment ref="C20" authorId="0" shapeId="0">
      <text>
        <t>Sistema: 9.00
Diferencia: 0.79</t>
      </text>
    </comment>
    <comment ref="F20" authorId="0" shapeId="0">
      <text>
        <t>Sistema: 8.13
Diferencia: 0.15</t>
      </text>
    </comment>
    <comment ref="M20" authorId="0" shapeId="0">
      <text>
        <t>Sistema: 8.30
Diferencia: 0.14</t>
      </text>
    </comment>
    <comment ref="C21" authorId="0" shapeId="0">
      <text>
        <t>Sistema: 7.53
Diferencia: 1.47</t>
      </text>
    </comment>
    <comment ref="F21" authorId="0" shapeId="0">
      <text>
        <t>Sistema: 8.65
Diferencia: 0.32</t>
      </text>
    </comment>
    <comment ref="M21" authorId="0" shapeId="0">
      <text>
        <t>Sistema: 7.77
Diferencia: 0.16</t>
      </text>
    </comment>
    <comment ref="C22" authorId="0" shapeId="0">
      <text>
        <t>Sistema: 7.98
Diferencia: 0.45</t>
      </text>
    </comment>
    <comment ref="F22" authorId="0" shapeId="0">
      <text>
        <t>Sistema: 8.23
Diferencia: 0.57</t>
      </text>
    </comment>
    <comment ref="C23" authorId="0" shapeId="0">
      <text>
        <t>Sistema: 8.71
Diferencia: 0.73</t>
      </text>
    </comment>
    <comment ref="F23" authorId="0" shapeId="0">
      <text>
        <t>Sistema: 8.76
Diferencia: 0.07</t>
      </text>
    </comment>
    <comment ref="M23" authorId="0" shapeId="0">
      <text>
        <t>Sistema: 8.31
Diferencia: 0.09</t>
      </text>
    </comment>
    <comment ref="C24" authorId="0" shapeId="0">
      <text>
        <t>Sistema: 7.54
Diferencia: 1.17</t>
      </text>
    </comment>
    <comment ref="M24" authorId="0" shapeId="0">
      <text>
        <t>Sistema: 7.48
Diferencia: 0.16</t>
      </text>
    </comment>
    <comment ref="C25" authorId="0" shapeId="0">
      <text>
        <t>Sistema: 7.96
Diferencia: 0.42</t>
      </text>
    </comment>
    <comment ref="M25" authorId="0" shapeId="0">
      <text>
        <t>Sistema: 7.52
Diferencia: 0.06</t>
      </text>
    </comment>
    <comment ref="C26" authorId="0" shapeId="0">
      <text>
        <t>Sistema: 7.70
Diferencia: 0.26</t>
      </text>
    </comment>
    <comment ref="M26" authorId="0" shapeId="0">
      <text>
        <t>Sistema: 7.96
Diferencia: 0.04</t>
      </text>
    </comment>
    <comment ref="C27" authorId="0" shapeId="0">
      <text>
        <t>Sistema: 9.24
Diferencia: 1.54</t>
      </text>
    </comment>
    <comment ref="F27" authorId="0" shapeId="0">
      <text>
        <t>Sistema: 9.31
Diferencia: 0.29</t>
      </text>
    </comment>
    <comment ref="M27" authorId="0" shapeId="0">
      <text>
        <t>Sistema: 8.89
Diferencia: 0.26</t>
      </text>
    </comment>
    <comment ref="C28" authorId="0" shapeId="0">
      <text>
        <t>Sistema: 8.67
Diferencia: 0.57</t>
      </text>
    </comment>
    <comment ref="F28" authorId="0" shapeId="0">
      <text>
        <t>Sistema: 8.73
Diferencia: 0.53</t>
      </text>
    </comment>
    <comment ref="C29" authorId="0" shapeId="0">
      <text>
        <t>Sistema: 7.86
Diferencia: 0.81</t>
      </text>
    </comment>
    <comment ref="F29" authorId="0" shapeId="0">
      <text>
        <t>Sistema: 8.18
Diferencia: 0.30</t>
      </text>
    </comment>
    <comment ref="M29" authorId="0" shapeId="0">
      <text>
        <t>Sistema: 8.21
Diferencia: 0.16</t>
      </text>
    </comment>
    <comment ref="C30" authorId="0" shapeId="0">
      <text>
        <t>Sistema: 8.21
Diferencia: 0.35</t>
      </text>
    </comment>
    <comment ref="F30" authorId="0" shapeId="0">
      <text>
        <t>Sistema: 7.90
Diferencia: 0.04</t>
      </text>
    </comment>
    <comment ref="M30" authorId="0" shapeId="0">
      <text>
        <t>Sistema: 8.31
Diferencia: 0.05</t>
      </text>
    </comment>
    <comment ref="C31" authorId="0" shapeId="0">
      <text>
        <t>Sistema: 7.05
Diferencia: 1.16</t>
      </text>
    </comment>
    <comment ref="F31" authorId="0" shapeId="0">
      <text>
        <t>Sistema: 8.06
Diferencia: 0.30</t>
      </text>
    </comment>
    <comment ref="M31" authorId="0" shapeId="0">
      <text>
        <t>Sistema: 7.72
Diferencia: 0.13</t>
      </text>
    </comment>
    <comment ref="C32" authorId="0" shapeId="0">
      <text>
        <t>Sistema: 8.09
Diferencia: 1.04</t>
      </text>
    </comment>
    <comment ref="F32" authorId="0" shapeId="0">
      <text>
        <t>Sistema: 7.65
Diferencia: 0.31</t>
      </text>
    </comment>
    <comment ref="M32" authorId="0" shapeId="0">
      <text>
        <t>Sistema: 8.29
Diferencia: 0.10</t>
      </text>
    </comment>
    <comment ref="C33" authorId="0" shapeId="0">
      <text>
        <t>Sistema: 9.32
Diferencia: 1.23</t>
      </text>
    </comment>
    <comment ref="F33" authorId="0" shapeId="0">
      <text>
        <t>Sistema: 9.10
Diferencia: 0.05</t>
      </text>
    </comment>
    <comment ref="M33" authorId="0" shapeId="0">
      <text>
        <t>Sistema: 8.84
Diferencia: 0.17</t>
      </text>
    </comment>
    <comment ref="C34" authorId="0" shapeId="0">
      <text>
        <t>Sistema: 7.54
Diferencia: 1.78</t>
      </text>
    </comment>
    <comment ref="F34" authorId="0" shapeId="0">
      <text>
        <t>Sistema: 8.38
Diferencia: 0.20</t>
      </text>
    </comment>
    <comment ref="M34" authorId="0" shapeId="0">
      <text>
        <t>Sistema: 7.86
Diferencia: 0.22</t>
      </text>
    </comment>
    <comment ref="C35" authorId="0" shapeId="0">
      <text>
        <t>Sistema: 9.29
Diferencia: 1.75</t>
      </text>
    </comment>
    <comment ref="F35" authorId="0" shapeId="0">
      <text>
        <t>Sistema: 8.60
Diferencia: 0.17</t>
      </text>
    </comment>
    <comment ref="M35" authorId="0" shapeId="0">
      <text>
        <t>Sistema: 8.82
Diferencia: 0.22</t>
      </text>
    </comment>
    <comment ref="C36" authorId="0" shapeId="0">
      <text>
        <t>Sistema: 7.64
Diferencia: 1.65</t>
      </text>
    </comment>
    <comment ref="F36" authorId="0" shapeId="0">
      <text>
        <t>Sistema: 7.55
Diferencia: 0.06</t>
      </text>
    </comment>
    <comment ref="M36" authorId="0" shapeId="0">
      <text>
        <t>Sistema: 7.50
Diferencia: 0.23</t>
      </text>
    </comment>
    <comment ref="C37" authorId="0" shapeId="0">
      <text>
        <t>Sistema: 9.01
Diferencia: 1.37</t>
      </text>
    </comment>
    <comment ref="F37" authorId="0" shapeId="0">
      <text>
        <t>Sistema: 8.19
Diferencia: 0.05</t>
      </text>
    </comment>
    <comment ref="M37" authorId="0" shapeId="0">
      <text>
        <t>Sistema: 8.57
Diferencia: 0.21</t>
      </text>
    </comment>
    <comment ref="C38" authorId="0" shapeId="0">
      <text>
        <t>Sistema: 7.54
Diferencia: 1.47</t>
      </text>
    </comment>
    <comment ref="F38" authorId="0" shapeId="0">
      <text>
        <t>Sistema: 8.70
Diferencia: 0.08</t>
      </text>
    </comment>
    <comment ref="M38" authorId="0" shapeId="0">
      <text>
        <t>Sistema: 8.11
Diferencia: 0.22</t>
      </text>
    </comment>
    <comment ref="C39" authorId="0" shapeId="0">
      <text>
        <t>Sistema: 7.83
Diferencia: 0.29</t>
      </text>
    </comment>
    <comment ref="M39" authorId="0" shapeId="0">
      <text>
        <t>Sistema: 7.69
Diferencia: 0.05</t>
      </text>
    </comment>
    <comment ref="C40" authorId="0" shapeId="0">
      <text>
        <t>Sistema: 9.27
Diferencia: 1.44</t>
      </text>
    </comment>
    <comment ref="M40" authorId="0" shapeId="0">
      <text>
        <t>Sistema: 8.99
Diferencia: 0.21</t>
      </text>
    </comment>
    <comment ref="C41" authorId="0" shapeId="0">
      <text>
        <t>Sistema: 7.66
Diferencia: 1.61</t>
      </text>
    </comment>
    <comment ref="M41" authorId="0" shapeId="0">
      <text>
        <t>Sistema: 7.89
Diferencia: 0.23</t>
      </text>
    </comment>
    <comment ref="C42" authorId="0" shapeId="0">
      <text>
        <t>Sistema: 7.10
Diferencia: 0.56</t>
      </text>
    </comment>
    <comment ref="D42" authorId="0" shapeId="0">
      <text>
        <t>Sistema: 6.91
Diferencia: 1.41</t>
      </text>
    </comment>
    <comment ref="M42" authorId="0" shapeId="0">
      <text>
        <t>Sistema: 7.49
Diferencia: 0.12</t>
      </text>
    </comment>
    <comment ref="C43" authorId="0" shapeId="0">
      <text>
        <t>Sistema: 8.43
Diferencia: 1.33</t>
      </text>
    </comment>
    <comment ref="M43" authorId="0" shapeId="0">
      <text>
        <t>Sistema: 8.07
Diferencia: 0.19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G7" authorId="0" shapeId="0">
      <text>
        <t>Sistema: 8.94
Diferencia: 0.48</t>
      </text>
    </comment>
    <comment ref="N7" authorId="0" shapeId="0">
      <text>
        <t>Sistema: 9.06
Diferencia: 0.07</t>
      </text>
    </comment>
    <comment ref="F8" authorId="0" shapeId="0">
      <text>
        <t>Sistema: 7.08
Diferencia: 0.04</t>
      </text>
    </comment>
    <comment ref="G8" authorId="0" shapeId="0">
      <text>
        <t>Sistema: 8.08
Diferencia: 0.81</t>
      </text>
    </comment>
    <comment ref="N8" authorId="0" shapeId="0">
      <text>
        <t>Sistema: 8.07
Diferencia: 0.12</t>
      </text>
    </comment>
    <comment ref="G9" authorId="0" shapeId="0">
      <text>
        <t>Sistema: 7.68
Diferencia: 0.73</t>
      </text>
    </comment>
    <comment ref="N9" authorId="0" shapeId="0">
      <text>
        <t>Sistema: 8.16
Diferencia: 0.10</t>
      </text>
    </comment>
    <comment ref="G10" authorId="0" shapeId="0">
      <text>
        <t>Sistema: 9.95
Diferencia: 0.05</t>
      </text>
    </comment>
    <comment ref="D11" authorId="0" shapeId="0">
      <text>
        <t>Sistema: 9.06
Diferencia: 1.44</t>
      </text>
    </comment>
    <comment ref="G11" authorId="0" shapeId="0">
      <text>
        <t>Sistema: 9.28
Diferencia: 0.67</t>
      </text>
    </comment>
    <comment ref="J11" authorId="0" shapeId="0">
      <text>
        <t>Sistema: 9.19
Diferencia: 0.18</t>
      </text>
    </comment>
    <comment ref="N11" authorId="0" shapeId="0">
      <text>
        <t>Sistema: 8.88
Diferencia: 0.32</t>
      </text>
    </comment>
    <comment ref="D12" authorId="0" shapeId="0">
      <text>
        <t>Sistema: 7.62
Diferencia: 0.44</t>
      </text>
    </comment>
    <comment ref="G12" authorId="0" shapeId="0">
      <text>
        <t>Sistema: 7.94
Diferencia: 0.63</t>
      </text>
    </comment>
    <comment ref="N12" authorId="0" shapeId="0">
      <text>
        <t>Sistema: 7.69
Diferencia: 0.15</t>
      </text>
    </comment>
    <comment ref="D13" authorId="0" shapeId="0">
      <text>
        <t>Sistema: 8.06
Diferencia: 0.72</t>
      </text>
    </comment>
    <comment ref="G13" authorId="0" shapeId="0">
      <text>
        <t>Sistema: 7.81
Diferencia: 0.67</t>
      </text>
    </comment>
    <comment ref="N13" authorId="0" shapeId="0">
      <text>
        <t>Sistema: 8.02
Diferencia: 0.19</t>
      </text>
    </comment>
    <comment ref="D14" authorId="0" shapeId="0">
      <text>
        <t>Sistema: 8.78
Diferencia: 0.50</t>
      </text>
    </comment>
    <comment ref="F14" authorId="0" shapeId="0">
      <text>
        <t>Sistema: 7.49
Diferencia: 0.05</t>
      </text>
    </comment>
    <comment ref="G14" authorId="0" shapeId="0">
      <text>
        <t>Sistema: 8.95
Diferencia: 0.38</t>
      </text>
    </comment>
    <comment ref="N14" authorId="0" shapeId="0">
      <text>
        <t>Sistema: 8.70
Diferencia: 0.12</t>
      </text>
    </comment>
    <comment ref="D15" authorId="0" shapeId="0">
      <text>
        <t>Sistema: 8.28
Diferencia: 0.06</t>
      </text>
    </comment>
    <comment ref="F15" authorId="0" shapeId="0">
      <text>
        <t>Sistema: 7.41
Diferencia: 0.22</t>
      </text>
    </comment>
    <comment ref="G15" authorId="0" shapeId="0">
      <text>
        <t>Sistema: 8.43
Diferencia: 0.28</t>
      </text>
    </comment>
    <comment ref="D16" authorId="0" shapeId="0">
      <text>
        <t>Sistema: 8.34
Diferencia: 0.18</t>
      </text>
    </comment>
    <comment ref="F16" authorId="0" shapeId="0">
      <text>
        <t>Sistema: 7.40
Diferencia: 0.22</t>
      </text>
    </comment>
    <comment ref="G16" authorId="0" shapeId="0">
      <text>
        <t>Sistema: 8.73
Diferencia: 0.10</t>
      </text>
    </comment>
    <comment ref="N16" authorId="0" shapeId="0">
      <text>
        <t>Sistema: 8.19
Diferencia: 0.07</t>
      </text>
    </comment>
    <comment ref="D18" authorId="0" shapeId="0">
      <text>
        <t>Sistema: 7.78
Diferencia: 1.90</t>
      </text>
    </comment>
    <comment ref="G18" authorId="0" shapeId="0">
      <text>
        <t>Sistema: 8.15
Diferencia: 0.49</t>
      </text>
    </comment>
    <comment ref="N18" authorId="0" shapeId="0">
      <text>
        <t>Sistema: 7.71
Diferencia: 0.34</t>
      </text>
    </comment>
    <comment ref="D19" authorId="0" shapeId="0">
      <text>
        <t>Sistema: 9.68
Diferencia: 0.28</t>
      </text>
    </comment>
    <comment ref="G19" authorId="0" shapeId="0">
      <text>
        <t>Sistema: 9.05
Diferencia: 0.49</t>
      </text>
    </comment>
    <comment ref="N19" authorId="0" shapeId="0">
      <text>
        <t>Sistema: 9.35
Diferencia: 0.11</t>
      </text>
    </comment>
    <comment ref="D20" authorId="0" shapeId="0">
      <text>
        <t>Sistema: 9.40
Diferencia: 2.21</t>
      </text>
    </comment>
    <comment ref="G20" authorId="0" shapeId="0">
      <text>
        <t>Sistema: 9.05
Diferencia: 0.49</t>
      </text>
    </comment>
    <comment ref="N20" authorId="0" shapeId="0">
      <text>
        <t>Sistema: 9.26
Diferencia: 0.38</t>
      </text>
    </comment>
    <comment ref="D21" authorId="0" shapeId="0">
      <text>
        <t>Sistema: 7.19
Diferencia: 0.26</t>
      </text>
    </comment>
    <comment ref="G21" authorId="0" shapeId="0">
      <text>
        <t>Sistema: 8.78
Diferencia: 0.47</t>
      </text>
    </comment>
    <comment ref="N21" authorId="0" shapeId="0">
      <text>
        <t>Sistema: 7.65
Diferencia: 0.03</t>
      </text>
    </comment>
    <comment ref="D23" authorId="0" shapeId="0">
      <text>
        <t>Sistema: 7.21
Diferencia: 2.34</t>
      </text>
    </comment>
    <comment ref="F23" authorId="0" shapeId="0">
      <text>
        <t>Sistema: 6.54
Diferencia: 1.40</t>
      </text>
    </comment>
    <comment ref="G23" authorId="0" shapeId="0">
      <text>
        <t>Sistema: 7.96
Diferencia: 1.05</t>
      </text>
    </comment>
    <comment ref="N23" authorId="0" shapeId="0">
      <text>
        <t>Sistema: 7.64
Diferencia: 0.28</t>
      </text>
    </comment>
    <comment ref="D24" authorId="0" shapeId="0">
      <text>
        <t>Sistema: 9.55
Diferencia: 2.10</t>
      </text>
    </comment>
    <comment ref="F24" authorId="0" shapeId="0">
      <text>
        <t>Sistema: 9.32
Diferencia: 1.20</t>
      </text>
    </comment>
    <comment ref="G24" authorId="0" shapeId="0">
      <text>
        <t>Sistema: 9.71
Diferencia: 0.98</t>
      </text>
    </comment>
    <comment ref="N24" authorId="0" shapeId="0">
      <text>
        <t>Sistema: 9.64
Diferencia: 0.62</t>
      </text>
    </comment>
    <comment ref="D25" authorId="0" shapeId="0">
      <text>
        <t>Sistema: 7.45
Diferencia: 0.44</t>
      </text>
    </comment>
    <comment ref="G25" authorId="0" shapeId="0">
      <text>
        <t>Sistema: 7.84
Diferencia: 1.20</t>
      </text>
    </comment>
    <comment ref="N25" authorId="0" shapeId="0">
      <text>
        <t>Sistema: 7.91
Diferencia: 0.11</t>
      </text>
    </comment>
    <comment ref="G26" authorId="0" shapeId="0">
      <text>
        <t>Sistema: 8.32
Diferencia: 0.47</t>
      </text>
    </comment>
    <comment ref="N26" authorId="0" shapeId="0">
      <text>
        <t>Sistema: 7.61
Diferencia: 0.07</t>
      </text>
    </comment>
    <comment ref="D28" authorId="0" shapeId="0">
      <text>
        <t>Sistema: 8.89
Diferencia: 0.34</t>
      </text>
    </comment>
    <comment ref="G28" authorId="0" shapeId="0">
      <text>
        <t>Sistema: 8.57
Diferencia: 0.03</t>
      </text>
    </comment>
    <comment ref="N28" authorId="0" shapeId="0">
      <text>
        <t>Sistema: 8.40
Diferencia: 0.04</t>
      </text>
    </comment>
    <comment ref="D29" authorId="0" shapeId="0">
      <text>
        <t>Sistema: 8.55
Diferencia: 0.28</t>
      </text>
    </comment>
    <comment ref="G29" authorId="0" 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d="0">
      <text>
        <t>Sistema: 8.83
Diferencia: 0.15</t>
      </text>
    </comment>
    <comment ref="G30" authorId="0" shapeId="0">
      <text>
        <t>Sistema: 9.08
Diferencia: 0.65</t>
      </text>
    </comment>
    <comment ref="N30" authorId="0" shapeId="0">
      <text>
        <t>Sistema: 8.63
Diferencia: 0.12</t>
      </text>
    </comment>
    <comment ref="D31" authorId="0" shapeId="0">
      <text>
        <t>Sistema: 8.68
Diferencia: 0.07</t>
      </text>
    </comment>
    <comment ref="G31" authorId="0" shapeId="0">
      <text>
        <t>Sistema: 9.38
Diferencia: 0.71</t>
      </text>
    </comment>
    <comment ref="N31" authorId="0" shapeId="0">
      <text>
        <t>Sistema: 8.72
Diferencia: 0.09</t>
      </text>
    </comment>
    <comment ref="D32" authorId="0" shapeId="0">
      <text>
        <t>Sistema: 8.75
Diferencia: 1.08</t>
      </text>
    </comment>
    <comment ref="G32" authorId="0" shapeId="0">
      <text>
        <t>Sistema: 9.31
Diferencia: 0.09</t>
      </text>
    </comment>
    <comment ref="N32" authorId="0" shapeId="0">
      <text>
        <t>Sistema: 8.61
Diferencia: 0.15</t>
      </text>
    </comment>
    <comment ref="D33" authorId="0" shapeId="0">
      <text>
        <t>Sistema: 7.67
Diferencia: 2.00</t>
      </text>
    </comment>
    <comment ref="G33" authorId="0" shapeId="0">
      <text>
        <t>Sistema: 8.69
Diferencia: 0.24</t>
      </text>
    </comment>
    <comment ref="N33" authorId="0" shapeId="0">
      <text>
        <t>Sistema: 7.98
Diferencia: 0.25</t>
      </text>
    </comment>
    <comment ref="D34" authorId="0" shapeId="0">
      <text>
        <t>Sistema: 9.67
Diferencia: 2.13</t>
      </text>
    </comment>
    <comment ref="F34" authorId="0" shapeId="0">
      <text>
        <t>Sistema: 8.53
Diferencia: 0.05</t>
      </text>
    </comment>
    <comment ref="G34" authorId="0" shapeId="0">
      <text>
        <t>Sistema: 9.61
Diferencia: 0.97</t>
      </text>
    </comment>
    <comment ref="N34" authorId="0" shapeId="0">
      <text>
        <t>Sistema: 9.28
Diferencia: 0.44</t>
      </text>
    </comment>
    <comment ref="D35" authorId="0" shapeId="0">
      <text>
        <t>Sistema: 7.54
Diferencia: 0.57</t>
      </text>
    </comment>
    <comment ref="G35" authorId="0" shapeId="0">
      <text>
        <t>Sistema: 7.92
Diferencia: 0.06</t>
      </text>
    </comment>
    <comment ref="J35" authorId="0" shapeId="0">
      <text>
        <t>Sistema: 7.98
Diferencia: 0.09</t>
      </text>
    </comment>
    <comment ref="N35" authorId="0" shapeId="0">
      <text>
        <t>Sistema: 7.79
Diferencia: 0.08</t>
      </text>
    </comment>
    <comment ref="D36" authorId="0" shapeId="0">
      <text>
        <t>Sistema: 8.11
Diferencia: 1.59</t>
      </text>
    </comment>
    <comment ref="G36" authorId="0" shapeId="0">
      <text>
        <t>Sistema: 8.75
Diferencia: 0.31</t>
      </text>
    </comment>
    <comment ref="N36" authorId="0" shapeId="0">
      <text>
        <t>Sistema: 8.32
Diferencia: 0.18</t>
      </text>
    </comment>
    <comment ref="D37" authorId="0" shapeId="0">
      <text>
        <t>Sistema: 9.70
Diferencia: 2.51</t>
      </text>
    </comment>
    <comment ref="G37" authorId="0" shapeId="0">
      <text>
        <t>Sistema: 9.14
Diferencia: 0.08</t>
      </text>
    </comment>
    <comment ref="N37" authorId="0" shapeId="0">
      <text>
        <t>Sistema: 9.21
Diferencia: 0.37</t>
      </text>
    </comment>
    <comment ref="D39" authorId="0" shapeId="0">
      <text>
        <t>Sistema: 7.89
Diferencia: 0.89</t>
      </text>
    </comment>
    <comment ref="G39" authorId="0" shapeId="0">
      <text>
        <t>Sistema: 8.01
Diferencia: 0.51</t>
      </text>
    </comment>
    <comment ref="N39" authorId="0" shapeId="0">
      <text>
        <t>Sistema: 7.54
Diferencia: 0.05</t>
      </text>
    </comment>
    <comment ref="D40" authorId="0" shapeId="0">
      <text>
        <t>Sistema: 7.00
Diferencia: 1.93</t>
      </text>
    </comment>
    <comment ref="G40" authorId="0" shapeId="0">
      <text>
        <t>Sistema: 8.39
Diferencia: 1.23</t>
      </text>
    </comment>
    <comment ref="N40" authorId="0" shapeId="0">
      <text>
        <t>Sistema: 7.46
Diferencia: 0.45</t>
      </text>
    </comment>
    <comment ref="D41" authorId="0" shapeId="0">
      <text>
        <t>Sistema: 8.93
Diferencia: 0.91</t>
      </text>
    </comment>
    <comment ref="G41" authorId="0" shapeId="0">
      <text>
        <t>Sistema: 8.70
Diferencia: 0.06</t>
      </text>
    </comment>
    <comment ref="N41" authorId="0" shapeId="0">
      <text>
        <t>Sistema: 8.47
Diferencia: 0.14</t>
      </text>
    </comment>
    <comment ref="D42" authorId="0" shapeId="0">
      <text>
        <t>Sistema: 9.84
Diferencia: 0.29</t>
      </text>
    </comment>
    <comment ref="N42" authorId="0" shapeId="0">
      <text>
        <t>Sistema: 9.46
Diferencia: 0.08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D9" authorId="0" shapeId="0">
      <text>
        <t>Sistema: 8.66
Diferencia: 0.33</t>
      </text>
    </comment>
    <comment ref="N9" authorId="0" shapeId="0">
      <text>
        <t>Sistema: 8.13
Diferencia: 0.04</t>
      </text>
    </comment>
    <comment ref="D12" authorId="0" shapeId="0">
      <text>
        <t>Sistema: 9.21
Diferencia: 0.07</t>
      </text>
    </comment>
    <comment ref="G12" authorId="0" shapeId="0">
      <text>
        <t>Sistema: 8.96
Diferencia: 0.08</t>
      </text>
    </comment>
    <comment ref="H12" authorId="0" shapeId="0">
      <text>
        <t>Sistema: 9.67
Diferencia: 0.42</t>
      </text>
    </comment>
    <comment ref="N12" authorId="0" shapeId="0">
      <text>
        <t>Sistema: 9.03
Diferencia: 0.06</t>
      </text>
    </comment>
    <comment ref="D13" authorId="0" shapeId="0">
      <text>
        <t>Sistema: 7.53
Diferencia: 0.43</t>
      </text>
    </comment>
    <comment ref="G13" authorId="0" shapeId="0">
      <text>
        <t>Sistema: 7.96
Diferencia: 0.39</t>
      </text>
    </comment>
    <comment ref="H13" authorId="0" shapeId="0">
      <text>
        <t>Sistema: 7.41
Diferencia: 0.76</t>
      </text>
    </comment>
    <comment ref="N13" authorId="0" shapeId="0">
      <text>
        <t>Sistema: 7.45
Diferencia: 0.22</t>
      </text>
    </comment>
    <comment ref="G14" authorId="0" shapeId="0">
      <text>
        <t>Sistema: 8.45
Diferencia: 0.80</t>
      </text>
    </comment>
    <comment ref="H14" authorId="0" shapeId="0">
      <text>
        <t>Sistema: 7.49
Diferencia: 0.29</t>
      </text>
    </comment>
    <comment ref="I14" authorId="0" shapeId="0">
      <text>
        <t>Sistema: 7.92
Diferencia: 0.06</t>
      </text>
    </comment>
    <comment ref="N14" authorId="0" shapeId="0">
      <text>
        <t>Sistema: 7.69
Diferencia: 0.08</t>
      </text>
    </comment>
    <comment ref="D15" authorId="0" shapeId="0">
      <text>
        <t>Sistema: 8.14
Diferencia: 0.30</t>
      </text>
    </comment>
    <comment ref="G15" authorId="0" shapeId="0">
      <text>
        <t>Sistema: 8.00
Diferencia: 0.85</t>
      </text>
    </comment>
    <comment ref="N15" authorId="0" shapeId="0">
      <text>
        <t>Sistema: 8.03
Diferencia: 0.08</t>
      </text>
    </comment>
    <comment ref="D16" authorId="0" shapeId="0">
      <text>
        <t>Sistema: 7.41
Diferencia: 0.21</t>
      </text>
    </comment>
    <comment ref="G16" authorId="0" shapeId="0">
      <text>
        <t>Sistema: 8.92
Diferencia: 0.29</t>
      </text>
    </comment>
    <comment ref="D17" authorId="0" shapeId="0">
      <text>
        <t>Sistema: 9.02
Diferencia: 0.43</t>
      </text>
    </comment>
    <comment ref="G17" authorId="0" shapeId="0">
      <text>
        <t>Sistema: 8.85
Diferencia: 0.70</t>
      </text>
    </comment>
    <comment ref="N17" authorId="0" shapeId="0">
      <text>
        <t>Sistema: 8.71
Diferencia: 0.16</t>
      </text>
    </comment>
    <comment ref="D18" authorId="0" shapeId="0">
      <text>
        <t>Sistema: 7.68
Diferencia: 0.61</t>
      </text>
    </comment>
    <comment ref="G18" authorId="0" shapeId="0">
      <text>
        <t>Sistema: 7.50
Diferencia: 0.18</t>
      </text>
    </comment>
    <comment ref="N18" authorId="0" shapeId="0">
      <text>
        <t>Sistema: 7.35
Diferencia: 0.06</t>
      </text>
    </comment>
    <comment ref="D19" authorId="0" shapeId="0">
      <text>
        <t>Sistema: 8.34
Diferencia: 0.25</t>
      </text>
    </comment>
    <comment ref="G19" authorId="0" shapeId="0">
      <text>
        <t>Sistema: 7.85
Diferencia: 1.41</t>
      </text>
    </comment>
    <comment ref="N19" authorId="0" shapeId="0">
      <text>
        <t>Sistema: 8.26
Diferencia: 0.16</t>
      </text>
    </comment>
    <comment ref="D20" authorId="0" shapeId="0">
      <text>
        <t>Sistema: 9.07
Diferencia: 0.28</t>
      </text>
    </comment>
    <comment ref="G20" authorId="0" shapeId="0">
      <text>
        <t>Sistema: 9.16
Diferencia: 0.30</t>
      </text>
    </comment>
    <comment ref="N20" authorId="0" shapeId="0">
      <text>
        <t>Sistema: 8.99
Diferencia: 0.08</t>
      </text>
    </comment>
    <comment ref="D21" authorId="0" shapeId="0">
      <text>
        <t>Sistema: 8.87
Diferencia: 0.32</t>
      </text>
    </comment>
    <comment ref="G21" authorId="0" shapeId="0">
      <text>
        <t>Sistema: 8.99
Diferencia: 1.17</t>
      </text>
    </comment>
    <comment ref="N21" authorId="0" shapeId="0">
      <text>
        <t>Sistema: 8.67
Diferencia: 0.12</t>
      </text>
    </comment>
    <comment ref="D22" authorId="0" shapeId="0">
      <text>
        <t>Sistema: 7.57
Diferencia: 0.28</t>
      </text>
    </comment>
    <comment ref="E22" authorId="0" shapeId="0">
      <text>
        <t>Sistema: 7.00
Diferencia: 0.06</t>
      </text>
    </comment>
    <comment ref="G22" authorId="0" shapeId="0">
      <text>
        <t>Sistema: 7.18
Diferencia: 1.07</t>
      </text>
    </comment>
    <comment ref="N22" authorId="0" shapeId="0">
      <text>
        <t>Sistema: 7.45
Diferencia: 0.20</t>
      </text>
    </comment>
    <comment ref="D23" authorId="0" shapeId="0">
      <text>
        <t>Sistema: 8.56
Diferencia: 0.66</t>
      </text>
    </comment>
    <comment ref="N23" authorId="0" shapeId="0">
      <text>
        <t>Sistema: 8.57
Diferencia: 0.09</t>
      </text>
    </comment>
    <comment ref="D24" authorId="0" shapeId="0">
      <text>
        <t>Sistema: 7.68
Diferencia: 0.40</t>
      </text>
    </comment>
    <comment ref="G24" authorId="0" shapeId="0">
      <text>
        <t>Sistema: 8.69
Diferencia: 0.55</t>
      </text>
    </comment>
    <comment ref="D25" authorId="0" shapeId="0">
      <text>
        <t>Sistema: 7.07
Diferencia: 0.28</t>
      </text>
    </comment>
    <comment ref="G25" authorId="0" shapeId="0">
      <text>
        <t>Sistema: 7.90
Diferencia: 0.61</t>
      </text>
    </comment>
    <comment ref="N25" authorId="0" shapeId="0">
      <text>
        <t>Sistema: 7.32
Diferencia: 0.04</t>
      </text>
    </comment>
    <comment ref="D26" authorId="0" shapeId="0">
      <text>
        <t>Sistema: 7.32
Diferencia: 0.12</t>
      </text>
    </comment>
    <comment ref="G26" authorId="0" shapeId="0">
      <text>
        <t>Sistema: 7.19
Diferencia: 0.13</t>
      </text>
    </comment>
    <comment ref="D27" authorId="0" shapeId="0">
      <text>
        <t>Sistema: 7.40
Diferencia: 0.10</t>
      </text>
    </comment>
    <comment ref="G27" authorId="0" shapeId="0">
      <text>
        <t>Sistema: 7.60
Diferencia: 1.31</t>
      </text>
    </comment>
    <comment ref="N27" authorId="0" shapeId="0">
      <text>
        <t>Sistema: 7.60
Diferencia: 0.20</t>
      </text>
    </comment>
    <comment ref="D28" authorId="0" shapeId="0">
      <text>
        <t>Sistema: 8.37
Diferencia: 0.34</t>
      </text>
    </comment>
    <comment ref="N28" authorId="0" shapeId="0">
      <text>
        <t>Sistema: 8.10
Diferencia: 0.05</t>
      </text>
    </comment>
    <comment ref="D29" authorId="0" shapeId="0">
      <text>
        <t>Sistema: 8.90
Diferencia: 0.10</t>
      </text>
    </comment>
    <comment ref="G29" authorId="0" shapeId="0">
      <text>
        <t>Sistema: 8.87
Diferencia: 0.63</t>
      </text>
    </comment>
    <comment ref="N29" authorId="0" shapeId="0">
      <text>
        <t>Sistema: 8.37
Diferencia: 0.10</t>
      </text>
    </comment>
    <comment ref="D30" authorId="0" shapeId="0">
      <text>
        <t>Sistema: 7.92
Diferencia: 0.25</t>
      </text>
    </comment>
    <comment ref="G30" authorId="0" shapeId="0">
      <text>
        <t>Sistema: 8.28
Diferencia: 0.70</t>
      </text>
    </comment>
    <comment ref="N30" authorId="0" shapeId="0">
      <text>
        <t>Sistema: 7.46
Diferencia: 0.14</t>
      </text>
    </comment>
    <comment ref="D31" authorId="0" shapeId="0">
      <text>
        <t>Sistema: 9.02
Diferencia: 0.31</t>
      </text>
    </comment>
    <comment ref="N31" authorId="0" shapeId="0">
      <text>
        <t>Sistema: 8.79
Diferencia: 0.04</t>
      </text>
    </comment>
    <comment ref="D32" authorId="0" shapeId="0">
      <text>
        <t>Sistema: 9.71
Diferencia: 0.25</t>
      </text>
    </comment>
    <comment ref="F32" authorId="0" shapeId="0">
      <text>
        <t>Sistema: 9.10
Diferencia: 0.38</t>
      </text>
    </comment>
    <comment ref="G32" authorId="0" shapeId="0">
      <text>
        <t>Sistema: 9.33
Diferencia: 0.03</t>
      </text>
    </comment>
    <comment ref="D33" authorId="0" shapeId="0">
      <text>
        <t>Sistema: 9.13
Diferencia: 0.08</t>
      </text>
    </comment>
    <comment ref="G33" authorId="0" shapeId="0">
      <text>
        <t>Sistema: 9.13
Diferencia: 1.24</t>
      </text>
    </comment>
    <comment ref="N33" authorId="0" shapeId="0">
      <text>
        <t>Sistema: 8.78
Diferencia: 0.19</t>
      </text>
    </comment>
    <comment ref="F34" authorId="0" shapeId="0">
      <text>
        <t>Sistema: 7.00
Diferencia: 0.05</t>
      </text>
    </comment>
    <comment ref="G34" authorId="0" shapeId="0">
      <text>
        <t>Sistema: 7.70
Diferencia: 0.22</t>
      </text>
    </comment>
    <comment ref="H34" authorId="0" shapeId="0">
      <text>
        <t>Sistema: 8.32
Diferencia: 0.15</t>
      </text>
    </comment>
    <comment ref="N34" authorId="0" shapeId="0">
      <text>
        <t>Sistema: 8.06
Diferencia: 0.06</t>
      </text>
    </comment>
    <comment ref="G35" authorId="0" shapeId="0">
      <text>
        <t>Sistema: 7.78
Diferencia: 0.25</t>
      </text>
    </comment>
    <comment ref="H35" authorId="0" shapeId="0">
      <text>
        <t>Sistema: 7.48
Diferencia: 0.08</t>
      </text>
    </comment>
    <comment ref="N35" authorId="0" shapeId="0">
      <text>
        <t>Sistema: 7.31
Diferencia: 0.05</t>
      </text>
    </comment>
    <comment ref="G36" authorId="0" shapeId="0">
      <text>
        <t>Sistema: 8.11
Diferencia: 0.07</t>
      </text>
    </comment>
    <comment ref="H36" authorId="0" shapeId="0">
      <text>
        <t>Sistema: 7.94
Diferencia: 0.10</t>
      </text>
    </comment>
    <comment ref="N36" authorId="0" shapeId="0">
      <text>
        <t>Sistema: 7.69
Diferencia: 0.03</t>
      </text>
    </comment>
    <comment ref="G37" authorId="0" shapeId="0">
      <text>
        <t>Sistema: 7.59
Diferencia: 0.49</t>
      </text>
    </comment>
    <comment ref="H37" authorId="0" shapeId="0">
      <text>
        <t>Sistema: 8.08
Diferencia: 0.36</t>
      </text>
    </comment>
    <comment ref="G38" authorId="0" shapeId="0">
      <text>
        <t>Sistema: 8.01
Diferencia: 0.86</t>
      </text>
    </comment>
    <comment ref="H38" authorId="0" shapeId="0">
      <text>
        <t>Sistema: 7.59
Diferencia: 0.13</t>
      </text>
    </comment>
    <comment ref="N38" authorId="0" shapeId="0">
      <text>
        <t>Sistema: 7.63
Diferencia: 0.14</t>
      </text>
    </comment>
    <comment ref="E39" authorId="0" shapeId="0">
      <text>
        <t>Sistema: 7.09
Diferencia: 0.09</t>
      </text>
    </comment>
    <comment ref="G39" authorId="0" shapeId="0">
      <text>
        <t>Sistema: 8.14
Diferencia: 0.72</t>
      </text>
    </comment>
    <comment ref="H39" authorId="0" shapeId="0">
      <text>
        <t>Sistema: 7.80
Diferencia: 0.84</t>
      </text>
    </comment>
    <comment ref="N39" authorId="0" shapeId="0">
      <text>
        <t>Sistema: 7.41
Diferencia: 0.21</t>
      </text>
    </comment>
    <comment ref="F40" authorId="0" shapeId="0">
      <text>
        <t>Sistema: 9.90
Diferencia: 1.97</t>
      </text>
    </comment>
    <comment ref="G40" authorId="0" shapeId="0">
      <text>
        <t>Sistema: 9.35
Diferencia: 1.23</t>
      </text>
    </comment>
    <comment ref="H40" authorId="0" shapeId="0">
      <text>
        <t>Sistema: 9.85
Diferencia: 0.33</t>
      </text>
    </comment>
    <comment ref="N40" authorId="0" shapeId="0">
      <text>
        <t>Sistema: 9.54
Diferencia: 0.50</t>
      </text>
    </comment>
    <comment ref="F41" authorId="0" shapeId="0">
      <text>
        <t>Sistema: 8.41
Diferencia: 1.13</t>
      </text>
    </comment>
    <comment ref="G41" authorId="0" shapeId="0">
      <text>
        <t>Sistema: 8.99
Diferencia: 0.68</t>
      </text>
    </comment>
    <comment ref="H41" authorId="0" shapeId="0">
      <text>
        <t>Sistema: 9.36
Diferencia: 0.15</t>
      </text>
    </comment>
    <comment ref="N41" authorId="0" shapeId="0">
      <text>
        <t>Sistema: 9.12
Diferencia: 0.05</t>
      </text>
    </comment>
    <comment ref="G42" authorId="0" shapeId="0">
      <text>
        <t>Sistema: 7.71
Diferencia: 1.06</t>
      </text>
    </comment>
    <comment ref="H42" authorId="0" shapeId="0">
      <text>
        <t>Sistema: 8.13
Diferencia: 0.27</t>
      </text>
    </comment>
    <comment ref="N42" authorId="0" shapeId="0">
      <text>
        <t>Sistema: 7.95
Diferencia: 0.11</t>
      </text>
    </comment>
    <comment ref="G43" authorId="0" shapeId="0">
      <text>
        <t>Sistema: 7.75
Diferencia: 0.58</t>
      </text>
    </comment>
    <comment ref="H43" authorId="0" shapeId="0">
      <text>
        <t>Sistema: 7.82
Diferencia: 0.50</t>
      </text>
    </comment>
    <comment ref="N43" authorId="0" shapeId="0">
      <text>
        <t>Sistema: 7.83
Diferencia: 0.15</t>
      </text>
    </comment>
    <comment ref="G44" authorId="0" shapeId="0">
      <text>
        <t>Sistema: 8.79
Diferencia: 0.46</t>
      </text>
    </comment>
    <comment ref="H44" authorId="0" shapeId="0">
      <text>
        <t>Sistema: 9.42
Diferencia: 0.03</t>
      </text>
    </comment>
    <comment ref="N44" authorId="0" shapeId="0">
      <text>
        <t>Sistema: 8.79
Diferencia: 0.06</t>
      </text>
    </comment>
    <comment ref="G45" authorId="0" shapeId="0">
      <text>
        <t>Sistema: 8.85
Diferencia: 0.40</t>
      </text>
    </comment>
    <comment ref="H45" authorId="0" shapeId="0">
      <text>
        <t>Sistema: 9.10
Diferencia: 0.45</t>
      </text>
    </comment>
    <comment ref="H46" authorId="0" shapeId="0">
      <text>
        <t>Sistema: 7.45
Diferencia: 0.03</t>
      </text>
    </comment>
    <comment ref="F47" authorId="0" shapeId="0">
      <text>
        <t>Sistema: 7.36
Diferencia: 0.30</t>
      </text>
    </comment>
    <comment ref="G47" authorId="0" shapeId="0">
      <text>
        <t>Sistema: 8.54
Diferencia: 0.47</t>
      </text>
    </comment>
    <comment ref="N47" authorId="0" shapeId="0">
      <text>
        <t>Sistema: 8.27
Diferencia: 0.11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G7" authorId="0" shapeId="0">
      <text>
        <t>Sistema: 8.76
Diferencia: 0.13</t>
      </text>
    </comment>
    <comment ref="F9" authorId="0" shapeId="0">
      <text>
        <t>Sistema: 7.30
Diferencia: 0.15</t>
      </text>
    </comment>
    <comment ref="G9" authorId="0" shapeId="0">
      <text>
        <t>Sistema: 7.83
Diferencia: 1.10</t>
      </text>
    </comment>
    <comment ref="N9" authorId="0" shapeId="0">
      <text>
        <t>Sistema: 7.96
Diferencia: 0.18</t>
      </text>
    </comment>
    <comment ref="D10" authorId="0" shapeId="0">
      <text>
        <t>Sistema: 8.25
Diferencia: 0.33</t>
      </text>
    </comment>
    <comment ref="G10" authorId="0" shapeId="0">
      <text>
        <t>Sistema: 8.63
Diferencia: 0.25</t>
      </text>
    </comment>
    <comment ref="H10" authorId="0" shapeId="0">
      <text>
        <t>Sistema: 7.97
Diferencia: 0.23</t>
      </text>
    </comment>
    <comment ref="N10" authorId="0" shapeId="0">
      <text>
        <t>Sistema: 7.64
Diferencia: 0.12</t>
      </text>
    </comment>
    <comment ref="D11" authorId="0" shapeId="0">
      <text>
        <t>Sistema: 9.87
Diferencia: 0.10</t>
      </text>
    </comment>
    <comment ref="E11" authorId="0" shapeId="0">
      <text>
        <t>Sistema: 9.90
Diferencia: 0.10</t>
      </text>
    </comment>
    <comment ref="G11" authorId="0" shapeId="0">
      <text>
        <t>Sistema: 9.73
Diferencia: 0.10</t>
      </text>
    </comment>
    <comment ref="N11" authorId="0" shapeId="0">
      <text>
        <t>Sistema: 9.82
Diferencia: 0.04</t>
      </text>
    </comment>
    <comment ref="G12" authorId="0" shapeId="0">
      <text>
        <t>Sistema: 7.37
Diferencia: 0.28</t>
      </text>
    </comment>
    <comment ref="H12" authorId="0" shapeId="0">
      <text>
        <t>Sistema: 7.48
Diferencia: 0.07</t>
      </text>
    </comment>
    <comment ref="N12" authorId="0" shapeId="0">
      <text>
        <t>Sistema: 7.23
Diferencia: 0.03</t>
      </text>
    </comment>
    <comment ref="G13" authorId="0" shapeId="0">
      <text>
        <t>Sistema: 7.47
Diferencia: 0.03</t>
      </text>
    </comment>
    <comment ref="H13" authorId="0" shapeId="0">
      <text>
        <t>Sistema: 7.32
Diferencia: 0.04</t>
      </text>
    </comment>
    <comment ref="J13" authorId="0" shapeId="0">
      <text>
        <t>Sistema: 7.75
Diferencia: 0.70</t>
      </text>
    </comment>
    <comment ref="N13" authorId="0" shapeId="0">
      <text>
        <t>Sistema: 7.30
Diferencia: 0.10</t>
      </text>
    </comment>
    <comment ref="E14" authorId="0" shapeId="0">
      <text>
        <t>Sistema: 7.66
Diferencia: 0.66</t>
      </text>
    </comment>
    <comment ref="G14" authorId="0" shapeId="0">
      <text>
        <t>Sistema: 8.15
Diferencia: 0.61</t>
      </text>
    </comment>
    <comment ref="H14" authorId="0" shapeId="0">
      <text>
        <t>Sistema: 7.81
Diferencia: 0.04</t>
      </text>
    </comment>
    <comment ref="N14" authorId="0" shapeId="0">
      <text>
        <t>Sistema: 7.76
Diferencia: 0.17</t>
      </text>
    </comment>
    <comment ref="G15" authorId="0" shapeId="0">
      <text>
        <t>Sistema: 9.34
Diferencia: 0.03</t>
      </text>
    </comment>
    <comment ref="H15" authorId="0" shapeId="0">
      <text>
        <t>Sistema: 9.49
Diferencia: 0.51</t>
      </text>
    </comment>
    <comment ref="N15" authorId="0" shapeId="0">
      <text>
        <t>Sistema: 8.96
Diferencia: 0.08</t>
      </text>
    </comment>
    <comment ref="D16" authorId="0" shapeId="0">
      <text>
        <t>Sistema: 8.03
Diferencia: 0.34</t>
      </text>
    </comment>
    <comment ref="G16" authorId="0" shapeId="0">
      <text>
        <t>Sistema: 8.94
Diferencia: 0.14</t>
      </text>
    </comment>
    <comment ref="H16" authorId="0" shapeId="0">
      <text>
        <t>Sistema: 7.87
Diferencia: 0.09</t>
      </text>
    </comment>
    <comment ref="N16" authorId="0" shapeId="0">
      <text>
        <t>Sistema: 8.13
Diferencia: 0.08</t>
      </text>
    </comment>
    <comment ref="G17" authorId="0" shapeId="0">
      <text>
        <t>Sistema: 8.78
Diferencia: 0.18</t>
      </text>
    </comment>
    <comment ref="H17" authorId="0" shapeId="0">
      <text>
        <t>Sistema: 9.36
Diferencia: 0.10</t>
      </text>
    </comment>
    <comment ref="G18" authorId="0" shapeId="0">
      <text>
        <t>Sistema: 9.23
Diferencia: 0.24</t>
      </text>
    </comment>
    <comment ref="H18" authorId="0" shapeId="0">
      <text>
        <t>Sistema: 9.36
Diferencia: 0.04</t>
      </text>
    </comment>
    <comment ref="N18" authorId="0" shapeId="0">
      <text>
        <t>Sistema: 9.28
Diferencia: 0.04</t>
      </text>
    </comment>
    <comment ref="G19" authorId="0" shapeId="0">
      <text>
        <t>Sistema: 8.56
Diferencia: 0.50</t>
      </text>
    </comment>
    <comment ref="H19" authorId="0" shapeId="0">
      <text>
        <t>Sistema: 8.71
Diferencia: 0.38</t>
      </text>
    </comment>
    <comment ref="N19" authorId="0" shapeId="0">
      <text>
        <t>Sistema: 8.36
Diferencia: 0.12</t>
      </text>
    </comment>
    <comment ref="G20" authorId="0" shapeId="0">
      <text>
        <t>Sistema: 8.58
Diferencia: 0.51</t>
      </text>
    </comment>
    <comment ref="H20" authorId="0" shapeId="0">
      <text>
        <t>Sistema: 9.64
Diferencia: 1.13</t>
      </text>
    </comment>
    <comment ref="N20" authorId="0" shapeId="0">
      <text>
        <t>Sistema: 9.13
Diferencia: 0.08</t>
      </text>
    </comment>
    <comment ref="G21" authorId="0" shapeId="0">
      <text>
        <t>Sistema: 9.07
Diferencia: 0.39</t>
      </text>
    </comment>
    <comment ref="H21" authorId="0" shapeId="0">
      <text>
        <t>Sistema: 9.95
Diferencia: 0.48</t>
      </text>
    </comment>
    <comment ref="N21" authorId="0" shapeId="0">
      <text>
        <t>Sistema: 9.38
Diferencia: 0.12</t>
      </text>
    </comment>
    <comment ref="G22" authorId="0" shapeId="0">
      <text>
        <t>Sistema: 7.89
Diferencia: 0.70</t>
      </text>
    </comment>
    <comment ref="H22" authorId="0" shapeId="0">
      <text>
        <t>Sistema: 7.94
Diferencia: 0.66</t>
      </text>
    </comment>
    <comment ref="N22" authorId="0" shapeId="0">
      <text>
        <t>Sistema: 7.59
Diferencia: 0.20</t>
      </text>
    </comment>
    <comment ref="G23" authorId="0" shapeId="0">
      <text>
        <t>Sistema: 8.79
Diferencia: 1.13</t>
      </text>
    </comment>
    <comment ref="H23" authorId="0" shapeId="0">
      <text>
        <t>Sistema: 7.98
Diferencia: 0.61</t>
      </text>
    </comment>
    <comment ref="N23" authorId="0" shapeId="0">
      <text>
        <t>Sistema: 7.85
Diferencia: 0.08</t>
      </text>
    </comment>
    <comment ref="D24" authorId="0" shapeId="0">
      <text>
        <t>Sistema: 9.43
Diferencia: 0.18</t>
      </text>
    </comment>
    <comment ref="F24" authorId="0" shapeId="0">
      <text>
        <t>Sistema: 8.76
Diferencia: 0.27</t>
      </text>
    </comment>
    <comment ref="H24" authorId="0" shapeId="0">
      <text>
        <t>Sistema: 9.40
Diferencia: 1.16</t>
      </text>
    </comment>
    <comment ref="N24" authorId="0" shapeId="0">
      <text>
        <t>Sistema: 9.20
Diferencia: 0.24</t>
      </text>
    </comment>
    <comment ref="F25" authorId="0" shapeId="0">
      <text>
        <t>Sistema: 8.54
Diferencia: 0.75</t>
      </text>
    </comment>
    <comment ref="G25" authorId="0" shapeId="0">
      <text>
        <t>Sistema: 9.74
Diferencia: 0.41</t>
      </text>
    </comment>
    <comment ref="H25" authorId="0" shapeId="0">
      <text>
        <t>Sistema: 9.71
Diferencia: 0.28</t>
      </text>
    </comment>
    <comment ref="G26" authorId="0" shapeId="0">
      <text>
        <t>Sistema: 7.30
Diferencia: 2.06</t>
      </text>
    </comment>
    <comment ref="H26" authorId="0" shapeId="0">
      <text>
        <t>Sistema: 7.89
Diferencia: 1.02</t>
      </text>
    </comment>
    <comment ref="N26" authorId="0" shapeId="0">
      <text>
        <t>Sistema: 7.62
Diferencia: 0.44</t>
      </text>
    </comment>
    <comment ref="G27" authorId="0" shapeId="0">
      <text>
        <t>Sistema: 7.54
Diferencia: 0.50</t>
      </text>
    </comment>
    <comment ref="H27" authorId="0" shapeId="0">
      <text>
        <t>Sistema: 8.18
Diferencia: 0.33</t>
      </text>
    </comment>
    <comment ref="G28" authorId="0" shapeId="0">
      <text>
        <t>Sistema: 8.58
Diferencia: 0.90</t>
      </text>
    </comment>
    <comment ref="H28" authorId="0" shapeId="0">
      <text>
        <t>Sistema: 7.58
Diferencia: 0.47</t>
      </text>
    </comment>
    <comment ref="N28" authorId="0" shapeId="0">
      <text>
        <t>Sistema: 7.62
Diferencia: 0.06</t>
      </text>
    </comment>
    <comment ref="G29" authorId="0" shapeId="0">
      <text>
        <t>Sistema: 8.87
Diferencia: 0.93</t>
      </text>
    </comment>
    <comment ref="H29" authorId="0" shapeId="0">
      <text>
        <t>Sistema: 8.65
Diferencia: 1.00</t>
      </text>
    </comment>
    <comment ref="N29" authorId="0" shapeId="0">
      <text>
        <t>Sistema: 8.35
Diferencia: 0.27</t>
      </text>
    </comment>
    <comment ref="G30" authorId="0" shapeId="0">
      <text>
        <t>Sistema: 9.28
Diferencia: 0.14</t>
      </text>
    </comment>
    <comment ref="H30" authorId="0" shapeId="0">
      <text>
        <t>Sistema: 10.00
Diferencia: 1.03</t>
      </text>
    </comment>
    <comment ref="N30" authorId="0" shapeId="0">
      <text>
        <t>Sistema: 9.27
Diferencia: 0.16</t>
      </text>
    </comment>
    <comment ref="G31" authorId="0" shapeId="0">
      <text>
        <t>Sistema: 8.40
Diferencia: 1.21</t>
      </text>
    </comment>
    <comment ref="H31" authorId="0" shapeId="0">
      <text>
        <t>Sistema: 8.11
Diferencia: 1.31</t>
      </text>
    </comment>
    <comment ref="N31" authorId="0" shapeId="0">
      <text>
        <t>Sistema: 7.71
Diferencia: 0.36</t>
      </text>
    </comment>
    <comment ref="G32" authorId="0" shapeId="0">
      <text>
        <t>Sistema: 7.70
Diferencia: 0.43</t>
      </text>
    </comment>
    <comment ref="H32" authorId="0" shapeId="0">
      <text>
        <t>Sistema: 8.43
Diferencia: 0.21</t>
      </text>
    </comment>
    <comment ref="N32" authorId="0" shapeId="0">
      <text>
        <t>Sistema: 8.00
Diferencia: 0.09</t>
      </text>
    </comment>
    <comment ref="G33" authorId="0" shapeId="0">
      <text>
        <t>Sistema: 8.97
Diferencia: 1.01</t>
      </text>
    </comment>
    <comment ref="H33" authorId="0" shapeId="0">
      <text>
        <t>Sistema: 9.47
Diferencia: 0.93</t>
      </text>
    </comment>
    <comment ref="J33" authorId="0" shapeId="0">
      <text>
        <t>Sistema: 9.19
Diferencia: 0.12</t>
      </text>
    </comment>
    <comment ref="N33" authorId="0" shapeId="0">
      <text>
        <t>Sistema: 8.91
Diferencia: 0.26</t>
      </text>
    </comment>
    <comment ref="G34" authorId="0" shapeId="0">
      <text>
        <t>Sistema: 7.65
Diferencia: 1.40</t>
      </text>
    </comment>
    <comment ref="H34" authorId="0" shapeId="0">
      <text>
        <t>Sistema: 7.75
Diferencia: 1.07</t>
      </text>
    </comment>
    <comment ref="N34" authorId="0" shapeId="0">
      <text>
        <t>Sistema: 7.43
Diferencia: 0.35</t>
      </text>
    </comment>
    <comment ref="G35" authorId="0" shapeId="0">
      <text>
        <t>Sistema: 8.46
Diferencia: 1.02</t>
      </text>
    </comment>
    <comment ref="H35" authorId="0" shapeId="0">
      <text>
        <t>Sistema: 8.06
Diferencia: 0.04</t>
      </text>
    </comment>
    <comment ref="N35" authorId="0" shapeId="0">
      <text>
        <t>Sistema: 7.97
Diferencia: 0.15</t>
      </text>
    </comment>
    <comment ref="G36" authorId="0" shapeId="0">
      <text>
        <t>Sistema: 7.73
Diferencia: 0.91</t>
      </text>
    </comment>
    <comment ref="H36" authorId="0" shapeId="0">
      <text>
        <t>Sistema: 8.03
Diferencia: 0.23</t>
      </text>
    </comment>
    <comment ref="N36" authorId="0" shapeId="0">
      <text>
        <t>Sistema: 7.73
Diferencia: 0.09</t>
      </text>
    </comment>
    <comment ref="G37" authorId="0" shapeId="0">
      <text>
        <t>Sistema: 7.77
Diferencia: 0.68</t>
      </text>
    </comment>
    <comment ref="H37" authorId="0" shapeId="0">
      <text>
        <t>Sistema: 7.93
Diferencia: 0.24</t>
      </text>
    </comment>
    <comment ref="N37" authorId="0" shapeId="0">
      <text>
        <t>Sistema: 7.68
Diferencia: 0.06</t>
      </text>
    </comment>
    <comment ref="G38" authorId="0" shapeId="0">
      <text>
        <t>Sistema: 8.78
Diferencia: 1.34</t>
      </text>
    </comment>
    <comment ref="H38" authorId="0" shapeId="0">
      <text>
        <t>Sistema: 8.05
Diferencia: 0.44</t>
      </text>
    </comment>
    <comment ref="N38" authorId="0" shapeId="0">
      <text>
        <t>Sistema: 7.91
Diferencia: 0.26</t>
      </text>
    </comment>
    <comment ref="G39" authorId="0" shapeId="0">
      <text>
        <t>Sistema: 8.76
Diferencia: 0.07</t>
      </text>
    </comment>
    <comment ref="H39" authorId="0" shapeId="0">
      <text>
        <t>Sistema: 7.64
Diferencia: 0.64</t>
      </text>
    </comment>
    <comment ref="N39" authorId="0" shapeId="0">
      <text>
        <t>Sistema: 7.99
Diferencia: 0.11</t>
      </text>
    </comment>
    <comment ref="F40" authorId="0" shapeId="0">
      <text>
        <t>Sistema: 7.98
Diferencia: 0.24</t>
      </text>
    </comment>
    <comment ref="G40" authorId="0" shapeId="0">
      <text>
        <t>Sistema: 8.45
Diferencia: 0.45</t>
      </text>
    </comment>
    <comment ref="H40" authorId="0" shapeId="0">
      <text>
        <t>Sistema: 8.52
Diferencia: 0.69</t>
      </text>
    </comment>
    <comment ref="N40" authorId="0" shapeId="0">
      <text>
        <t>Sistema: 8.57
Diferencia: 0.07</t>
      </text>
    </comment>
    <comment ref="F41" authorId="0" shapeId="0">
      <text>
        <t>Sistema: 8.29
Diferencia: 0.24</t>
      </text>
    </comment>
    <comment ref="G41" authorId="0" shapeId="0">
      <text>
        <t>Sistema: 8.57
Diferencia: 0.54</t>
      </text>
    </comment>
    <comment ref="H41" authorId="0" shapeId="0">
      <text>
        <t>Sistema: 9.05
Diferencia: 0.42</t>
      </text>
    </comment>
    <comment ref="N41" authorId="0" shapeId="0">
      <text>
        <t>Sistema: 8.96
Diferencia: 0.10</t>
      </text>
    </comment>
    <comment ref="G42" authorId="0" shapeId="0">
      <text>
        <t>Sistema: 8.24
Diferencia: 0.71</t>
      </text>
    </comment>
    <comment ref="H42" authorId="0" shapeId="0">
      <text>
        <t>Sistema: 9.61
Diferencia: 0.41</t>
      </text>
    </comment>
    <comment ref="N42" authorId="0" shapeId="0">
      <text>
        <t>Sistema: 9.20
Diferencia: 0.04</t>
      </text>
    </comment>
    <comment ref="G43" authorId="0" shapeId="0">
      <text>
        <t>Sistema: 7.83
Diferencia: 0.85</t>
      </text>
    </comment>
    <comment ref="H43" authorId="0" shapeId="0">
      <text>
        <t>Sistema: 7.97
Diferencia: 0.69</t>
      </text>
    </comment>
    <comment ref="N43" authorId="0" shapeId="0">
      <text>
        <t>Sistema: 7.68
Diferencia: 0.22</t>
      </text>
    </comment>
    <comment ref="G44" authorId="0" shapeId="0">
      <text>
        <t>Sistema: 9.15
Diferencia: 1.73</t>
      </text>
    </comment>
    <comment ref="H44" authorId="0" shapeId="0">
      <text>
        <t>Sistema: 7.92
Diferencia: 0.45</t>
      </text>
    </comment>
    <comment ref="N44" authorId="0" shapeId="0">
      <text>
        <t>Sistema: 7.79
Diferencia: 0.18</t>
      </text>
    </comment>
    <comment ref="G45" authorId="0" shapeId="0">
      <text>
        <t>Sistema: 8.85
Diferencia: 0.07</t>
      </text>
    </comment>
    <comment ref="H45" authorId="0" shapeId="0">
      <text>
        <t>Sistema: 9.08
Diferencia: 0.96</t>
      </text>
    </comment>
    <comment ref="N45" authorId="0" shapeId="0">
      <text>
        <t>Sistema: 9.01
Diferencia: 0.15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G9" authorId="0" shapeId="0">
      <text>
        <t>Sistema: 8.26
Diferencia: 0.05</t>
      </text>
    </comment>
    <comment ref="F12" authorId="0" shapeId="0">
      <text>
        <t>Sistema: 7.37
Diferencia: 0.20</t>
      </text>
    </comment>
    <comment ref="G12" authorId="0" shapeId="0">
      <text>
        <t>Sistema: 8.49
Diferencia: 0.32</t>
      </text>
    </comment>
    <comment ref="H12" authorId="0" shapeId="0">
      <text>
        <t>Sistema: 8.32
Diferencia: 0.44</t>
      </text>
    </comment>
    <comment ref="H13" authorId="0" shapeId="0">
      <text>
        <t>Sistema: 9.30
Diferencia: 0.10</t>
      </text>
    </comment>
    <comment ref="H14" authorId="0" shapeId="0">
      <text>
        <t>Sistema: 9.14
Diferencia: 0.06</t>
      </text>
    </comment>
    <comment ref="H16" authorId="0" shapeId="0">
      <text>
        <t>Sistema: 7.40
Diferencia: 0.19</t>
      </text>
    </comment>
    <comment ref="N16" authorId="0" shapeId="0">
      <text>
        <t>Sistema: 7.42
Diferencia: 0.03</t>
      </text>
    </comment>
    <comment ref="G21" authorId="0" shapeId="0">
      <text>
        <t>Sistema: 7.90
Diferencia: 0.18</t>
      </text>
    </comment>
    <comment ref="E22" authorId="0" shapeId="0">
      <text>
        <t>Sistema: 7.37
Diferencia: 0.37</t>
      </text>
    </comment>
    <comment ref="G22" authorId="0" shapeId="0">
      <text>
        <t>Sistema: 8.56
Diferencia: 0.18</t>
      </text>
    </comment>
    <comment ref="N22" authorId="0" shapeId="0">
      <text>
        <t>Sistema: 7.57
Diferencia: 0.08</t>
      </text>
    </comment>
    <comment ref="G24" authorId="0" shapeId="0">
      <text>
        <t>Sistema: 9.16
Diferencia: 0.10</t>
      </text>
    </comment>
    <comment ref="G26" authorId="0" shapeId="0">
      <text>
        <t>Sistema: 8.40
Diferencia: 0.48</t>
      </text>
    </comment>
    <comment ref="N26" authorId="0" shapeId="0">
      <text>
        <t>Sistema: 8.02
Diferencia: 0.07</t>
      </text>
    </comment>
    <comment ref="G27" authorId="0" shapeId="0">
      <text>
        <t>Sistema: 8.64
Diferencia: 0.05</t>
      </text>
    </comment>
    <comment ref="G28" authorId="0" shapeId="0">
      <text>
        <t>Sistema: 9.84
Diferencia: 0.04</t>
      </text>
    </comment>
    <comment ref="G31" authorId="0" shapeId="0">
      <text>
        <t>Sistema: 8.08
Diferencia: 0.44</t>
      </text>
    </comment>
    <comment ref="N31" authorId="0" shapeId="0">
      <text>
        <t>Sistema: 7.35
Diferencia: 0.07</t>
      </text>
    </comment>
    <comment ref="G33" authorId="0" shapeId="0">
      <text>
        <t>Sistema: 7.29
Diferencia: 0.19</t>
      </text>
    </comment>
    <comment ref="N33" authorId="0" shapeId="0">
      <text>
        <t>Sistema: 7.19
Diferencia: 0.03</t>
      </text>
    </comment>
    <comment ref="G34" authorId="0" shapeId="0">
      <text>
        <t>Sistema: 8.22
Diferencia: 0.20</t>
      </text>
    </comment>
    <comment ref="N34" authorId="0" shapeId="0">
      <text>
        <t>Sistema: 8.60
Diferencia: 0.03</t>
      </text>
    </comment>
    <comment ref="G35" authorId="0" shapeId="0">
      <text>
        <t>Sistema: 8.10
Diferencia: 0.14</t>
      </text>
    </comment>
    <comment ref="H35" authorId="0" shapeId="0">
      <text>
        <t>Sistema: 7.38
Diferencia: 0.29</t>
      </text>
    </comment>
    <comment ref="N35" authorId="0" shapeId="0">
      <text>
        <t>Sistema: 7.77
Diferencia: 0.06</t>
      </text>
    </comment>
    <comment ref="G36" authorId="0" shapeId="0">
      <text>
        <t>Sistema: 7.74
Diferencia: 0.13</t>
      </text>
    </comment>
    <comment ref="G37" authorId="0" shapeId="0">
      <text>
        <t>Sistema: 7.67
Diferencia: 0.31</t>
      </text>
    </comment>
    <comment ref="H37" authorId="0" shapeId="0">
      <text>
        <t>Sistema: 7.63
Diferencia: 0.54</t>
      </text>
    </comment>
    <comment ref="N37" authorId="0" shapeId="0">
      <text>
        <t>Sistema: 7.45
Diferencia: 0.03</t>
      </text>
    </comment>
    <comment ref="D38" authorId="0" shapeId="0">
      <text>
        <t>Sistema: 8.29
Diferencia: 0.19</t>
      </text>
    </comment>
    <comment ref="N38" authorId="0" shapeId="0">
      <text>
        <t>Sistema: 8.45
Diferencia: 0.03</t>
      </text>
    </comment>
    <comment ref="G39" authorId="0" shapeId="0">
      <text>
        <t>Sistema: 8.80
Diferencia: 0.44</t>
      </text>
    </comment>
    <comment ref="N39" authorId="0" shapeId="0">
      <text>
        <t>Sistema: 8.15
Diferencia: 0.06</t>
      </text>
    </comment>
    <comment ref="G40" authorId="0" shapeId="0">
      <text>
        <t>Sistema: 8.70
Diferencia: 0.03</t>
      </text>
    </comment>
    <comment ref="G41" authorId="0" shapeId="0">
      <text>
        <t>Sistema: 9.69
Diferencia: 0.75</t>
      </text>
    </comment>
    <comment ref="J41" authorId="0" shapeId="0">
      <text>
        <t>Sistema: 9.64
Diferencia: 0.03</t>
      </text>
    </comment>
    <comment ref="N41" authorId="0" shapeId="0">
      <text>
        <t>Sistema: 9.15
Diferencia: 0.10</t>
      </text>
    </comment>
    <comment ref="G42" authorId="0" shapeId="0">
      <text>
        <t>Sistema: 9.47
Diferencia: 0.65</t>
      </text>
    </comment>
    <comment ref="N42" authorId="0" shapeId="0">
      <text>
        <t>Sistema: 8.78
Diferencia: 0.09</t>
      </text>
    </comment>
    <comment ref="D43" authorId="0" shapeId="0">
      <text>
        <t>Sistema: 3.11
Diferencia: 0.52</t>
      </text>
    </comment>
    <comment ref="E43" authorId="0" shapeId="0">
      <text>
        <t>Sistema: 3.25
Diferencia: 0.80</t>
      </text>
    </comment>
    <comment ref="F43" authorId="0" shapeId="0">
      <text>
        <t>Sistema: 3.33
Diferencia: 0.86</t>
      </text>
    </comment>
    <comment ref="G43" authorId="0" shapeId="0">
      <text>
        <t>Sistema: 3.24
Diferencia: 0.61</t>
      </text>
    </comment>
    <comment ref="N43" authorId="0" shapeId="0">
      <text>
        <t>Sistema: 2.97
Diferencia: 0.39</t>
      </text>
    </comment>
    <comment ref="D44" authorId="0" shapeId="0">
      <text>
        <t>Sistema: 8.37
Diferencia: 0.55</t>
      </text>
    </comment>
    <comment ref="G44" authorId="0" shapeId="0">
      <text>
        <t>Sistema: 7.66
Diferencia: 0.47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G7" authorId="0" shapeId="0">
      <text>
        <t>Sistema: 7.60
Diferencia: 0.09</t>
      </text>
    </comment>
    <comment ref="D8" authorId="0" shapeId="0">
      <text>
        <t>Sistema: 7.56
Diferencia: 0.20</t>
      </text>
    </comment>
    <comment ref="G8" authorId="0" shapeId="0">
      <text>
        <t>Sistema: 8.24
Diferencia: 0.12</t>
      </text>
    </comment>
    <comment ref="H8" authorId="0" shapeId="0">
      <text>
        <t>Sistema: 8.61
Diferencia: 0.23</t>
      </text>
    </comment>
    <comment ref="N8" authorId="0" shapeId="0">
      <text>
        <t>Sistema: 8.10
Diferencia: 0.04</t>
      </text>
    </comment>
    <comment ref="G9" authorId="0" shapeId="0">
      <text>
        <t>Sistema: 7.80
Diferencia: 0.10</t>
      </text>
    </comment>
    <comment ref="G10" authorId="0" shapeId="0">
      <text>
        <t>Sistema: 7.95
Diferencia: 0.50</t>
      </text>
    </comment>
    <comment ref="N10" authorId="0" shapeId="0">
      <text>
        <t>Sistema: 7.66
Diferencia: 0.07</t>
      </text>
    </comment>
    <comment ref="G11" authorId="0" shapeId="0">
      <text>
        <t>Sistema: 8.00
Diferencia: 0.31</t>
      </text>
    </comment>
    <comment ref="N11" authorId="0" shapeId="0">
      <text>
        <t>Sistema: 7.53
Diferencia: 0.04</t>
      </text>
    </comment>
    <comment ref="G12" authorId="0" shapeId="0">
      <text>
        <t>Sistema: 7.89
Diferencia: 0.07</t>
      </text>
    </comment>
    <comment ref="G13" authorId="0" shapeId="0">
      <text>
        <t>Sistema: 9.60
Diferencia: 0.46</t>
      </text>
    </comment>
    <comment ref="N13" authorId="0" shapeId="0">
      <text>
        <t>Sistema: 8.79
Diferencia: 0.06</t>
      </text>
    </comment>
    <comment ref="G14" authorId="0" shapeId="0">
      <text>
        <t>Sistema: 9.60
Diferencia: 0.27</t>
      </text>
    </comment>
    <comment ref="N14" authorId="0" shapeId="0">
      <text>
        <t>Sistema: 8.73
Diferencia: 0.04</t>
      </text>
    </comment>
    <comment ref="F15" authorId="0" shapeId="0">
      <text>
        <t>Sistema: 7.05
Diferencia: 0.04</t>
      </text>
    </comment>
    <comment ref="G15" authorId="0" shapeId="0">
      <text>
        <t>Sistema: 8.27
Diferencia: 0.40</t>
      </text>
    </comment>
    <comment ref="N15" authorId="0" shapeId="0">
      <text>
        <t>Sistema: 7.61
Diferencia: 0.06</t>
      </text>
    </comment>
    <comment ref="F16" authorId="0" shapeId="0">
      <text>
        <t>Sistema: 8.37
Diferencia: 0.52</t>
      </text>
    </comment>
    <comment ref="G16" authorId="0" shapeId="0">
      <text>
        <t>Sistema: 8.54
Diferencia: 0.10</t>
      </text>
    </comment>
    <comment ref="N16" authorId="0" shapeId="0">
      <text>
        <t>Sistema: 8.26
Diferencia: 0.09</t>
      </text>
    </comment>
    <comment ref="F17" authorId="0" shapeId="0">
      <text>
        <t>Sistema: 7.20
Diferencia: 0.13</t>
      </text>
    </comment>
    <comment ref="G17" authorId="0" shapeId="0">
      <text>
        <t>Sistema: 7.46
Diferencia: 0.19</t>
      </text>
    </comment>
    <comment ref="N17" authorId="0" shapeId="0">
      <text>
        <t>Sistema: 7.38
Diferencia: 0.05</t>
      </text>
    </comment>
    <comment ref="F18" authorId="0" shapeId="0">
      <text>
        <t>Sistema: 7.28
Diferencia: 0.13</t>
      </text>
    </comment>
    <comment ref="G18" authorId="0" shapeId="0">
      <text>
        <t>Sistema: 8.04
Diferencia: 0.25</t>
      </text>
    </comment>
    <comment ref="N18" authorId="0" shapeId="0">
      <text>
        <t>Sistema: 7.81
Diferencia: 0.05</t>
      </text>
    </comment>
    <comment ref="G19" authorId="0" shapeId="0">
      <text>
        <t>Sistema: 9.76
Diferencia: 0.17</t>
      </text>
    </comment>
    <comment ref="G20" authorId="0" shapeId="0">
      <text>
        <t>Sistema: 8.44
Diferencia: 0.19</t>
      </text>
    </comment>
    <comment ref="N20" authorId="0" shapeId="0">
      <text>
        <t>Sistema: 7.44
Diferencia: 0.03</t>
      </text>
    </comment>
    <comment ref="G22" authorId="0" shapeId="0">
      <text>
        <t>Sistema: 9.92
Diferencia: 0.19</t>
      </text>
    </comment>
    <comment ref="N22" authorId="0" shapeId="0">
      <text>
        <t>Sistema: 9.60
Diferencia: 0.03</t>
      </text>
    </comment>
    <comment ref="G23" authorId="0" shapeId="0">
      <text>
        <t>Sistema: 9.66
Diferencia: 0.52</t>
      </text>
    </comment>
    <comment ref="N23" authorId="0" shapeId="0">
      <text>
        <t>Sistema: 9.57
Diferencia: 0.07</t>
      </text>
    </comment>
    <comment ref="G24" authorId="0" shapeId="0">
      <text>
        <t>Sistema: 9.51
Diferencia: 0.13</t>
      </text>
    </comment>
    <comment ref="I24" authorId="0" shapeId="0">
      <text>
        <t>Sistema: 9.41
Diferencia: 0.37</t>
      </text>
    </comment>
    <comment ref="N24" authorId="0" shapeId="0">
      <text>
        <t>Sistema: 9.01
Diferencia: 0.03</t>
      </text>
    </comment>
    <comment ref="G25" authorId="0" shapeId="0">
      <text>
        <t>Sistema: 8.27
Diferencia: 0.43</t>
      </text>
    </comment>
    <comment ref="N25" authorId="0" shapeId="0">
      <text>
        <t>Sistema: 8.26
Diferencia: 0.06</t>
      </text>
    </comment>
    <comment ref="G26" authorId="0" shapeId="0">
      <text>
        <t>Sistema: 9.92
Diferencia: 0.77</t>
      </text>
    </comment>
    <comment ref="N26" authorId="0" shapeId="0">
      <text>
        <t>Sistema: 9.02
Diferencia: 0.11</t>
      </text>
    </comment>
    <comment ref="G28" authorId="0" shapeId="0">
      <text>
        <t>Sistema: 8.02
Diferencia: 0.16</t>
      </text>
    </comment>
    <comment ref="G31" authorId="0" shapeId="0">
      <text>
        <t>Sistema: 9.07
Diferencia: 0.07</t>
      </text>
    </comment>
    <comment ref="G32" authorId="0" shapeId="0">
      <text>
        <t>Sistema: 9.77
Diferencia: 0.20</t>
      </text>
    </comment>
    <comment ref="N32" authorId="0" shapeId="0">
      <text>
        <t>Sistema: 9.16
Diferencia: 0.03</t>
      </text>
    </comment>
    <comment ref="G33" authorId="0" shapeId="0">
      <text>
        <t>Sistema: 9.15
Diferencia: 0.70</t>
      </text>
    </comment>
    <comment ref="N33" authorId="0" shapeId="0">
      <text>
        <t>Sistema: 8.03
Diferencia: 0.10</t>
      </text>
    </comment>
    <comment ref="G34" authorId="0" shapeId="0">
      <text>
        <t>Sistema: 8.16
Diferencia: 0.23</t>
      </text>
    </comment>
    <comment ref="N34" authorId="0" shapeId="0">
      <text>
        <t>Sistema: 8.16
Diferencia: 0.03</t>
      </text>
    </comment>
    <comment ref="G36" authorId="0" shapeId="0">
      <text>
        <t>Sistema: 8.92
Diferencia: 0.19</t>
      </text>
    </comment>
    <comment ref="N36" authorId="0" shapeId="0">
      <text>
        <t>Sistema: 8.22
Diferencia: 0.03</t>
      </text>
    </comment>
    <comment ref="G37" authorId="0" shapeId="0">
      <text>
        <t>Sistema: 8.44
Diferencia: 0.28</t>
      </text>
    </comment>
    <comment ref="N37" authorId="0" shapeId="0">
      <text>
        <t>Sistema: 8.29
Diferencia: 0.04</t>
      </text>
    </comment>
    <comment ref="G38" authorId="0" shapeId="0">
      <text>
        <t>Sistema: 8.04
Diferencia: 0.12</t>
      </text>
    </comment>
    <comment ref="G39" authorId="0" shapeId="0">
      <text>
        <t>Sistema: 9.28
Diferencia: 0.08</t>
      </text>
    </comment>
    <comment ref="E40" authorId="0" shapeId="0">
      <text>
        <t>Sistema: 7.69
Diferencia: 0.09</t>
      </text>
    </comment>
    <comment ref="G40" authorId="0" shapeId="0">
      <text>
        <t>Sistema: 7.71
Diferencia: 0.35</t>
      </text>
    </comment>
    <comment ref="N40" authorId="0" shapeId="0">
      <text>
        <t>Sistema: 8.17
Diferencia: 0.07</t>
      </text>
    </comment>
    <comment ref="G41" authorId="0" shapeId="0">
      <text>
        <t>Sistema: 9.82
Diferencia: 0.05</t>
      </text>
    </comment>
    <comment ref="G42" authorId="0" shapeId="0">
      <text>
        <t>Sistema: 8.73
Diferencia: 0.04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xavie/OneDrive/Escritorio/EEUU_2024-2025/SISTEMA%2520DE%2520NOTAS%25202024-2025/MATRIZ%2520DE%2520REGISTRO%2520DE%2520NOTAS_SUPERIO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ADOS"/>
      <sheetName val="1er. Trimestre."/>
      <sheetName val="2do. Trimestre"/>
      <sheetName val="3er. Trimestre"/>
      <sheetName val="PROMEDIO ANU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25" min="1" max="1"/>
    <col width="36" customWidth="1" style="225" min="2" max="2"/>
    <col width="30" customWidth="1" style="225" min="3" max="3"/>
    <col width="16" customWidth="1" style="225" min="4" max="4"/>
    <col width="16" customWidth="1" style="225" min="5" max="5"/>
    <col width="14" customWidth="1" style="225" min="6" max="6"/>
    <col width="22" customWidth="1" style="225" min="7" max="7"/>
  </cols>
  <sheetData>
    <row r="1" ht="26" customHeight="1" s="225">
      <c r="A1" s="484" t="inlineStr">
        <is>
          <t>Curso</t>
        </is>
      </c>
      <c r="B1" s="484" t="inlineStr">
        <is>
          <t>Estudiante</t>
        </is>
      </c>
      <c r="C1" s="484" t="inlineStr">
        <is>
          <t>Materia</t>
        </is>
      </c>
      <c r="D1" s="484" t="inlineStr">
        <is>
          <t>Nota Docente</t>
        </is>
      </c>
      <c r="E1" s="484" t="inlineStr">
        <is>
          <t>Nota Sistema</t>
        </is>
      </c>
      <c r="F1" s="484" t="inlineStr">
        <is>
          <t>Diferencia</t>
        </is>
      </c>
      <c r="G1" s="484" t="inlineStr">
        <is>
          <t>Estado</t>
        </is>
      </c>
    </row>
    <row r="2" ht="20" customHeight="1" s="225">
      <c r="A2" s="485" t="inlineStr">
        <is>
          <t>2AV</t>
        </is>
      </c>
      <c r="B2" s="485" t="inlineStr">
        <is>
          <t>ASMAC CAJAMARCA LESLY GISELLA</t>
        </is>
      </c>
      <c r="C2" s="485" t="inlineStr">
        <is>
          <t>SOLO EN DOCENTES</t>
        </is>
      </c>
      <c r="D2" s="485" t="inlineStr">
        <is>
          <t>-</t>
        </is>
      </c>
      <c r="E2" s="485" t="inlineStr">
        <is>
          <t>-</t>
        </is>
      </c>
      <c r="F2" s="485" t="inlineStr">
        <is>
          <t>-</t>
        </is>
      </c>
      <c r="G2" s="485" t="inlineStr">
        <is>
          <t>DESFASE DE NÓMINA</t>
        </is>
      </c>
    </row>
    <row r="3" ht="20" customHeight="1" s="225">
      <c r="A3" s="486" t="inlineStr">
        <is>
          <t>2AV</t>
        </is>
      </c>
      <c r="B3" s="486" t="inlineStr">
        <is>
          <t>BORDONES LOPEZ CAMILA DANIELA</t>
        </is>
      </c>
      <c r="C3" s="486" t="inlineStr">
        <is>
          <t>Educación Física</t>
        </is>
      </c>
      <c r="D3" s="486" t="n">
        <v>9.82</v>
      </c>
      <c r="E3" s="486" t="n">
        <v>9.41</v>
      </c>
      <c r="F3" s="486" t="n">
        <v>0.41</v>
      </c>
      <c r="G3" s="486" t="inlineStr">
        <is>
          <t>ERROR</t>
        </is>
      </c>
    </row>
    <row r="4" ht="20" customHeight="1" s="225">
      <c r="A4" s="486" t="inlineStr">
        <is>
          <t>2AV</t>
        </is>
      </c>
      <c r="B4" s="486" t="inlineStr">
        <is>
          <t>BORDONES LOPEZ CAMILA DANIELA</t>
        </is>
      </c>
      <c r="C4" s="486" t="inlineStr">
        <is>
          <t>Promedio Final / P. General</t>
        </is>
      </c>
      <c r="D4" s="486" t="n">
        <v>8.83</v>
      </c>
      <c r="E4" s="486" t="n">
        <v>8.76</v>
      </c>
      <c r="F4" s="486" t="n">
        <v>0.07000000000000001</v>
      </c>
      <c r="G4" s="486" t="inlineStr">
        <is>
          <t>ERROR</t>
        </is>
      </c>
    </row>
    <row r="5" ht="20" customHeight="1" s="225">
      <c r="A5" s="486" t="inlineStr">
        <is>
          <t>2AV</t>
        </is>
      </c>
      <c r="B5" s="486" t="inlineStr">
        <is>
          <t>GUIRACOCHA QUITO MATIAS DAVID</t>
        </is>
      </c>
      <c r="C5" s="486" t="inlineStr">
        <is>
          <t>Estudios Sociales</t>
        </is>
      </c>
      <c r="D5" s="486" t="n">
        <v>7.73</v>
      </c>
      <c r="E5" s="486" t="n">
        <v>7.78</v>
      </c>
      <c r="F5" s="486" t="n">
        <v>0.05</v>
      </c>
      <c r="G5" s="486" t="inlineStr">
        <is>
          <t>ERROR</t>
        </is>
      </c>
    </row>
    <row r="6" ht="20" customHeight="1" s="225">
      <c r="A6" s="485" t="inlineStr">
        <is>
          <t>2AV</t>
        </is>
      </c>
      <c r="B6" s="485" t="inlineStr">
        <is>
          <t>LOJA CORDOVA DANIEL ALEJANDRO</t>
        </is>
      </c>
      <c r="C6" s="485" t="inlineStr">
        <is>
          <t>(NÓMINA)</t>
        </is>
      </c>
      <c r="D6" s="485" t="inlineStr">
        <is>
          <t>-</t>
        </is>
      </c>
      <c r="E6" s="485" t="inlineStr">
        <is>
          <t>-</t>
        </is>
      </c>
      <c r="F6" s="485" t="inlineStr">
        <is>
          <t>-</t>
        </is>
      </c>
      <c r="G6" s="485" t="inlineStr">
        <is>
          <t>DESFASE DE NÓMINA</t>
        </is>
      </c>
    </row>
    <row r="7" ht="20" customHeight="1" s="225">
      <c r="A7" s="485" t="inlineStr">
        <is>
          <t>2AV</t>
        </is>
      </c>
      <c r="B7" s="485" t="inlineStr">
        <is>
          <t>LLIVISACA JARA MISHELL BESABETH</t>
        </is>
      </c>
      <c r="C7" s="485" t="inlineStr">
        <is>
          <t>SOLO EN DOCENTES</t>
        </is>
      </c>
      <c r="D7" s="485" t="inlineStr">
        <is>
          <t>-</t>
        </is>
      </c>
      <c r="E7" s="485" t="inlineStr">
        <is>
          <t>-</t>
        </is>
      </c>
      <c r="F7" s="485" t="inlineStr">
        <is>
          <t>-</t>
        </is>
      </c>
      <c r="G7" s="485" t="inlineStr">
        <is>
          <t>DESFASE DE NÓMINA</t>
        </is>
      </c>
    </row>
    <row r="8" ht="20" customHeight="1" s="225">
      <c r="A8" s="485" t="inlineStr">
        <is>
          <t>2AV</t>
        </is>
      </c>
      <c r="B8" s="485" t="inlineStr">
        <is>
          <t>MIZHQUIRI CARRERA AMELIA VICTORIA</t>
        </is>
      </c>
      <c r="C8" s="485" t="inlineStr">
        <is>
          <t>SOLO EN DOCENTES</t>
        </is>
      </c>
      <c r="D8" s="485" t="inlineStr">
        <is>
          <t>-</t>
        </is>
      </c>
      <c r="E8" s="485" t="inlineStr">
        <is>
          <t>-</t>
        </is>
      </c>
      <c r="F8" s="485" t="inlineStr">
        <is>
          <t>-</t>
        </is>
      </c>
      <c r="G8" s="485" t="inlineStr">
        <is>
          <t>DESFASE DE NÓMINA</t>
        </is>
      </c>
    </row>
    <row r="9" ht="20" customHeight="1" s="225">
      <c r="A9" s="485" t="inlineStr">
        <is>
          <t>2AV</t>
        </is>
      </c>
      <c r="B9" s="485" t="inlineStr">
        <is>
          <t>ONCE CAJILIMA EMELY SOFIA</t>
        </is>
      </c>
      <c r="C9" s="485" t="inlineStr">
        <is>
          <t>SOLO EN DOCENTES</t>
        </is>
      </c>
      <c r="D9" s="485" t="inlineStr">
        <is>
          <t>-</t>
        </is>
      </c>
      <c r="E9" s="485" t="inlineStr">
        <is>
          <t>-</t>
        </is>
      </c>
      <c r="F9" s="485" t="inlineStr">
        <is>
          <t>-</t>
        </is>
      </c>
      <c r="G9" s="485" t="inlineStr">
        <is>
          <t>DESFASE DE NÓMINA</t>
        </is>
      </c>
    </row>
    <row r="10" ht="20" customHeight="1" s="225">
      <c r="A10" s="485" t="inlineStr">
        <is>
          <t>2AV</t>
        </is>
      </c>
      <c r="B10" s="485" t="inlineStr">
        <is>
          <t>ROMERO PINEDA ALLISON CAMILA</t>
        </is>
      </c>
      <c r="C10" s="485" t="inlineStr">
        <is>
          <t>SOLO EN DOCENTES</t>
        </is>
      </c>
      <c r="D10" s="485" t="inlineStr">
        <is>
          <t>-</t>
        </is>
      </c>
      <c r="E10" s="485" t="inlineStr">
        <is>
          <t>-</t>
        </is>
      </c>
      <c r="F10" s="485" t="inlineStr">
        <is>
          <t>-</t>
        </is>
      </c>
      <c r="G10" s="485" t="inlineStr">
        <is>
          <t>DESFASE DE NÓMINA</t>
        </is>
      </c>
    </row>
    <row r="11" ht="20" customHeight="1" s="225">
      <c r="A11" s="485" t="inlineStr">
        <is>
          <t>2AV</t>
        </is>
      </c>
      <c r="B11" s="485" t="inlineStr">
        <is>
          <t>SUQUZHAÑAY LOOR THIAGO ISAAC</t>
        </is>
      </c>
      <c r="C11" s="485" t="inlineStr">
        <is>
          <t>SOLO EN DOCENTES</t>
        </is>
      </c>
      <c r="D11" s="485" t="inlineStr">
        <is>
          <t>-</t>
        </is>
      </c>
      <c r="E11" s="485" t="inlineStr">
        <is>
          <t>-</t>
        </is>
      </c>
      <c r="F11" s="485" t="inlineStr">
        <is>
          <t>-</t>
        </is>
      </c>
      <c r="G11" s="485" t="inlineStr">
        <is>
          <t>DESFASE DE NÓMINA</t>
        </is>
      </c>
    </row>
    <row r="12" ht="20" customHeight="1" s="225">
      <c r="A12" s="486" t="inlineStr">
        <is>
          <t>2AV</t>
        </is>
      </c>
      <c r="B12" s="486" t="inlineStr">
        <is>
          <t>UZHCA GUZHÑAY DYLAN YADIEL</t>
        </is>
      </c>
      <c r="C12" s="486" t="inlineStr">
        <is>
          <t>Ciencias Naturales</t>
        </is>
      </c>
      <c r="D12" s="486" t="n">
        <v>9.84</v>
      </c>
      <c r="E12" s="486" t="n">
        <v>9.699999999999999</v>
      </c>
      <c r="F12" s="486" t="n">
        <v>0.14</v>
      </c>
      <c r="G12" s="486" t="inlineStr">
        <is>
          <t>ERROR</t>
        </is>
      </c>
    </row>
    <row r="13" ht="20" customHeight="1" s="225">
      <c r="A13" s="486" t="inlineStr">
        <is>
          <t>2AV</t>
        </is>
      </c>
      <c r="B13" s="486" t="inlineStr">
        <is>
          <t>UZHCA GUZHÑAY DYLAN YADIEL</t>
        </is>
      </c>
      <c r="C13" s="486" t="inlineStr">
        <is>
          <t>Promedio Final / P. General</t>
        </is>
      </c>
      <c r="D13" s="486" t="n">
        <v>9.85</v>
      </c>
      <c r="E13" s="486" t="n">
        <v>9.82</v>
      </c>
      <c r="F13" s="486" t="n">
        <v>0.03</v>
      </c>
      <c r="G13" s="486" t="inlineStr">
        <is>
          <t>ERROR</t>
        </is>
      </c>
    </row>
    <row r="14" ht="20" customHeight="1" s="225">
      <c r="A14" s="485" t="inlineStr">
        <is>
          <t>2AV</t>
        </is>
      </c>
      <c r="B14" s="485" t="inlineStr">
        <is>
          <t>ASMAL CAJAMARCA LESLY GISELLA</t>
        </is>
      </c>
      <c r="C14" s="485" t="inlineStr">
        <is>
          <t>SOLO EN SISTEMA</t>
        </is>
      </c>
      <c r="D14" s="485" t="inlineStr">
        <is>
          <t>-</t>
        </is>
      </c>
      <c r="E14" s="485" t="inlineStr">
        <is>
          <t>-</t>
        </is>
      </c>
      <c r="F14" s="485" t="inlineStr">
        <is>
          <t>-</t>
        </is>
      </c>
      <c r="G14" s="485" t="inlineStr">
        <is>
          <t>DESFASE DE NÓMINA</t>
        </is>
      </c>
    </row>
    <row r="15" ht="20" customHeight="1" s="225">
      <c r="A15" s="485" t="inlineStr">
        <is>
          <t>2AV</t>
        </is>
      </c>
      <c r="B15" s="485" t="inlineStr">
        <is>
          <t>LLIVISACA JARA MISHEL BETSABET</t>
        </is>
      </c>
      <c r="C15" s="485" t="inlineStr">
        <is>
          <t>SOLO EN SISTEMA</t>
        </is>
      </c>
      <c r="D15" s="485" t="inlineStr">
        <is>
          <t>-</t>
        </is>
      </c>
      <c r="E15" s="485" t="inlineStr">
        <is>
          <t>-</t>
        </is>
      </c>
      <c r="F15" s="485" t="inlineStr">
        <is>
          <t>-</t>
        </is>
      </c>
      <c r="G15" s="485" t="inlineStr">
        <is>
          <t>DESFASE DE NÓMINA</t>
        </is>
      </c>
    </row>
    <row r="16" ht="20" customHeight="1" s="225">
      <c r="A16" s="485" t="inlineStr">
        <is>
          <t>2AV</t>
        </is>
      </c>
      <c r="B16" s="485" t="inlineStr">
        <is>
          <t>MIZHQUIRI CABRERA AMELIA VICTORIA</t>
        </is>
      </c>
      <c r="C16" s="485" t="inlineStr">
        <is>
          <t>SOLO EN SISTEMA</t>
        </is>
      </c>
      <c r="D16" s="485" t="inlineStr">
        <is>
          <t>-</t>
        </is>
      </c>
      <c r="E16" s="485" t="inlineStr">
        <is>
          <t>-</t>
        </is>
      </c>
      <c r="F16" s="485" t="inlineStr">
        <is>
          <t>-</t>
        </is>
      </c>
      <c r="G16" s="485" t="inlineStr">
        <is>
          <t>DESFASE DE NÓMINA</t>
        </is>
      </c>
    </row>
    <row r="17" ht="20" customHeight="1" s="225">
      <c r="A17" s="485" t="inlineStr">
        <is>
          <t>2AV</t>
        </is>
      </c>
      <c r="B17" s="485" t="inlineStr">
        <is>
          <t>ONCE CAJILIMA EMILY SOFIA</t>
        </is>
      </c>
      <c r="C17" s="485" t="inlineStr">
        <is>
          <t>SOLO EN SISTEMA</t>
        </is>
      </c>
      <c r="D17" s="485" t="inlineStr">
        <is>
          <t>-</t>
        </is>
      </c>
      <c r="E17" s="485" t="inlineStr">
        <is>
          <t>-</t>
        </is>
      </c>
      <c r="F17" s="485" t="inlineStr">
        <is>
          <t>-</t>
        </is>
      </c>
      <c r="G17" s="485" t="inlineStr">
        <is>
          <t>DESFASE DE NÓMINA</t>
        </is>
      </c>
    </row>
    <row r="18" ht="20" customHeight="1" s="225">
      <c r="A18" s="485" t="inlineStr">
        <is>
          <t>2AV</t>
        </is>
      </c>
      <c r="B18" s="485" t="inlineStr">
        <is>
          <t>ROMERO PINEDA ALISSON CAMILA</t>
        </is>
      </c>
      <c r="C18" s="485" t="inlineStr">
        <is>
          <t>SOLO EN SISTEMA</t>
        </is>
      </c>
      <c r="D18" s="485" t="inlineStr">
        <is>
          <t>-</t>
        </is>
      </c>
      <c r="E18" s="485" t="inlineStr">
        <is>
          <t>-</t>
        </is>
      </c>
      <c r="F18" s="485" t="inlineStr">
        <is>
          <t>-</t>
        </is>
      </c>
      <c r="G18" s="485" t="inlineStr">
        <is>
          <t>DESFASE DE NÓMINA</t>
        </is>
      </c>
    </row>
    <row r="19" ht="20" customHeight="1" s="225">
      <c r="A19" s="485" t="inlineStr">
        <is>
          <t>2AV</t>
        </is>
      </c>
      <c r="B19" s="485" t="inlineStr">
        <is>
          <t>SUCUZHAÑAY LOOR THIAGO ISAAC</t>
        </is>
      </c>
      <c r="C19" s="485" t="inlineStr">
        <is>
          <t>SOLO EN SISTEMA</t>
        </is>
      </c>
      <c r="D19" s="485" t="inlineStr">
        <is>
          <t>-</t>
        </is>
      </c>
      <c r="E19" s="485" t="inlineStr">
        <is>
          <t>-</t>
        </is>
      </c>
      <c r="F19" s="485" t="inlineStr">
        <is>
          <t>-</t>
        </is>
      </c>
      <c r="G19" s="485" t="inlineStr">
        <is>
          <t>DESFASE DE NÓMINA</t>
        </is>
      </c>
    </row>
    <row r="20" ht="20" customHeight="1" s="225">
      <c r="A20" s="486" t="inlineStr">
        <is>
          <t>2BV</t>
        </is>
      </c>
      <c r="B20" s="486" t="inlineStr">
        <is>
          <t>LEMA CUNUHAY SAMANTHA VANESA</t>
        </is>
      </c>
      <c r="C20" s="486" t="inlineStr">
        <is>
          <t>Lengua y Literatura</t>
        </is>
      </c>
      <c r="D20" s="486" t="n">
        <v>9.359999999999999</v>
      </c>
      <c r="E20" s="486" t="n">
        <v>9.49</v>
      </c>
      <c r="F20" s="486" t="n">
        <v>0.13</v>
      </c>
      <c r="G20" s="486" t="inlineStr">
        <is>
          <t>ERROR</t>
        </is>
      </c>
    </row>
    <row r="21" ht="20" customHeight="1" s="225">
      <c r="A21" s="485" t="inlineStr">
        <is>
          <t>2BV</t>
        </is>
      </c>
      <c r="B21" s="485" t="inlineStr">
        <is>
          <t>MENDOZA LIA SAMARA</t>
        </is>
      </c>
      <c r="C21" s="485" t="inlineStr">
        <is>
          <t>SOLO EN DOCENTES</t>
        </is>
      </c>
      <c r="D21" s="485" t="inlineStr">
        <is>
          <t>-</t>
        </is>
      </c>
      <c r="E21" s="485" t="inlineStr">
        <is>
          <t>-</t>
        </is>
      </c>
      <c r="F21" s="485" t="inlineStr">
        <is>
          <t>-</t>
        </is>
      </c>
      <c r="G21" s="485" t="inlineStr">
        <is>
          <t>DESFASE DE NÓMINA</t>
        </is>
      </c>
    </row>
    <row r="22" ht="20" customHeight="1" s="225">
      <c r="A22" s="485" t="inlineStr">
        <is>
          <t>2BV</t>
        </is>
      </c>
      <c r="B22" s="485" t="inlineStr">
        <is>
          <t>MIRANDA CHUISACA DYLAN YAHYR</t>
        </is>
      </c>
      <c r="C22" s="485" t="inlineStr">
        <is>
          <t>(NÓMINA)</t>
        </is>
      </c>
      <c r="D22" s="485" t="inlineStr">
        <is>
          <t>-</t>
        </is>
      </c>
      <c r="E22" s="485" t="inlineStr">
        <is>
          <t>-</t>
        </is>
      </c>
      <c r="F22" s="485" t="inlineStr">
        <is>
          <t>-</t>
        </is>
      </c>
      <c r="G22" s="485" t="inlineStr">
        <is>
          <t>DESFASE DE NÓMINA</t>
        </is>
      </c>
    </row>
    <row r="23" ht="20" customHeight="1" s="225">
      <c r="A23" s="485" t="inlineStr">
        <is>
          <t>2BV</t>
        </is>
      </c>
      <c r="B23" s="485" t="inlineStr">
        <is>
          <t>PEÑA GUIRACOCHA LADY ANAHY</t>
        </is>
      </c>
      <c r="C23" s="485" t="inlineStr">
        <is>
          <t>(NÓMINA)</t>
        </is>
      </c>
      <c r="D23" s="485" t="inlineStr">
        <is>
          <t>-</t>
        </is>
      </c>
      <c r="E23" s="485" t="inlineStr">
        <is>
          <t>-</t>
        </is>
      </c>
      <c r="F23" s="485" t="inlineStr">
        <is>
          <t>-</t>
        </is>
      </c>
      <c r="G23" s="485" t="inlineStr">
        <is>
          <t>DESFASE DE NÓMINA</t>
        </is>
      </c>
    </row>
    <row r="24" ht="20" customHeight="1" s="225">
      <c r="A24" s="485" t="inlineStr">
        <is>
          <t>2BV</t>
        </is>
      </c>
      <c r="B24" s="485" t="inlineStr">
        <is>
          <t>PULLA MAYORGA JORDY SEBASTIAN</t>
        </is>
      </c>
      <c r="C24" s="485" t="inlineStr">
        <is>
          <t>(NÓMINA)</t>
        </is>
      </c>
      <c r="D24" s="485" t="inlineStr">
        <is>
          <t>-</t>
        </is>
      </c>
      <c r="E24" s="485" t="inlineStr">
        <is>
          <t>-</t>
        </is>
      </c>
      <c r="F24" s="485" t="inlineStr">
        <is>
          <t>-</t>
        </is>
      </c>
      <c r="G24" s="485" t="inlineStr">
        <is>
          <t>DESFASE DE NÓMINA</t>
        </is>
      </c>
    </row>
    <row r="25" ht="20" customHeight="1" s="225">
      <c r="A25" s="485" t="inlineStr">
        <is>
          <t>2BV</t>
        </is>
      </c>
      <c r="B25" s="485" t="inlineStr">
        <is>
          <t>ROBLES LOAIZA ESTHER SOFIA</t>
        </is>
      </c>
      <c r="C25" s="485" t="inlineStr">
        <is>
          <t>(NÓMINA)</t>
        </is>
      </c>
      <c r="D25" s="485" t="inlineStr">
        <is>
          <t>-</t>
        </is>
      </c>
      <c r="E25" s="485" t="inlineStr">
        <is>
          <t>-</t>
        </is>
      </c>
      <c r="F25" s="485" t="inlineStr">
        <is>
          <t>-</t>
        </is>
      </c>
      <c r="G25" s="485" t="inlineStr">
        <is>
          <t>DESFASE DE NÓMINA</t>
        </is>
      </c>
    </row>
    <row r="26" ht="20" customHeight="1" s="225">
      <c r="A26" s="485" t="inlineStr">
        <is>
          <t>2BV</t>
        </is>
      </c>
      <c r="B26" s="485" t="inlineStr">
        <is>
          <t>SAGBAY FAREZ ANDERSSON KALEB</t>
        </is>
      </c>
      <c r="C26" s="485" t="inlineStr">
        <is>
          <t>(NÓMINA)</t>
        </is>
      </c>
      <c r="D26" s="485" t="inlineStr">
        <is>
          <t>-</t>
        </is>
      </c>
      <c r="E26" s="485" t="inlineStr">
        <is>
          <t>-</t>
        </is>
      </c>
      <c r="F26" s="485" t="inlineStr">
        <is>
          <t>-</t>
        </is>
      </c>
      <c r="G26" s="485" t="inlineStr">
        <is>
          <t>DESFASE DE NÓMINA</t>
        </is>
      </c>
    </row>
    <row r="27" ht="20" customHeight="1" s="225">
      <c r="A27" s="485" t="inlineStr">
        <is>
          <t>2BV</t>
        </is>
      </c>
      <c r="B27" s="485" t="inlineStr">
        <is>
          <t>SIAVICHAY LEON JOSTIN JOSUE</t>
        </is>
      </c>
      <c r="C27" s="485" t="inlineStr">
        <is>
          <t>(NÓMINA)</t>
        </is>
      </c>
      <c r="D27" s="485" t="inlineStr">
        <is>
          <t>-</t>
        </is>
      </c>
      <c r="E27" s="485" t="inlineStr">
        <is>
          <t>-</t>
        </is>
      </c>
      <c r="F27" s="485" t="inlineStr">
        <is>
          <t>-</t>
        </is>
      </c>
      <c r="G27" s="485" t="inlineStr">
        <is>
          <t>DESFASE DE NÓMINA</t>
        </is>
      </c>
    </row>
    <row r="28" ht="20" customHeight="1" s="225">
      <c r="A28" s="485" t="inlineStr">
        <is>
          <t>2BV</t>
        </is>
      </c>
      <c r="B28" s="485" t="inlineStr">
        <is>
          <t>SIBRI GUAPI JHOAN MATIAS</t>
        </is>
      </c>
      <c r="C28" s="485" t="inlineStr">
        <is>
          <t>(NÓMINA)</t>
        </is>
      </c>
      <c r="D28" s="485" t="inlineStr">
        <is>
          <t>-</t>
        </is>
      </c>
      <c r="E28" s="485" t="inlineStr">
        <is>
          <t>-</t>
        </is>
      </c>
      <c r="F28" s="485" t="inlineStr">
        <is>
          <t>-</t>
        </is>
      </c>
      <c r="G28" s="485" t="inlineStr">
        <is>
          <t>DESFASE DE NÓMINA</t>
        </is>
      </c>
    </row>
    <row r="29" ht="20" customHeight="1" s="225">
      <c r="A29" s="485" t="inlineStr">
        <is>
          <t>2BV</t>
        </is>
      </c>
      <c r="B29" s="485" t="inlineStr">
        <is>
          <t>SIBRI LATA JANINA ESTEFANIA</t>
        </is>
      </c>
      <c r="C29" s="485" t="inlineStr">
        <is>
          <t>(NÓMINA)</t>
        </is>
      </c>
      <c r="D29" s="485" t="inlineStr">
        <is>
          <t>-</t>
        </is>
      </c>
      <c r="E29" s="485" t="inlineStr">
        <is>
          <t>-</t>
        </is>
      </c>
      <c r="F29" s="485" t="inlineStr">
        <is>
          <t>-</t>
        </is>
      </c>
      <c r="G29" s="485" t="inlineStr">
        <is>
          <t>DESFASE DE NÓMINA</t>
        </is>
      </c>
    </row>
    <row r="30" ht="20" customHeight="1" s="225">
      <c r="A30" s="485" t="inlineStr">
        <is>
          <t>2BV</t>
        </is>
      </c>
      <c r="B30" s="485" t="inlineStr">
        <is>
          <t>TADAY ORTIZ ABIGAIL ESTEFANIA</t>
        </is>
      </c>
      <c r="C30" s="485" t="inlineStr">
        <is>
          <t>(NÓMINA)</t>
        </is>
      </c>
      <c r="D30" s="485" t="inlineStr">
        <is>
          <t>-</t>
        </is>
      </c>
      <c r="E30" s="485" t="inlineStr">
        <is>
          <t>-</t>
        </is>
      </c>
      <c r="F30" s="485" t="inlineStr">
        <is>
          <t>-</t>
        </is>
      </c>
      <c r="G30" s="485" t="inlineStr">
        <is>
          <t>DESFASE DE NÓMINA</t>
        </is>
      </c>
    </row>
    <row r="31" ht="20" customHeight="1" s="225">
      <c r="A31" s="485" t="inlineStr">
        <is>
          <t>2BV</t>
        </is>
      </c>
      <c r="B31" s="485" t="inlineStr">
        <is>
          <t>TANGUILA RUIZ YESLY ELIZABETH</t>
        </is>
      </c>
      <c r="C31" s="485" t="inlineStr">
        <is>
          <t>(NÓMINA)</t>
        </is>
      </c>
      <c r="D31" s="485" t="inlineStr">
        <is>
          <t>-</t>
        </is>
      </c>
      <c r="E31" s="485" t="inlineStr">
        <is>
          <t>-</t>
        </is>
      </c>
      <c r="F31" s="485" t="inlineStr">
        <is>
          <t>-</t>
        </is>
      </c>
      <c r="G31" s="485" t="inlineStr">
        <is>
          <t>DESFASE DE NÓMINA</t>
        </is>
      </c>
    </row>
    <row r="32" ht="20" customHeight="1" s="225">
      <c r="A32" s="485" t="inlineStr">
        <is>
          <t>2BV</t>
        </is>
      </c>
      <c r="B32" s="485" t="inlineStr">
        <is>
          <t>VALDEZ MONTESDEOCA ANGEL JOSUE</t>
        </is>
      </c>
      <c r="C32" s="485" t="inlineStr">
        <is>
          <t>(NÓMINA)</t>
        </is>
      </c>
      <c r="D32" s="485" t="inlineStr">
        <is>
          <t>-</t>
        </is>
      </c>
      <c r="E32" s="485" t="inlineStr">
        <is>
          <t>-</t>
        </is>
      </c>
      <c r="F32" s="485" t="inlineStr">
        <is>
          <t>-</t>
        </is>
      </c>
      <c r="G32" s="485" t="inlineStr">
        <is>
          <t>DESFASE DE NÓMINA</t>
        </is>
      </c>
    </row>
    <row r="33" ht="20" customHeight="1" s="225">
      <c r="A33" s="485" t="inlineStr">
        <is>
          <t>2BV</t>
        </is>
      </c>
      <c r="B33" s="485" t="inlineStr">
        <is>
          <t>VIDAL PATIÑO EMMA ISABELLA</t>
        </is>
      </c>
      <c r="C33" s="485" t="inlineStr">
        <is>
          <t>(NÓMINA)</t>
        </is>
      </c>
      <c r="D33" s="485" t="inlineStr">
        <is>
          <t>-</t>
        </is>
      </c>
      <c r="E33" s="485" t="inlineStr">
        <is>
          <t>-</t>
        </is>
      </c>
      <c r="F33" s="485" t="inlineStr">
        <is>
          <t>-</t>
        </is>
      </c>
      <c r="G33" s="485" t="inlineStr">
        <is>
          <t>DESFASE DE NÓMINA</t>
        </is>
      </c>
    </row>
    <row r="34" ht="20" customHeight="1" s="225">
      <c r="A34" s="485" t="inlineStr">
        <is>
          <t>2BV</t>
        </is>
      </c>
      <c r="B34" s="485" t="inlineStr">
        <is>
          <t>VIZHÑAY SOLIZ LUIS MATEO</t>
        </is>
      </c>
      <c r="C34" s="485" t="inlineStr">
        <is>
          <t>(NÓMINA)</t>
        </is>
      </c>
      <c r="D34" s="485" t="inlineStr">
        <is>
          <t>-</t>
        </is>
      </c>
      <c r="E34" s="485" t="inlineStr">
        <is>
          <t>-</t>
        </is>
      </c>
      <c r="F34" s="485" t="inlineStr">
        <is>
          <t>-</t>
        </is>
      </c>
      <c r="G34" s="485" t="inlineStr">
        <is>
          <t>DESFASE DE NÓMINA</t>
        </is>
      </c>
    </row>
    <row r="35" ht="20" customHeight="1" s="225">
      <c r="A35" s="485" t="inlineStr">
        <is>
          <t>2BV</t>
        </is>
      </c>
      <c r="B35" s="485" t="inlineStr">
        <is>
          <t>ZHUMILIMA CAMPOVERDE MILAGRO DEL CISNE</t>
        </is>
      </c>
      <c r="C35" s="485" t="inlineStr">
        <is>
          <t>(NÓMINA)</t>
        </is>
      </c>
      <c r="D35" s="485" t="inlineStr">
        <is>
          <t>-</t>
        </is>
      </c>
      <c r="E35" s="485" t="inlineStr">
        <is>
          <t>-</t>
        </is>
      </c>
      <c r="F35" s="485" t="inlineStr">
        <is>
          <t>-</t>
        </is>
      </c>
      <c r="G35" s="485" t="inlineStr">
        <is>
          <t>DESFASE DE NÓMINA</t>
        </is>
      </c>
    </row>
    <row r="36" ht="20" customHeight="1" s="225">
      <c r="A36" s="485" t="inlineStr">
        <is>
          <t>2BV</t>
        </is>
      </c>
      <c r="B36" s="485" t="inlineStr">
        <is>
          <t>ÑAUTA BARRETO MATEO ARIEL</t>
        </is>
      </c>
      <c r="C36" s="485" t="inlineStr">
        <is>
          <t>(NÓMINA)</t>
        </is>
      </c>
      <c r="D36" s="485" t="inlineStr">
        <is>
          <t>-</t>
        </is>
      </c>
      <c r="E36" s="485" t="inlineStr">
        <is>
          <t>-</t>
        </is>
      </c>
      <c r="F36" s="485" t="inlineStr">
        <is>
          <t>-</t>
        </is>
      </c>
      <c r="G36" s="485" t="inlineStr">
        <is>
          <t>DESFASE DE NÓMINA</t>
        </is>
      </c>
    </row>
    <row r="37" ht="20" customHeight="1" s="225">
      <c r="A37" s="485" t="inlineStr">
        <is>
          <t>2BV</t>
        </is>
      </c>
      <c r="B37" s="485" t="inlineStr">
        <is>
          <t>ZHINDON ROBLES SNEYDER ALEXANDER</t>
        </is>
      </c>
      <c r="C37" s="485" t="inlineStr">
        <is>
          <t>(NÓMINA)</t>
        </is>
      </c>
      <c r="D37" s="485" t="inlineStr">
        <is>
          <t>-</t>
        </is>
      </c>
      <c r="E37" s="485" t="inlineStr">
        <is>
          <t>-</t>
        </is>
      </c>
      <c r="F37" s="485" t="inlineStr">
        <is>
          <t>-</t>
        </is>
      </c>
      <c r="G37" s="485" t="inlineStr">
        <is>
          <t>DESFASE DE NÓMINA</t>
        </is>
      </c>
    </row>
    <row r="38" ht="20" customHeight="1" s="225">
      <c r="A38" s="486" t="inlineStr">
        <is>
          <t>2BV</t>
        </is>
      </c>
      <c r="B38" s="486" t="inlineStr">
        <is>
          <t>ZHINDON ROBLES SNEYDER ALEXANDER</t>
        </is>
      </c>
      <c r="C38" s="486" t="inlineStr">
        <is>
          <t>Lengua y Literatura</t>
        </is>
      </c>
      <c r="D38" s="486" t="n">
        <v>7.64</v>
      </c>
      <c r="E38" s="486" t="n">
        <v>7.58</v>
      </c>
      <c r="F38" s="486" t="n">
        <v>0.06</v>
      </c>
      <c r="G38" s="486" t="inlineStr">
        <is>
          <t>ERROR</t>
        </is>
      </c>
    </row>
    <row r="39" ht="20" customHeight="1" s="225">
      <c r="A39" s="486" t="inlineStr">
        <is>
          <t>2BV</t>
        </is>
      </c>
      <c r="B39" s="486" t="inlineStr">
        <is>
          <t>ZHINDON ROBLES SNEYDER ALEXANDER</t>
        </is>
      </c>
      <c r="C39" s="486" t="inlineStr">
        <is>
          <t>Matemática</t>
        </is>
      </c>
      <c r="D39" s="486" t="n">
        <v>8.24</v>
      </c>
      <c r="E39" s="486" t="n">
        <v>7.85</v>
      </c>
      <c r="F39" s="486" t="n">
        <v>0.39</v>
      </c>
      <c r="G39" s="486" t="inlineStr">
        <is>
          <t>ERROR</t>
        </is>
      </c>
    </row>
    <row r="40" ht="20" customHeight="1" s="225">
      <c r="A40" s="486" t="inlineStr">
        <is>
          <t>2BV</t>
        </is>
      </c>
      <c r="B40" s="486" t="inlineStr">
        <is>
          <t>ZHINDON ROBLES SNEYDER ALEXANDER</t>
        </is>
      </c>
      <c r="C40" s="486" t="inlineStr">
        <is>
          <t>Ciencias Naturales</t>
        </is>
      </c>
      <c r="D40" s="486" t="n">
        <v>8.33</v>
      </c>
      <c r="E40" s="486" t="n">
        <v>8.119999999999999</v>
      </c>
      <c r="F40" s="486" t="n">
        <v>0.21</v>
      </c>
      <c r="G40" s="486" t="inlineStr">
        <is>
          <t>ERROR</t>
        </is>
      </c>
    </row>
    <row r="41" ht="20" customHeight="1" s="225">
      <c r="A41" s="486" t="inlineStr">
        <is>
          <t>2BV</t>
        </is>
      </c>
      <c r="B41" s="486" t="inlineStr">
        <is>
          <t>ZHINDON ROBLES SNEYDER ALEXANDER</t>
        </is>
      </c>
      <c r="C41" s="486" t="inlineStr">
        <is>
          <t>Estudios Sociales</t>
        </is>
      </c>
      <c r="D41" s="486" t="n">
        <v>8.130000000000001</v>
      </c>
      <c r="E41" s="486" t="n">
        <v>8.02</v>
      </c>
      <c r="F41" s="486" t="n">
        <v>0.11</v>
      </c>
      <c r="G41" s="486" t="inlineStr">
        <is>
          <t>ERROR</t>
        </is>
      </c>
    </row>
    <row r="42" ht="20" customHeight="1" s="225">
      <c r="A42" s="486" t="inlineStr">
        <is>
          <t>2BV</t>
        </is>
      </c>
      <c r="B42" s="486" t="inlineStr">
        <is>
          <t>ZHINDON ROBLES SNEYDER ALEXANDER</t>
        </is>
      </c>
      <c r="C42" s="486" t="inlineStr">
        <is>
          <t>Inglés</t>
        </is>
      </c>
      <c r="D42" s="486" t="n">
        <v>7.79</v>
      </c>
      <c r="E42" s="486" t="n">
        <v>8.08</v>
      </c>
      <c r="F42" s="486" t="n">
        <v>0.29</v>
      </c>
      <c r="G42" s="486" t="inlineStr">
        <is>
          <t>ERROR</t>
        </is>
      </c>
    </row>
    <row r="43" ht="20" customHeight="1" s="225">
      <c r="A43" s="486" t="inlineStr">
        <is>
          <t>2BV</t>
        </is>
      </c>
      <c r="B43" s="486" t="inlineStr">
        <is>
          <t>ZHINDON ROBLES SNEYDER ALEXANDER</t>
        </is>
      </c>
      <c r="C43" s="486" t="inlineStr">
        <is>
          <t>Educación Cultural y Artística</t>
        </is>
      </c>
      <c r="D43" s="486" t="n">
        <v>7.93</v>
      </c>
      <c r="E43" s="486" t="n">
        <v>8.35</v>
      </c>
      <c r="F43" s="486" t="n">
        <v>0.42</v>
      </c>
      <c r="G43" s="486" t="inlineStr">
        <is>
          <t>ERROR</t>
        </is>
      </c>
    </row>
    <row r="44" ht="20" customHeight="1" s="225">
      <c r="A44" s="486" t="inlineStr">
        <is>
          <t>2BV</t>
        </is>
      </c>
      <c r="B44" s="486" t="inlineStr">
        <is>
          <t>ZHINDON ROBLES SNEYDER ALEXANDER</t>
        </is>
      </c>
      <c r="C44" s="486" t="inlineStr">
        <is>
          <t>Educación Física</t>
        </is>
      </c>
      <c r="D44" s="486" t="n">
        <v>7.82</v>
      </c>
      <c r="E44" s="486" t="n">
        <v>7.88</v>
      </c>
      <c r="F44" s="486" t="n">
        <v>0.06</v>
      </c>
      <c r="G44" s="486" t="inlineStr">
        <is>
          <t>ERROR</t>
        </is>
      </c>
    </row>
    <row r="45" ht="20" customHeight="1" s="225">
      <c r="A45" s="485" t="inlineStr">
        <is>
          <t>2BV</t>
        </is>
      </c>
      <c r="B45" s="485" t="inlineStr">
        <is>
          <t>MEJIA PEÑAFIEL EMELY NAHOMI</t>
        </is>
      </c>
      <c r="C45" s="485" t="inlineStr">
        <is>
          <t>SOLO EN SISTEMA</t>
        </is>
      </c>
      <c r="D45" s="485" t="inlineStr">
        <is>
          <t>-</t>
        </is>
      </c>
      <c r="E45" s="485" t="inlineStr">
        <is>
          <t>-</t>
        </is>
      </c>
      <c r="F45" s="485" t="inlineStr">
        <is>
          <t>-</t>
        </is>
      </c>
      <c r="G45" s="485" t="inlineStr">
        <is>
          <t>DESFASE DE NÓMINA</t>
        </is>
      </c>
    </row>
    <row r="46" ht="20" customHeight="1" s="225">
      <c r="A46" s="485" t="inlineStr">
        <is>
          <t>2BV</t>
        </is>
      </c>
      <c r="B46" s="485" t="inlineStr">
        <is>
          <t>MENDOZA VILLA LÍA SAMARA</t>
        </is>
      </c>
      <c r="C46" s="485" t="inlineStr">
        <is>
          <t>SOLO EN SISTEMA</t>
        </is>
      </c>
      <c r="D46" s="485" t="inlineStr">
        <is>
          <t>-</t>
        </is>
      </c>
      <c r="E46" s="485" t="inlineStr">
        <is>
          <t>-</t>
        </is>
      </c>
      <c r="F46" s="485" t="inlineStr">
        <is>
          <t>-</t>
        </is>
      </c>
      <c r="G46" s="485" t="inlineStr">
        <is>
          <t>DESFASE DE NÓMINA</t>
        </is>
      </c>
    </row>
    <row r="47" ht="20" customHeight="1" s="225">
      <c r="A47" s="485" t="inlineStr">
        <is>
          <t>3AV</t>
        </is>
      </c>
      <c r="B47" s="485" t="inlineStr">
        <is>
          <t>ACOSTA RODRIGUEZ AARON MANUEL</t>
        </is>
      </c>
      <c r="C47" s="485" t="inlineStr">
        <is>
          <t>SOLO EN DOCENTES</t>
        </is>
      </c>
      <c r="D47" s="485" t="inlineStr">
        <is>
          <t>-</t>
        </is>
      </c>
      <c r="E47" s="485" t="inlineStr">
        <is>
          <t>-</t>
        </is>
      </c>
      <c r="F47" s="485" t="inlineStr">
        <is>
          <t>-</t>
        </is>
      </c>
      <c r="G47" s="485" t="inlineStr">
        <is>
          <t>DESFASE DE NÓMINA</t>
        </is>
      </c>
    </row>
    <row r="48" ht="20" customHeight="1" s="225">
      <c r="A48" s="486" t="inlineStr">
        <is>
          <t>3AV</t>
        </is>
      </c>
      <c r="B48" s="486" t="inlineStr">
        <is>
          <t>ARMAS ASMAL YESLY SOFIA</t>
        </is>
      </c>
      <c r="C48" s="486" t="inlineStr">
        <is>
          <t>Inglés</t>
        </is>
      </c>
      <c r="D48" s="486" t="n">
        <v>8.550000000000001</v>
      </c>
      <c r="E48" s="486" t="n">
        <v>8.48</v>
      </c>
      <c r="F48" s="486" t="n">
        <v>0.07000000000000001</v>
      </c>
      <c r="G48" s="486" t="inlineStr">
        <is>
          <t>ERROR</t>
        </is>
      </c>
    </row>
    <row r="49" ht="20" customHeight="1" s="225">
      <c r="A49" s="486" t="inlineStr">
        <is>
          <t>3AV</t>
        </is>
      </c>
      <c r="B49" s="486" t="inlineStr">
        <is>
          <t>ARMIJOS GUZÑAY JOSELINE SAMANTHA</t>
        </is>
      </c>
      <c r="C49" s="486" t="inlineStr">
        <is>
          <t>Inglés</t>
        </is>
      </c>
      <c r="D49" s="486" t="n">
        <v>9.18</v>
      </c>
      <c r="E49" s="486" t="n">
        <v>9.15</v>
      </c>
      <c r="F49" s="486" t="n">
        <v>0.03</v>
      </c>
      <c r="G49" s="486" t="inlineStr">
        <is>
          <t>ERROR</t>
        </is>
      </c>
    </row>
    <row r="50" ht="20" customHeight="1" s="225">
      <c r="A50" s="486" t="inlineStr">
        <is>
          <t>3AV</t>
        </is>
      </c>
      <c r="B50" s="486" t="inlineStr">
        <is>
          <t>BARRERA MENDOZA KEVIN ALEJANDRO</t>
        </is>
      </c>
      <c r="C50" s="486" t="inlineStr">
        <is>
          <t>Inglés</t>
        </is>
      </c>
      <c r="D50" s="486" t="n">
        <v>9.02</v>
      </c>
      <c r="E50" s="486" t="n">
        <v>8.81</v>
      </c>
      <c r="F50" s="486" t="n">
        <v>0.21</v>
      </c>
      <c r="G50" s="486" t="inlineStr">
        <is>
          <t>ERROR</t>
        </is>
      </c>
    </row>
    <row r="51" ht="20" customHeight="1" s="225">
      <c r="A51" s="486" t="inlineStr">
        <is>
          <t>3AV</t>
        </is>
      </c>
      <c r="B51" s="486" t="inlineStr">
        <is>
          <t>BARRERA MENDOZA KEVIN ALEJANDRO</t>
        </is>
      </c>
      <c r="C51" s="486" t="inlineStr">
        <is>
          <t>Promedio Final / P. General</t>
        </is>
      </c>
      <c r="D51" s="486" t="n">
        <v>9.289999999999999</v>
      </c>
      <c r="E51" s="486" t="n">
        <v>9.26</v>
      </c>
      <c r="F51" s="486" t="n">
        <v>0.03</v>
      </c>
      <c r="G51" s="486" t="inlineStr">
        <is>
          <t>ERROR</t>
        </is>
      </c>
    </row>
    <row r="52" ht="20" customHeight="1" s="225">
      <c r="A52" s="485" t="inlineStr">
        <is>
          <t>3AV</t>
        </is>
      </c>
      <c r="B52" s="485" t="inlineStr">
        <is>
          <t>CAGUANA LANDI YESLY SOFIA</t>
        </is>
      </c>
      <c r="C52" s="485" t="inlineStr">
        <is>
          <t>(NÓMINA)</t>
        </is>
      </c>
      <c r="D52" s="485" t="inlineStr">
        <is>
          <t>-</t>
        </is>
      </c>
      <c r="E52" s="485" t="inlineStr">
        <is>
          <t>-</t>
        </is>
      </c>
      <c r="F52" s="485" t="inlineStr">
        <is>
          <t>-</t>
        </is>
      </c>
      <c r="G52" s="485" t="inlineStr">
        <is>
          <t>DESFASE DE NÓMINA</t>
        </is>
      </c>
    </row>
    <row r="53" ht="20" customHeight="1" s="225">
      <c r="A53" s="486" t="inlineStr">
        <is>
          <t>3AV</t>
        </is>
      </c>
      <c r="B53" s="486" t="inlineStr">
        <is>
          <t>CAGUANA LANDI YESLY SOFIA</t>
        </is>
      </c>
      <c r="C53" s="486" t="inlineStr">
        <is>
          <t>Lengua y Literatura</t>
        </is>
      </c>
      <c r="D53" s="486" t="n">
        <v>8.42</v>
      </c>
      <c r="E53" s="486" t="n">
        <v>9.02</v>
      </c>
      <c r="F53" s="486" t="n">
        <v>0.6</v>
      </c>
      <c r="G53" s="486" t="inlineStr">
        <is>
          <t>ERROR</t>
        </is>
      </c>
    </row>
    <row r="54" ht="20" customHeight="1" s="225">
      <c r="A54" s="486" t="inlineStr">
        <is>
          <t>3AV</t>
        </is>
      </c>
      <c r="B54" s="486" t="inlineStr">
        <is>
          <t>CAGUANA LANDI YESLY SOFIA</t>
        </is>
      </c>
      <c r="C54" s="486" t="inlineStr">
        <is>
          <t>Inglés</t>
        </is>
      </c>
      <c r="D54" s="486" t="n">
        <v>8.199999999999999</v>
      </c>
      <c r="E54" s="486" t="n">
        <v>8.09</v>
      </c>
      <c r="F54" s="486" t="n">
        <v>0.11</v>
      </c>
      <c r="G54" s="486" t="inlineStr">
        <is>
          <t>ERROR</t>
        </is>
      </c>
    </row>
    <row r="55" ht="20" customHeight="1" s="225">
      <c r="A55" s="486" t="inlineStr">
        <is>
          <t>3AV</t>
        </is>
      </c>
      <c r="B55" s="486" t="inlineStr">
        <is>
          <t>CAGUANA LANDI YESLY SOFIA</t>
        </is>
      </c>
      <c r="C55" s="486" t="inlineStr">
        <is>
          <t>Promedio Final / P. General</t>
        </is>
      </c>
      <c r="D55" s="486" t="n">
        <v>8.539999999999999</v>
      </c>
      <c r="E55" s="486" t="n">
        <v>8.6</v>
      </c>
      <c r="F55" s="486" t="n">
        <v>0.06</v>
      </c>
      <c r="G55" s="486" t="inlineStr">
        <is>
          <t>ERROR</t>
        </is>
      </c>
    </row>
    <row r="56" ht="20" customHeight="1" s="225">
      <c r="A56" s="485" t="inlineStr">
        <is>
          <t>3AV</t>
        </is>
      </c>
      <c r="B56" s="485" t="inlineStr">
        <is>
          <t>CANAR LLANGARI JONATHAN SEBASTIAN</t>
        </is>
      </c>
      <c r="C56" s="485" t="inlineStr">
        <is>
          <t>(NÓMINA)</t>
        </is>
      </c>
      <c r="D56" s="485" t="inlineStr">
        <is>
          <t>-</t>
        </is>
      </c>
      <c r="E56" s="485" t="inlineStr">
        <is>
          <t>-</t>
        </is>
      </c>
      <c r="F56" s="485" t="inlineStr">
        <is>
          <t>-</t>
        </is>
      </c>
      <c r="G56" s="485" t="inlineStr">
        <is>
          <t>DESFASE DE NÓMINA</t>
        </is>
      </c>
    </row>
    <row r="57" ht="20" customHeight="1" s="225">
      <c r="A57" s="486" t="inlineStr">
        <is>
          <t>3AV</t>
        </is>
      </c>
      <c r="B57" s="486" t="inlineStr">
        <is>
          <t>CANAR LLANGARI JONATHAN SEBASTIAN</t>
        </is>
      </c>
      <c r="C57" s="486" t="inlineStr">
        <is>
          <t>Inglés</t>
        </is>
      </c>
      <c r="D57" s="486" t="n">
        <v>7.37</v>
      </c>
      <c r="E57" s="486" t="n">
        <v>7.61</v>
      </c>
      <c r="F57" s="486" t="n">
        <v>0.24</v>
      </c>
      <c r="G57" s="486" t="inlineStr">
        <is>
          <t>ERROR</t>
        </is>
      </c>
    </row>
    <row r="58" ht="20" customHeight="1" s="225">
      <c r="A58" s="485" t="inlineStr">
        <is>
          <t>3AV</t>
        </is>
      </c>
      <c r="B58" s="485" t="inlineStr">
        <is>
          <t>DELGADO PONCE ANGELICA AINHOA</t>
        </is>
      </c>
      <c r="C58" s="485" t="inlineStr">
        <is>
          <t>(NÓMINA)</t>
        </is>
      </c>
      <c r="D58" s="485" t="inlineStr">
        <is>
          <t>-</t>
        </is>
      </c>
      <c r="E58" s="485" t="inlineStr">
        <is>
          <t>-</t>
        </is>
      </c>
      <c r="F58" s="485" t="inlineStr">
        <is>
          <t>-</t>
        </is>
      </c>
      <c r="G58" s="485" t="inlineStr">
        <is>
          <t>DESFASE DE NÓMINA</t>
        </is>
      </c>
    </row>
    <row r="59" ht="20" customHeight="1" s="225">
      <c r="A59" s="486" t="inlineStr">
        <is>
          <t>3AV</t>
        </is>
      </c>
      <c r="B59" s="486" t="inlineStr">
        <is>
          <t>DELGADO PONCE ANGELICA AINHOA</t>
        </is>
      </c>
      <c r="C59" s="486" t="inlineStr">
        <is>
          <t>Inglés</t>
        </is>
      </c>
      <c r="D59" s="486" t="n">
        <v>8.67</v>
      </c>
      <c r="E59" s="486" t="n">
        <v>8.619999999999999</v>
      </c>
      <c r="F59" s="486" t="n">
        <v>0.05</v>
      </c>
      <c r="G59" s="486" t="inlineStr">
        <is>
          <t>ERROR</t>
        </is>
      </c>
    </row>
    <row r="60" ht="20" customHeight="1" s="225">
      <c r="A60" s="485" t="inlineStr">
        <is>
          <t>3AV</t>
        </is>
      </c>
      <c r="B60" s="485" t="inlineStr">
        <is>
          <t>ESPINOZA ANDRADE ALEX XAVIER</t>
        </is>
      </c>
      <c r="C60" s="485" t="inlineStr">
        <is>
          <t>(NÓMINA)</t>
        </is>
      </c>
      <c r="D60" s="485" t="inlineStr">
        <is>
          <t>-</t>
        </is>
      </c>
      <c r="E60" s="485" t="inlineStr">
        <is>
          <t>-</t>
        </is>
      </c>
      <c r="F60" s="485" t="inlineStr">
        <is>
          <t>-</t>
        </is>
      </c>
      <c r="G60" s="485" t="inlineStr">
        <is>
          <t>DESFASE DE NÓMINA</t>
        </is>
      </c>
    </row>
    <row r="61" ht="20" customHeight="1" s="225">
      <c r="A61" s="486" t="inlineStr">
        <is>
          <t>3AV</t>
        </is>
      </c>
      <c r="B61" s="486" t="inlineStr">
        <is>
          <t>ESPINOZA ANDRADE ALEX XAVIER</t>
        </is>
      </c>
      <c r="C61" s="486" t="inlineStr">
        <is>
          <t>Inglés</t>
        </is>
      </c>
      <c r="D61" s="486" t="n">
        <v>8.630000000000001</v>
      </c>
      <c r="E61" s="486" t="n">
        <v>8.949999999999999</v>
      </c>
      <c r="F61" s="486" t="n">
        <v>0.32</v>
      </c>
      <c r="G61" s="486" t="inlineStr">
        <is>
          <t>ERROR</t>
        </is>
      </c>
    </row>
    <row r="62" ht="20" customHeight="1" s="225">
      <c r="A62" s="486" t="inlineStr">
        <is>
          <t>3AV</t>
        </is>
      </c>
      <c r="B62" s="486" t="inlineStr">
        <is>
          <t>ESPINOZA ANDRADE ALEX XAVIER</t>
        </is>
      </c>
      <c r="C62" s="486" t="inlineStr">
        <is>
          <t>Promedio Final / P. General</t>
        </is>
      </c>
      <c r="D62" s="486" t="n">
        <v>7.82</v>
      </c>
      <c r="E62" s="486" t="n">
        <v>7.85</v>
      </c>
      <c r="F62" s="486" t="n">
        <v>0.03</v>
      </c>
      <c r="G62" s="486" t="inlineStr">
        <is>
          <t>ERROR</t>
        </is>
      </c>
    </row>
    <row r="63" ht="20" customHeight="1" s="225">
      <c r="A63" s="485" t="inlineStr">
        <is>
          <t>3AV</t>
        </is>
      </c>
      <c r="B63" s="485" t="inlineStr">
        <is>
          <t>FIGUEREDO MOLINA MONICA SOFIA</t>
        </is>
      </c>
      <c r="C63" s="485" t="inlineStr">
        <is>
          <t>(NÓMINA)</t>
        </is>
      </c>
      <c r="D63" s="485" t="inlineStr">
        <is>
          <t>-</t>
        </is>
      </c>
      <c r="E63" s="485" t="inlineStr">
        <is>
          <t>-</t>
        </is>
      </c>
      <c r="F63" s="485" t="inlineStr">
        <is>
          <t>-</t>
        </is>
      </c>
      <c r="G63" s="485" t="inlineStr">
        <is>
          <t>DESFASE DE NÓMINA</t>
        </is>
      </c>
    </row>
    <row r="64" ht="20" customHeight="1" s="225">
      <c r="A64" s="485" t="inlineStr">
        <is>
          <t>3AV</t>
        </is>
      </c>
      <c r="B64" s="485" t="inlineStr">
        <is>
          <t>GUAMAN MARTOS CHRISTIAN FERNANDO</t>
        </is>
      </c>
      <c r="C64" s="485" t="inlineStr">
        <is>
          <t>(NÓMINA)</t>
        </is>
      </c>
      <c r="D64" s="485" t="inlineStr">
        <is>
          <t>-</t>
        </is>
      </c>
      <c r="E64" s="485" t="inlineStr">
        <is>
          <t>-</t>
        </is>
      </c>
      <c r="F64" s="485" t="inlineStr">
        <is>
          <t>-</t>
        </is>
      </c>
      <c r="G64" s="485" t="inlineStr">
        <is>
          <t>DESFASE DE NÓMINA</t>
        </is>
      </c>
    </row>
    <row r="65" ht="20" customHeight="1" s="225">
      <c r="A65" s="486" t="inlineStr">
        <is>
          <t>3AV</t>
        </is>
      </c>
      <c r="B65" s="486" t="inlineStr">
        <is>
          <t>GUAMAN MARTOS CHRISTIAN FERNANDO</t>
        </is>
      </c>
      <c r="C65" s="486" t="inlineStr">
        <is>
          <t>Inglés</t>
        </is>
      </c>
      <c r="D65" s="486" t="n">
        <v>8.869999999999999</v>
      </c>
      <c r="E65" s="486" t="n">
        <v>8.82</v>
      </c>
      <c r="F65" s="486" t="n">
        <v>0.05</v>
      </c>
      <c r="G65" s="486" t="inlineStr">
        <is>
          <t>ERROR</t>
        </is>
      </c>
    </row>
    <row r="66" ht="20" customHeight="1" s="225">
      <c r="A66" s="485" t="inlineStr">
        <is>
          <t>3AV</t>
        </is>
      </c>
      <c r="B66" s="485" t="inlineStr">
        <is>
          <t>LLAPA BUESTAN DYLAN AUGUSTO</t>
        </is>
      </c>
      <c r="C66" s="485" t="inlineStr">
        <is>
          <t>SOLO EN DOCENTES</t>
        </is>
      </c>
      <c r="D66" s="485" t="inlineStr">
        <is>
          <t>-</t>
        </is>
      </c>
      <c r="E66" s="485" t="inlineStr">
        <is>
          <t>-</t>
        </is>
      </c>
      <c r="F66" s="485" t="inlineStr">
        <is>
          <t>-</t>
        </is>
      </c>
      <c r="G66" s="485" t="inlineStr">
        <is>
          <t>DESFASE DE NÓMINA</t>
        </is>
      </c>
    </row>
    <row r="67" ht="20" customHeight="1" s="225">
      <c r="A67" s="485" t="inlineStr">
        <is>
          <t>3AV</t>
        </is>
      </c>
      <c r="B67" s="485" t="inlineStr">
        <is>
          <t>LLIVISACA CABRERA ANTHONY JAVIER</t>
        </is>
      </c>
      <c r="C67" s="485" t="inlineStr">
        <is>
          <t>(NÓMINA)</t>
        </is>
      </c>
      <c r="D67" s="485" t="inlineStr">
        <is>
          <t>-</t>
        </is>
      </c>
      <c r="E67" s="485" t="inlineStr">
        <is>
          <t>-</t>
        </is>
      </c>
      <c r="F67" s="485" t="inlineStr">
        <is>
          <t>-</t>
        </is>
      </c>
      <c r="G67" s="485" t="inlineStr">
        <is>
          <t>DESFASE DE NÓMINA</t>
        </is>
      </c>
    </row>
    <row r="68" ht="20" customHeight="1" s="225">
      <c r="A68" s="486" t="inlineStr">
        <is>
          <t>3AV</t>
        </is>
      </c>
      <c r="B68" s="486" t="inlineStr">
        <is>
          <t>LLIVISACA CABRERA ANTHONY JAVIER</t>
        </is>
      </c>
      <c r="C68" s="486" t="inlineStr">
        <is>
          <t>Inglés</t>
        </is>
      </c>
      <c r="D68" s="486" t="n">
        <v>8.15</v>
      </c>
      <c r="E68" s="486" t="n">
        <v>8.19</v>
      </c>
      <c r="F68" s="486" t="n">
        <v>0.04</v>
      </c>
      <c r="G68" s="486" t="inlineStr">
        <is>
          <t>ERROR</t>
        </is>
      </c>
    </row>
    <row r="69" ht="20" customHeight="1" s="225">
      <c r="A69" s="485" t="inlineStr">
        <is>
          <t>3AV</t>
        </is>
      </c>
      <c r="B69" s="485" t="inlineStr">
        <is>
          <t>MAYANCELA CARTUCHE CRISTOFER SAMUEL</t>
        </is>
      </c>
      <c r="C69" s="485" t="inlineStr">
        <is>
          <t>(NÓMINA)</t>
        </is>
      </c>
      <c r="D69" s="485" t="inlineStr">
        <is>
          <t>-</t>
        </is>
      </c>
      <c r="E69" s="485" t="inlineStr">
        <is>
          <t>-</t>
        </is>
      </c>
      <c r="F69" s="485" t="inlineStr">
        <is>
          <t>-</t>
        </is>
      </c>
      <c r="G69" s="485" t="inlineStr">
        <is>
          <t>DESFASE DE NÓMINA</t>
        </is>
      </c>
    </row>
    <row r="70" ht="20" customHeight="1" s="225">
      <c r="A70" s="486" t="inlineStr">
        <is>
          <t>3AV</t>
        </is>
      </c>
      <c r="B70" s="486" t="inlineStr">
        <is>
          <t>MAYANCELA CARTUCHE CRISTOFER SAMUEL</t>
        </is>
      </c>
      <c r="C70" s="486" t="inlineStr">
        <is>
          <t>Inglés</t>
        </is>
      </c>
      <c r="D70" s="486" t="n">
        <v>9.369999999999999</v>
      </c>
      <c r="E70" s="486" t="n">
        <v>9.550000000000001</v>
      </c>
      <c r="F70" s="486" t="n">
        <v>0.18</v>
      </c>
      <c r="G70" s="486" t="inlineStr">
        <is>
          <t>ERROR</t>
        </is>
      </c>
    </row>
    <row r="71" ht="20" customHeight="1" s="225">
      <c r="A71" s="485" t="inlineStr">
        <is>
          <t>3AV</t>
        </is>
      </c>
      <c r="B71" s="485" t="inlineStr">
        <is>
          <t>MOPOSITA LOMBEIDA KEILER ALEXANDER</t>
        </is>
      </c>
      <c r="C71" s="485" t="inlineStr">
        <is>
          <t>(NÓMINA)</t>
        </is>
      </c>
      <c r="D71" s="485" t="inlineStr">
        <is>
          <t>-</t>
        </is>
      </c>
      <c r="E71" s="485" t="inlineStr">
        <is>
          <t>-</t>
        </is>
      </c>
      <c r="F71" s="485" t="inlineStr">
        <is>
          <t>-</t>
        </is>
      </c>
      <c r="G71" s="485" t="inlineStr">
        <is>
          <t>DESFASE DE NÓMINA</t>
        </is>
      </c>
    </row>
    <row r="72" ht="20" customHeight="1" s="225">
      <c r="A72" s="486" t="inlineStr">
        <is>
          <t>3AV</t>
        </is>
      </c>
      <c r="B72" s="486" t="inlineStr">
        <is>
          <t>MOPOSITA LOMBEIDA KEILER ALEXANDER</t>
        </is>
      </c>
      <c r="C72" s="486" t="inlineStr">
        <is>
          <t>Inglés</t>
        </is>
      </c>
      <c r="D72" s="486" t="n">
        <v>8.91</v>
      </c>
      <c r="E72" s="486" t="n">
        <v>8.880000000000001</v>
      </c>
      <c r="F72" s="486" t="n">
        <v>0.03</v>
      </c>
      <c r="G72" s="486" t="inlineStr">
        <is>
          <t>ERROR</t>
        </is>
      </c>
    </row>
    <row r="73" ht="20" customHeight="1" s="225">
      <c r="A73" s="485" t="inlineStr">
        <is>
          <t>3AV</t>
        </is>
      </c>
      <c r="B73" s="485" t="inlineStr">
        <is>
          <t>PERALTA ARIAS EMILY SAMANTHA</t>
        </is>
      </c>
      <c r="C73" s="485" t="inlineStr">
        <is>
          <t>(NÓMINA)</t>
        </is>
      </c>
      <c r="D73" s="485" t="inlineStr">
        <is>
          <t>-</t>
        </is>
      </c>
      <c r="E73" s="485" t="inlineStr">
        <is>
          <t>-</t>
        </is>
      </c>
      <c r="F73" s="485" t="inlineStr">
        <is>
          <t>-</t>
        </is>
      </c>
      <c r="G73" s="485" t="inlineStr">
        <is>
          <t>DESFASE DE NÓMINA</t>
        </is>
      </c>
    </row>
    <row r="74" ht="20" customHeight="1" s="225">
      <c r="A74" s="486" t="inlineStr">
        <is>
          <t>3AV</t>
        </is>
      </c>
      <c r="B74" s="486" t="inlineStr">
        <is>
          <t>PERALTA ARIAS EMILY SAMANTHA</t>
        </is>
      </c>
      <c r="C74" s="486" t="inlineStr">
        <is>
          <t>Inglés</t>
        </is>
      </c>
      <c r="D74" s="486" t="n">
        <v>9.369999999999999</v>
      </c>
      <c r="E74" s="486" t="n">
        <v>9.529999999999999</v>
      </c>
      <c r="F74" s="486" t="n">
        <v>0.16</v>
      </c>
      <c r="G74" s="486" t="inlineStr">
        <is>
          <t>ERROR</t>
        </is>
      </c>
    </row>
    <row r="75" ht="20" customHeight="1" s="225">
      <c r="A75" s="485" t="inlineStr">
        <is>
          <t>3AV</t>
        </is>
      </c>
      <c r="B75" s="485" t="inlineStr">
        <is>
          <t>PEREZ GARZON EIDAN PAUL</t>
        </is>
      </c>
      <c r="C75" s="485" t="inlineStr">
        <is>
          <t>(NÓMINA)</t>
        </is>
      </c>
      <c r="D75" s="485" t="inlineStr">
        <is>
          <t>-</t>
        </is>
      </c>
      <c r="E75" s="485" t="inlineStr">
        <is>
          <t>-</t>
        </is>
      </c>
      <c r="F75" s="485" t="inlineStr">
        <is>
          <t>-</t>
        </is>
      </c>
      <c r="G75" s="485" t="inlineStr">
        <is>
          <t>DESFASE DE NÓMINA</t>
        </is>
      </c>
    </row>
    <row r="76" ht="20" customHeight="1" s="225">
      <c r="A76" s="486" t="inlineStr">
        <is>
          <t>3AV</t>
        </is>
      </c>
      <c r="B76" s="486" t="inlineStr">
        <is>
          <t>PEREZ GARZON EIDAN PAUL</t>
        </is>
      </c>
      <c r="C76" s="486" t="inlineStr">
        <is>
          <t>Inglés</t>
        </is>
      </c>
      <c r="D76" s="486" t="n">
        <v>8.52</v>
      </c>
      <c r="E76" s="486" t="n">
        <v>8.74</v>
      </c>
      <c r="F76" s="486" t="n">
        <v>0.22</v>
      </c>
      <c r="G76" s="486" t="inlineStr">
        <is>
          <t>ERROR</t>
        </is>
      </c>
    </row>
    <row r="77" ht="20" customHeight="1" s="225">
      <c r="A77" s="485" t="inlineStr">
        <is>
          <t>3AV</t>
        </is>
      </c>
      <c r="B77" s="485" t="inlineStr">
        <is>
          <t>PULGARIN MUÑOZ KERLY MICAELA</t>
        </is>
      </c>
      <c r="C77" s="485" t="inlineStr">
        <is>
          <t>(NÓMINA)</t>
        </is>
      </c>
      <c r="D77" s="485" t="inlineStr">
        <is>
          <t>-</t>
        </is>
      </c>
      <c r="E77" s="485" t="inlineStr">
        <is>
          <t>-</t>
        </is>
      </c>
      <c r="F77" s="485" t="inlineStr">
        <is>
          <t>-</t>
        </is>
      </c>
      <c r="G77" s="485" t="inlineStr">
        <is>
          <t>DESFASE DE NÓMINA</t>
        </is>
      </c>
    </row>
    <row r="78" ht="20" customHeight="1" s="225">
      <c r="A78" s="486" t="inlineStr">
        <is>
          <t>3AV</t>
        </is>
      </c>
      <c r="B78" s="486" t="inlineStr">
        <is>
          <t>PULGARIN MUÑOZ KERLY MICAELA</t>
        </is>
      </c>
      <c r="C78" s="486" t="inlineStr">
        <is>
          <t>Inglés</t>
        </is>
      </c>
      <c r="D78" s="486" t="n">
        <v>9.66</v>
      </c>
      <c r="E78" s="486" t="n">
        <v>9.789999999999999</v>
      </c>
      <c r="F78" s="486" t="n">
        <v>0.13</v>
      </c>
      <c r="G78" s="486" t="inlineStr">
        <is>
          <t>ERROR</t>
        </is>
      </c>
    </row>
    <row r="79" ht="20" customHeight="1" s="225">
      <c r="A79" s="485" t="inlineStr">
        <is>
          <t>3AV</t>
        </is>
      </c>
      <c r="B79" s="485" t="inlineStr">
        <is>
          <t>QUIZHPI SANCHEZ JORDAN EVELIO</t>
        </is>
      </c>
      <c r="C79" s="485" t="inlineStr">
        <is>
          <t>(NÓMINA)</t>
        </is>
      </c>
      <c r="D79" s="485" t="inlineStr">
        <is>
          <t>-</t>
        </is>
      </c>
      <c r="E79" s="485" t="inlineStr">
        <is>
          <t>-</t>
        </is>
      </c>
      <c r="F79" s="485" t="inlineStr">
        <is>
          <t>-</t>
        </is>
      </c>
      <c r="G79" s="485" t="inlineStr">
        <is>
          <t>DESFASE DE NÓMINA</t>
        </is>
      </c>
    </row>
    <row r="80" ht="20" customHeight="1" s="225">
      <c r="A80" s="486" t="inlineStr">
        <is>
          <t>3AV</t>
        </is>
      </c>
      <c r="B80" s="486" t="inlineStr">
        <is>
          <t>QUIZHPI SANCHEZ JORDAN EVELIO</t>
        </is>
      </c>
      <c r="C80" s="486" t="inlineStr">
        <is>
          <t>Inglés</t>
        </is>
      </c>
      <c r="D80" s="486" t="n">
        <v>8.98</v>
      </c>
      <c r="E80" s="486" t="n">
        <v>8.9</v>
      </c>
      <c r="F80" s="486" t="n">
        <v>0.08</v>
      </c>
      <c r="G80" s="486" t="inlineStr">
        <is>
          <t>ERROR</t>
        </is>
      </c>
    </row>
    <row r="81" ht="20" customHeight="1" s="225">
      <c r="A81" s="485" t="inlineStr">
        <is>
          <t>3AV</t>
        </is>
      </c>
      <c r="B81" s="485" t="inlineStr">
        <is>
          <t>SANCHEZ CHALCO EMILY DAYANNA</t>
        </is>
      </c>
      <c r="C81" s="485" t="inlineStr">
        <is>
          <t>(NÓMINA)</t>
        </is>
      </c>
      <c r="D81" s="485" t="inlineStr">
        <is>
          <t>-</t>
        </is>
      </c>
      <c r="E81" s="485" t="inlineStr">
        <is>
          <t>-</t>
        </is>
      </c>
      <c r="F81" s="485" t="inlineStr">
        <is>
          <t>-</t>
        </is>
      </c>
      <c r="G81" s="485" t="inlineStr">
        <is>
          <t>DESFASE DE NÓMINA</t>
        </is>
      </c>
    </row>
    <row r="82" ht="20" customHeight="1" s="225">
      <c r="A82" s="486" t="inlineStr">
        <is>
          <t>3AV</t>
        </is>
      </c>
      <c r="B82" s="486" t="inlineStr">
        <is>
          <t>SANCHEZ CHALCO EMILY DAYANNA</t>
        </is>
      </c>
      <c r="C82" s="486" t="inlineStr">
        <is>
          <t>Inglés</t>
        </is>
      </c>
      <c r="D82" s="486" t="n">
        <v>8.699999999999999</v>
      </c>
      <c r="E82" s="486" t="n">
        <v>8.74</v>
      </c>
      <c r="F82" s="486" t="n">
        <v>0.04</v>
      </c>
      <c r="G82" s="486" t="inlineStr">
        <is>
          <t>ERROR</t>
        </is>
      </c>
    </row>
    <row r="83" ht="20" customHeight="1" s="225">
      <c r="A83" s="485" t="inlineStr">
        <is>
          <t>3AV</t>
        </is>
      </c>
      <c r="B83" s="485" t="inlineStr">
        <is>
          <t>TAIJINT KAYAP EMILIAN ESNAIDER</t>
        </is>
      </c>
      <c r="C83" s="485" t="inlineStr">
        <is>
          <t>(NÓMINA)</t>
        </is>
      </c>
      <c r="D83" s="485" t="inlineStr">
        <is>
          <t>-</t>
        </is>
      </c>
      <c r="E83" s="485" t="inlineStr">
        <is>
          <t>-</t>
        </is>
      </c>
      <c r="F83" s="485" t="inlineStr">
        <is>
          <t>-</t>
        </is>
      </c>
      <c r="G83" s="485" t="inlineStr">
        <is>
          <t>DESFASE DE NÓMINA</t>
        </is>
      </c>
    </row>
    <row r="84" ht="20" customHeight="1" s="225">
      <c r="A84" s="486" t="inlineStr">
        <is>
          <t>3AV</t>
        </is>
      </c>
      <c r="B84" s="486" t="inlineStr">
        <is>
          <t>TAIJINT KAYAP EMILIAN ESNAIDER</t>
        </is>
      </c>
      <c r="C84" s="486" t="inlineStr">
        <is>
          <t>Inglés</t>
        </is>
      </c>
      <c r="D84" s="486" t="n">
        <v>7.5</v>
      </c>
      <c r="E84" s="486" t="n">
        <v>7.7</v>
      </c>
      <c r="F84" s="486" t="n">
        <v>0.2</v>
      </c>
      <c r="G84" s="486" t="inlineStr">
        <is>
          <t>ERROR</t>
        </is>
      </c>
    </row>
    <row r="85" ht="20" customHeight="1" s="225">
      <c r="A85" s="485" t="inlineStr">
        <is>
          <t>3AV</t>
        </is>
      </c>
      <c r="B85" s="485" t="inlineStr">
        <is>
          <t>TIGRE QUITO KEVIN MATIAS</t>
        </is>
      </c>
      <c r="C85" s="485" t="inlineStr">
        <is>
          <t>(NÓMINA)</t>
        </is>
      </c>
      <c r="D85" s="485" t="inlineStr">
        <is>
          <t>-</t>
        </is>
      </c>
      <c r="E85" s="485" t="inlineStr">
        <is>
          <t>-</t>
        </is>
      </c>
      <c r="F85" s="485" t="inlineStr">
        <is>
          <t>-</t>
        </is>
      </c>
      <c r="G85" s="485" t="inlineStr">
        <is>
          <t>DESFASE DE NÓMINA</t>
        </is>
      </c>
    </row>
    <row r="86" ht="20" customHeight="1" s="225">
      <c r="A86" s="486" t="inlineStr">
        <is>
          <t>3AV</t>
        </is>
      </c>
      <c r="B86" s="486" t="inlineStr">
        <is>
          <t>TIGRE QUITO KEVIN MATIAS</t>
        </is>
      </c>
      <c r="C86" s="486" t="inlineStr">
        <is>
          <t>Lengua y Literatura</t>
        </is>
      </c>
      <c r="D86" s="486" t="n">
        <v>7.05</v>
      </c>
      <c r="E86" s="486" t="n">
        <v>7.31</v>
      </c>
      <c r="F86" s="486" t="n">
        <v>0.26</v>
      </c>
      <c r="G86" s="486" t="inlineStr">
        <is>
          <t>ERROR</t>
        </is>
      </c>
    </row>
    <row r="87" ht="20" customHeight="1" s="225">
      <c r="A87" s="486" t="inlineStr">
        <is>
          <t>3AV</t>
        </is>
      </c>
      <c r="B87" s="486" t="inlineStr">
        <is>
          <t>TIGRE QUITO KEVIN MATIAS</t>
        </is>
      </c>
      <c r="C87" s="486" t="inlineStr">
        <is>
          <t>Matemática</t>
        </is>
      </c>
      <c r="D87" s="486" t="n">
        <v>7.02</v>
      </c>
      <c r="E87" s="486" t="n">
        <v>7.49</v>
      </c>
      <c r="F87" s="486" t="n">
        <v>0.47</v>
      </c>
      <c r="G87" s="486" t="inlineStr">
        <is>
          <t>ERROR</t>
        </is>
      </c>
    </row>
    <row r="88" ht="20" customHeight="1" s="225">
      <c r="A88" s="486" t="inlineStr">
        <is>
          <t>3AV</t>
        </is>
      </c>
      <c r="B88" s="486" t="inlineStr">
        <is>
          <t>TIGRE QUITO KEVIN MATIAS</t>
        </is>
      </c>
      <c r="C88" s="486" t="inlineStr">
        <is>
          <t>Ciencias Naturales</t>
        </is>
      </c>
      <c r="D88" s="486" t="n">
        <v>7.06</v>
      </c>
      <c r="E88" s="486" t="n">
        <v>7.52</v>
      </c>
      <c r="F88" s="486" t="n">
        <v>0.46</v>
      </c>
      <c r="G88" s="486" t="inlineStr">
        <is>
          <t>ERROR</t>
        </is>
      </c>
    </row>
    <row r="89" ht="20" customHeight="1" s="225">
      <c r="A89" s="486" t="inlineStr">
        <is>
          <t>3AV</t>
        </is>
      </c>
      <c r="B89" s="486" t="inlineStr">
        <is>
          <t>TIGRE QUITO KEVIN MATIAS</t>
        </is>
      </c>
      <c r="C89" s="486" t="inlineStr">
        <is>
          <t>Estudios Sociales</t>
        </is>
      </c>
      <c r="D89" s="486" t="n">
        <v>7.03</v>
      </c>
      <c r="E89" s="486" t="n">
        <v>7.42</v>
      </c>
      <c r="F89" s="486" t="n">
        <v>0.39</v>
      </c>
      <c r="G89" s="486" t="inlineStr">
        <is>
          <t>ERROR</t>
        </is>
      </c>
    </row>
    <row r="90" ht="20" customHeight="1" s="225">
      <c r="A90" s="486" t="inlineStr">
        <is>
          <t>3AV</t>
        </is>
      </c>
      <c r="B90" s="486" t="inlineStr">
        <is>
          <t>TIGRE QUITO KEVIN MATIAS</t>
        </is>
      </c>
      <c r="C90" s="486" t="inlineStr">
        <is>
          <t>Inglés</t>
        </is>
      </c>
      <c r="D90" s="486" t="n">
        <v>8.24</v>
      </c>
      <c r="E90" s="486" t="n">
        <v>8.369999999999999</v>
      </c>
      <c r="F90" s="486" t="n">
        <v>0.13</v>
      </c>
      <c r="G90" s="486" t="inlineStr">
        <is>
          <t>ERROR</t>
        </is>
      </c>
    </row>
    <row r="91" ht="20" customHeight="1" s="225">
      <c r="A91" s="486" t="inlineStr">
        <is>
          <t>3AV</t>
        </is>
      </c>
      <c r="B91" s="486" t="inlineStr">
        <is>
          <t>TIGRE QUITO KEVIN MATIAS</t>
        </is>
      </c>
      <c r="C91" s="486" t="inlineStr">
        <is>
          <t>Promedio Final / P. General</t>
        </is>
      </c>
      <c r="D91" s="486" t="n">
        <v>7.67</v>
      </c>
      <c r="E91" s="486" t="n">
        <v>7.91</v>
      </c>
      <c r="F91" s="486" t="n">
        <v>0.24</v>
      </c>
      <c r="G91" s="486" t="inlineStr">
        <is>
          <t>ERROR</t>
        </is>
      </c>
    </row>
    <row r="92" ht="20" customHeight="1" s="225">
      <c r="A92" s="485" t="inlineStr">
        <is>
          <t>3AV</t>
        </is>
      </c>
      <c r="B92" s="485" t="inlineStr">
        <is>
          <t>TROYA LIA VICTORIA</t>
        </is>
      </c>
      <c r="C92" s="485" t="inlineStr">
        <is>
          <t>SOLO EN DOCENTES</t>
        </is>
      </c>
      <c r="D92" s="485" t="inlineStr">
        <is>
          <t>-</t>
        </is>
      </c>
      <c r="E92" s="485" t="inlineStr">
        <is>
          <t>-</t>
        </is>
      </c>
      <c r="F92" s="485" t="inlineStr">
        <is>
          <t>-</t>
        </is>
      </c>
      <c r="G92" s="485" t="inlineStr">
        <is>
          <t>DESFASE DE NÓMINA</t>
        </is>
      </c>
    </row>
    <row r="93" ht="20" customHeight="1" s="225">
      <c r="A93" s="485" t="inlineStr">
        <is>
          <t>3AV</t>
        </is>
      </c>
      <c r="B93" s="485" t="inlineStr">
        <is>
          <t>VEGA ILAQUICHE JOSE DANIEL</t>
        </is>
      </c>
      <c r="C93" s="485" t="inlineStr">
        <is>
          <t>(NÓMINA)</t>
        </is>
      </c>
      <c r="D93" s="485" t="inlineStr">
        <is>
          <t>-</t>
        </is>
      </c>
      <c r="E93" s="485" t="inlineStr">
        <is>
          <t>-</t>
        </is>
      </c>
      <c r="F93" s="485" t="inlineStr">
        <is>
          <t>-</t>
        </is>
      </c>
      <c r="G93" s="485" t="inlineStr">
        <is>
          <t>DESFASE DE NÓMINA</t>
        </is>
      </c>
    </row>
    <row r="94" ht="20" customHeight="1" s="225">
      <c r="A94" s="486" t="inlineStr">
        <is>
          <t>3AV</t>
        </is>
      </c>
      <c r="B94" s="486" t="inlineStr">
        <is>
          <t>VEGA ILAQUICHE JOSE DANIEL</t>
        </is>
      </c>
      <c r="C94" s="486" t="inlineStr">
        <is>
          <t>Inglés</t>
        </is>
      </c>
      <c r="D94" s="486" t="n">
        <v>8.630000000000001</v>
      </c>
      <c r="E94" s="486" t="n">
        <v>8.81</v>
      </c>
      <c r="F94" s="486" t="n">
        <v>0.18</v>
      </c>
      <c r="G94" s="486" t="inlineStr">
        <is>
          <t>ERROR</t>
        </is>
      </c>
    </row>
    <row r="95" ht="20" customHeight="1" s="225">
      <c r="A95" s="485" t="inlineStr">
        <is>
          <t>3AV</t>
        </is>
      </c>
      <c r="B95" s="485" t="inlineStr">
        <is>
          <t>YAGUACHE DIAZ SARA EMILIA</t>
        </is>
      </c>
      <c r="C95" s="485" t="inlineStr">
        <is>
          <t>(NÓMINA)</t>
        </is>
      </c>
      <c r="D95" s="485" t="inlineStr">
        <is>
          <t>-</t>
        </is>
      </c>
      <c r="E95" s="485" t="inlineStr">
        <is>
          <t>-</t>
        </is>
      </c>
      <c r="F95" s="485" t="inlineStr">
        <is>
          <t>-</t>
        </is>
      </c>
      <c r="G95" s="485" t="inlineStr">
        <is>
          <t>DESFASE DE NÓMINA</t>
        </is>
      </c>
    </row>
    <row r="96" ht="20" customHeight="1" s="225">
      <c r="A96" s="486" t="inlineStr">
        <is>
          <t>3AV</t>
        </is>
      </c>
      <c r="B96" s="486" t="inlineStr">
        <is>
          <t>YAGUACHE DIAZ SARA EMILIA</t>
        </is>
      </c>
      <c r="C96" s="486" t="inlineStr">
        <is>
          <t>Inglés</t>
        </is>
      </c>
      <c r="D96" s="486" t="n">
        <v>8.26</v>
      </c>
      <c r="E96" s="486" t="n">
        <v>7.97</v>
      </c>
      <c r="F96" s="486" t="n">
        <v>0.29</v>
      </c>
      <c r="G96" s="486" t="inlineStr">
        <is>
          <t>ERROR</t>
        </is>
      </c>
    </row>
    <row r="97" ht="20" customHeight="1" s="225">
      <c r="A97" s="486" t="inlineStr">
        <is>
          <t>3AV</t>
        </is>
      </c>
      <c r="B97" s="486" t="inlineStr">
        <is>
          <t>YAGUACHE DIAZ SARA EMILIA</t>
        </is>
      </c>
      <c r="C97" s="486" t="inlineStr">
        <is>
          <t>Promedio Final / P. General</t>
        </is>
      </c>
      <c r="D97" s="486" t="n">
        <v>8.800000000000001</v>
      </c>
      <c r="E97" s="486" t="n">
        <v>8.75</v>
      </c>
      <c r="F97" s="486" t="n">
        <v>0.05</v>
      </c>
      <c r="G97" s="486" t="inlineStr">
        <is>
          <t>ERROR</t>
        </is>
      </c>
    </row>
    <row r="98" ht="20" customHeight="1" s="225">
      <c r="A98" s="485" t="inlineStr">
        <is>
          <t>3AV</t>
        </is>
      </c>
      <c r="B98" s="485" t="inlineStr">
        <is>
          <t>ACOSTA RODRIGUEZ ARON MANUEL</t>
        </is>
      </c>
      <c r="C98" s="485" t="inlineStr">
        <is>
          <t>SOLO EN SISTEMA</t>
        </is>
      </c>
      <c r="D98" s="485" t="inlineStr">
        <is>
          <t>-</t>
        </is>
      </c>
      <c r="E98" s="485" t="inlineStr">
        <is>
          <t>-</t>
        </is>
      </c>
      <c r="F98" s="485" t="inlineStr">
        <is>
          <t>-</t>
        </is>
      </c>
      <c r="G98" s="485" t="inlineStr">
        <is>
          <t>DESFASE DE NÓMINA</t>
        </is>
      </c>
    </row>
    <row r="99" ht="20" customHeight="1" s="225">
      <c r="A99" s="485" t="inlineStr">
        <is>
          <t>3AV</t>
        </is>
      </c>
      <c r="B99" s="485" t="inlineStr">
        <is>
          <t>BUENO BUNE KARELYS ISABELLA</t>
        </is>
      </c>
      <c r="C99" s="485" t="inlineStr">
        <is>
          <t>SOLO EN SISTEMA</t>
        </is>
      </c>
      <c r="D99" s="485" t="inlineStr">
        <is>
          <t>-</t>
        </is>
      </c>
      <c r="E99" s="485" t="inlineStr">
        <is>
          <t>-</t>
        </is>
      </c>
      <c r="F99" s="485" t="inlineStr">
        <is>
          <t>-</t>
        </is>
      </c>
      <c r="G99" s="485" t="inlineStr">
        <is>
          <t>DESFASE DE NÓMINA</t>
        </is>
      </c>
    </row>
    <row r="100" ht="20" customHeight="1" s="225">
      <c r="A100" s="485" t="inlineStr">
        <is>
          <t>3AV</t>
        </is>
      </c>
      <c r="B100" s="485" t="inlineStr">
        <is>
          <t>LLAPA BUESTAN DYLAN AUGUSTIN</t>
        </is>
      </c>
      <c r="C100" s="485" t="inlineStr">
        <is>
          <t>SOLO EN SISTEMA</t>
        </is>
      </c>
      <c r="D100" s="485" t="inlineStr">
        <is>
          <t>-</t>
        </is>
      </c>
      <c r="E100" s="485" t="inlineStr">
        <is>
          <t>-</t>
        </is>
      </c>
      <c r="F100" s="485" t="inlineStr">
        <is>
          <t>-</t>
        </is>
      </c>
      <c r="G100" s="485" t="inlineStr">
        <is>
          <t>DESFASE DE NÓMINA</t>
        </is>
      </c>
    </row>
    <row r="101" ht="20" customHeight="1" s="225">
      <c r="A101" s="485" t="inlineStr">
        <is>
          <t>3AV</t>
        </is>
      </c>
      <c r="B101" s="485" t="inlineStr">
        <is>
          <t>TROYA CUEVA LIA VICTORIA</t>
        </is>
      </c>
      <c r="C101" s="485" t="inlineStr">
        <is>
          <t>SOLO EN SISTEMA</t>
        </is>
      </c>
      <c r="D101" s="485" t="inlineStr">
        <is>
          <t>-</t>
        </is>
      </c>
      <c r="E101" s="485" t="inlineStr">
        <is>
          <t>-</t>
        </is>
      </c>
      <c r="F101" s="485" t="inlineStr">
        <is>
          <t>-</t>
        </is>
      </c>
      <c r="G101" s="485" t="inlineStr">
        <is>
          <t>DESFASE DE NÓMINA</t>
        </is>
      </c>
    </row>
    <row r="102" ht="20" customHeight="1" s="225">
      <c r="A102" s="486" t="inlineStr">
        <is>
          <t>3BV</t>
        </is>
      </c>
      <c r="B102" s="486" t="inlineStr">
        <is>
          <t>CHIMBO YUQUI MICAELA ANAHI</t>
        </is>
      </c>
      <c r="C102" s="486" t="inlineStr">
        <is>
          <t>Educación Física</t>
        </is>
      </c>
      <c r="D102" s="486" t="n">
        <v>9.970000000000001</v>
      </c>
      <c r="E102" s="486" t="n">
        <v>10</v>
      </c>
      <c r="F102" s="486" t="n">
        <v>0.03</v>
      </c>
      <c r="G102" s="486" t="inlineStr">
        <is>
          <t>ERROR</t>
        </is>
      </c>
    </row>
    <row r="103" ht="20" customHeight="1" s="225">
      <c r="A103" s="486" t="inlineStr">
        <is>
          <t>3BV</t>
        </is>
      </c>
      <c r="B103" s="486" t="inlineStr">
        <is>
          <t>GUAMBAÑA ZHICAY PAMELA GEOVANNA</t>
        </is>
      </c>
      <c r="C103" s="486" t="inlineStr">
        <is>
          <t>Ciencias Naturales</t>
        </is>
      </c>
      <c r="D103" s="486" t="n">
        <v>9.779999999999999</v>
      </c>
      <c r="E103" s="486" t="n">
        <v>9.73</v>
      </c>
      <c r="F103" s="486" t="n">
        <v>0.05</v>
      </c>
      <c r="G103" s="486" t="inlineStr">
        <is>
          <t>ERROR</t>
        </is>
      </c>
    </row>
    <row r="104" ht="20" customHeight="1" s="225">
      <c r="A104" s="486" t="inlineStr">
        <is>
          <t>3BV</t>
        </is>
      </c>
      <c r="B104" s="486" t="inlineStr">
        <is>
          <t>GUAMBAÑA ZHICAY PAMELA GEOVANNA</t>
        </is>
      </c>
      <c r="C104" s="486" t="inlineStr">
        <is>
          <t>Educación Cultural y Artística</t>
        </is>
      </c>
      <c r="D104" s="486" t="n">
        <v>9.779999999999999</v>
      </c>
      <c r="E104" s="486" t="n">
        <v>9.720000000000001</v>
      </c>
      <c r="F104" s="486" t="n">
        <v>0.06</v>
      </c>
      <c r="G104" s="486" t="inlineStr">
        <is>
          <t>ERROR</t>
        </is>
      </c>
    </row>
    <row r="105" ht="20" customHeight="1" s="225">
      <c r="A105" s="486" t="inlineStr">
        <is>
          <t>3BV</t>
        </is>
      </c>
      <c r="B105" s="486" t="inlineStr">
        <is>
          <t>GUAMBAÑA ZHICAY PAMELA GEOVANNA</t>
        </is>
      </c>
      <c r="C105" s="486" t="inlineStr">
        <is>
          <t>Promedio Final / P. General</t>
        </is>
      </c>
      <c r="D105" s="486" t="n">
        <v>9.720000000000001</v>
      </c>
      <c r="E105" s="486" t="n">
        <v>9.69</v>
      </c>
      <c r="F105" s="486" t="n">
        <v>0.03</v>
      </c>
      <c r="G105" s="486" t="inlineStr">
        <is>
          <t>ERROR</t>
        </is>
      </c>
    </row>
    <row r="106" ht="20" customHeight="1" s="225">
      <c r="A106" s="486" t="inlineStr">
        <is>
          <t>3BV</t>
        </is>
      </c>
      <c r="B106" s="486" t="inlineStr">
        <is>
          <t>NAULA SANISACA DINA BALVINA</t>
        </is>
      </c>
      <c r="C106" s="486" t="inlineStr">
        <is>
          <t>Matemática</t>
        </is>
      </c>
      <c r="D106" s="486" t="n">
        <v>8.6</v>
      </c>
      <c r="E106" s="486" t="n">
        <v>8.49</v>
      </c>
      <c r="F106" s="486" t="n">
        <v>0.11</v>
      </c>
      <c r="G106" s="486" t="inlineStr">
        <is>
          <t>ERROR</t>
        </is>
      </c>
    </row>
    <row r="107" ht="20" customHeight="1" s="225">
      <c r="A107" s="486" t="inlineStr">
        <is>
          <t>3BV</t>
        </is>
      </c>
      <c r="B107" s="486" t="inlineStr">
        <is>
          <t>TONATO LAVAYEN ASHLEY VALENTINA</t>
        </is>
      </c>
      <c r="C107" s="486" t="inlineStr">
        <is>
          <t>Matemática</t>
        </is>
      </c>
      <c r="D107" s="486" t="n">
        <v>9.41</v>
      </c>
      <c r="E107" s="486" t="n">
        <v>9.35</v>
      </c>
      <c r="F107" s="486" t="n">
        <v>0.06</v>
      </c>
      <c r="G107" s="486" t="inlineStr">
        <is>
          <t>ERROR</t>
        </is>
      </c>
    </row>
    <row r="108" ht="20" customHeight="1" s="225">
      <c r="A108" s="486" t="inlineStr">
        <is>
          <t>3BV</t>
        </is>
      </c>
      <c r="B108" s="486" t="inlineStr">
        <is>
          <t>VILLALTA QUINGA JARED FERNANDO</t>
        </is>
      </c>
      <c r="C108" s="486" t="inlineStr">
        <is>
          <t>Educación Física</t>
        </is>
      </c>
      <c r="D108" s="486" t="n">
        <v>9.41</v>
      </c>
      <c r="E108" s="486" t="n">
        <v>8.92</v>
      </c>
      <c r="F108" s="486" t="n">
        <v>0.49</v>
      </c>
      <c r="G108" s="486" t="inlineStr">
        <is>
          <t>ERROR</t>
        </is>
      </c>
    </row>
    <row r="109" ht="20" customHeight="1" s="225">
      <c r="A109" s="486" t="inlineStr">
        <is>
          <t>3BV</t>
        </is>
      </c>
      <c r="B109" s="486" t="inlineStr">
        <is>
          <t>VILLALTA QUINGA JARED FERNANDO</t>
        </is>
      </c>
      <c r="C109" s="486" t="inlineStr">
        <is>
          <t>Promedio Final / P. General</t>
        </is>
      </c>
      <c r="D109" s="486" t="n">
        <v>8.880000000000001</v>
      </c>
      <c r="E109" s="486" t="n">
        <v>8.800000000000001</v>
      </c>
      <c r="F109" s="486" t="n">
        <v>0.08</v>
      </c>
      <c r="G109" s="486" t="inlineStr">
        <is>
          <t>ERROR</t>
        </is>
      </c>
    </row>
    <row r="110" ht="20" customHeight="1" s="225">
      <c r="A110" s="486" t="inlineStr">
        <is>
          <t>3BV</t>
        </is>
      </c>
      <c r="B110" s="486" t="inlineStr">
        <is>
          <t>ZHUNIO ALVAREZ AMANDA ABIGAIL</t>
        </is>
      </c>
      <c r="C110" s="486" t="inlineStr">
        <is>
          <t>Educación Física</t>
        </is>
      </c>
      <c r="D110" s="486" t="n">
        <v>8.470000000000001</v>
      </c>
      <c r="E110" s="486" t="n">
        <v>8.699999999999999</v>
      </c>
      <c r="F110" s="486" t="n">
        <v>0.23</v>
      </c>
      <c r="G110" s="486" t="inlineStr">
        <is>
          <t>ERROR</t>
        </is>
      </c>
    </row>
    <row r="111" ht="20" customHeight="1" s="225">
      <c r="A111" s="486" t="inlineStr">
        <is>
          <t>3BV</t>
        </is>
      </c>
      <c r="B111" s="486" t="inlineStr">
        <is>
          <t>ZHUNIO ALVAREZ AMANDA ABIGAIL</t>
        </is>
      </c>
      <c r="C111" s="486" t="inlineStr">
        <is>
          <t>Promedio Final / P. General</t>
        </is>
      </c>
      <c r="D111" s="486" t="n">
        <v>8.58</v>
      </c>
      <c r="E111" s="486" t="n">
        <v>8.609999999999999</v>
      </c>
      <c r="F111" s="486" t="n">
        <v>0.03</v>
      </c>
      <c r="G111" s="486" t="inlineStr">
        <is>
          <t>ERROR</t>
        </is>
      </c>
    </row>
    <row r="112" ht="20" customHeight="1" s="225">
      <c r="A112" s="485" t="inlineStr">
        <is>
          <t>4AV</t>
        </is>
      </c>
      <c r="B112" s="485" t="inlineStr">
        <is>
          <t>ANDRADE MEJIA ALLISSON DANIELA</t>
        </is>
      </c>
      <c r="C112" s="485" t="inlineStr">
        <is>
          <t>SOLO EN DOCENTES</t>
        </is>
      </c>
      <c r="D112" s="485" t="inlineStr">
        <is>
          <t>-</t>
        </is>
      </c>
      <c r="E112" s="485" t="inlineStr">
        <is>
          <t>-</t>
        </is>
      </c>
      <c r="F112" s="485" t="inlineStr">
        <is>
          <t>-</t>
        </is>
      </c>
      <c r="G112" s="485" t="inlineStr">
        <is>
          <t>DESFASE DE NÓMINA</t>
        </is>
      </c>
    </row>
    <row r="113" ht="20" customHeight="1" s="225">
      <c r="A113" s="485" t="inlineStr">
        <is>
          <t>4AV</t>
        </is>
      </c>
      <c r="B113" s="485" t="inlineStr">
        <is>
          <t>BELDUMA BELDUMA KENDRA YARELI</t>
        </is>
      </c>
      <c r="C113" s="485" t="inlineStr">
        <is>
          <t>SOLO EN DOCENTES</t>
        </is>
      </c>
      <c r="D113" s="485" t="inlineStr">
        <is>
          <t>-</t>
        </is>
      </c>
      <c r="E113" s="485" t="inlineStr">
        <is>
          <t>-</t>
        </is>
      </c>
      <c r="F113" s="485" t="inlineStr">
        <is>
          <t>-</t>
        </is>
      </c>
      <c r="G113" s="485" t="inlineStr">
        <is>
          <t>DESFASE DE NÓMINA</t>
        </is>
      </c>
    </row>
    <row r="114" ht="20" customHeight="1" s="225">
      <c r="A114" s="486" t="inlineStr">
        <is>
          <t>4AV</t>
        </is>
      </c>
      <c r="B114" s="486" t="inlineStr">
        <is>
          <t>CACERES PINEDA DERLYS ADRIAN</t>
        </is>
      </c>
      <c r="C114" s="486" t="inlineStr">
        <is>
          <t>Educación Física</t>
        </is>
      </c>
      <c r="D114" s="486" t="n">
        <v>9.390000000000001</v>
      </c>
      <c r="E114" s="486" t="n">
        <v>8.720000000000001</v>
      </c>
      <c r="F114" s="486" t="n">
        <v>0.67</v>
      </c>
      <c r="G114" s="486" t="inlineStr">
        <is>
          <t>ERROR</t>
        </is>
      </c>
    </row>
    <row r="115" ht="20" customHeight="1" s="225">
      <c r="A115" s="486" t="inlineStr">
        <is>
          <t>4AV</t>
        </is>
      </c>
      <c r="B115" s="486" t="inlineStr">
        <is>
          <t>CACERES PINEDA DERLYS ADRIAN</t>
        </is>
      </c>
      <c r="C115" s="486" t="inlineStr">
        <is>
          <t>Promedio Final / P. General</t>
        </is>
      </c>
      <c r="D115" s="486" t="n">
        <v>8.539999999999999</v>
      </c>
      <c r="E115" s="486" t="n">
        <v>8.44</v>
      </c>
      <c r="F115" s="486" t="n">
        <v>0.1</v>
      </c>
      <c r="G115" s="486" t="inlineStr">
        <is>
          <t>ERROR</t>
        </is>
      </c>
    </row>
    <row r="116" ht="20" customHeight="1" s="225">
      <c r="A116" s="486" t="inlineStr">
        <is>
          <t>4AV</t>
        </is>
      </c>
      <c r="B116" s="486" t="inlineStr">
        <is>
          <t>CALLE SANISACA JAKOB STALYN</t>
        </is>
      </c>
      <c r="C116" s="486" t="inlineStr">
        <is>
          <t>Educación Física</t>
        </is>
      </c>
      <c r="D116" s="486" t="n">
        <v>9.220000000000001</v>
      </c>
      <c r="E116" s="486" t="n">
        <v>9.279999999999999</v>
      </c>
      <c r="F116" s="486" t="n">
        <v>0.06</v>
      </c>
      <c r="G116" s="486" t="inlineStr">
        <is>
          <t>ERROR</t>
        </is>
      </c>
    </row>
    <row r="117" ht="20" customHeight="1" s="225">
      <c r="A117" s="486" t="inlineStr">
        <is>
          <t>4AV</t>
        </is>
      </c>
      <c r="B117" s="486" t="inlineStr">
        <is>
          <t>CHACA CAMPOVERDE CRISTOPHER HELIAN</t>
        </is>
      </c>
      <c r="C117" s="486" t="inlineStr">
        <is>
          <t>Educación Física</t>
        </is>
      </c>
      <c r="D117" s="486" t="n">
        <v>9.25</v>
      </c>
      <c r="E117" s="486" t="n">
        <v>8.960000000000001</v>
      </c>
      <c r="F117" s="486" t="n">
        <v>0.29</v>
      </c>
      <c r="G117" s="486" t="inlineStr">
        <is>
          <t>ERROR</t>
        </is>
      </c>
    </row>
    <row r="118" ht="20" customHeight="1" s="225">
      <c r="A118" s="486" t="inlineStr">
        <is>
          <t>4AV</t>
        </is>
      </c>
      <c r="B118" s="486" t="inlineStr">
        <is>
          <t>CHACA CAMPOVERDE CRISTOPHER HELIAN</t>
        </is>
      </c>
      <c r="C118" s="486" t="inlineStr">
        <is>
          <t>Promedio Final / P. General</t>
        </is>
      </c>
      <c r="D118" s="486" t="n">
        <v>8.800000000000001</v>
      </c>
      <c r="E118" s="486" t="n">
        <v>8.75</v>
      </c>
      <c r="F118" s="486" t="n">
        <v>0.05</v>
      </c>
      <c r="G118" s="486" t="inlineStr">
        <is>
          <t>ERROR</t>
        </is>
      </c>
    </row>
    <row r="119" ht="20" customHeight="1" s="225">
      <c r="A119" s="486" t="inlineStr">
        <is>
          <t>4AV</t>
        </is>
      </c>
      <c r="B119" s="486" t="inlineStr">
        <is>
          <t>CHUÑIR SALTO ASTRID BELINDA</t>
        </is>
      </c>
      <c r="C119" s="486" t="inlineStr">
        <is>
          <t>Educación Física</t>
        </is>
      </c>
      <c r="D119" s="486" t="n">
        <v>8.199999999999999</v>
      </c>
      <c r="E119" s="486" t="n">
        <v>9.24</v>
      </c>
      <c r="F119" s="486" t="n">
        <v>1.04</v>
      </c>
      <c r="G119" s="486" t="inlineStr">
        <is>
          <t>ERROR</t>
        </is>
      </c>
    </row>
    <row r="120" ht="20" customHeight="1" s="225">
      <c r="A120" s="486" t="inlineStr">
        <is>
          <t>4AV</t>
        </is>
      </c>
      <c r="B120" s="486" t="inlineStr">
        <is>
          <t>CHUÑIR SALTO ASTRID BELINDA</t>
        </is>
      </c>
      <c r="C120" s="486" t="inlineStr">
        <is>
          <t>Promedio Final / P. General</t>
        </is>
      </c>
      <c r="D120" s="486" t="n">
        <v>8.58</v>
      </c>
      <c r="E120" s="486" t="n">
        <v>8.720000000000001</v>
      </c>
      <c r="F120" s="486" t="n">
        <v>0.14</v>
      </c>
      <c r="G120" s="486" t="inlineStr">
        <is>
          <t>ERROR</t>
        </is>
      </c>
    </row>
    <row r="121" ht="20" customHeight="1" s="225">
      <c r="A121" s="486" t="inlineStr">
        <is>
          <t>4AV</t>
        </is>
      </c>
      <c r="B121" s="486" t="inlineStr">
        <is>
          <t>COFRE COCHA CYNTHIA ESTEFANIA</t>
        </is>
      </c>
      <c r="C121" s="486" t="inlineStr">
        <is>
          <t>Educación Física</t>
        </is>
      </c>
      <c r="D121" s="486" t="n">
        <v>10</v>
      </c>
      <c r="E121" s="486" t="n">
        <v>9.15</v>
      </c>
      <c r="F121" s="486" t="n">
        <v>0.85</v>
      </c>
      <c r="G121" s="486" t="inlineStr">
        <is>
          <t>ERROR</t>
        </is>
      </c>
    </row>
    <row r="122" ht="20" customHeight="1" s="225">
      <c r="A122" s="486" t="inlineStr">
        <is>
          <t>4AV</t>
        </is>
      </c>
      <c r="B122" s="486" t="inlineStr">
        <is>
          <t>COFRE COCHA CYNTHIA ESTEFANIA</t>
        </is>
      </c>
      <c r="C122" s="486" t="inlineStr">
        <is>
          <t>Promedio Final / P. General</t>
        </is>
      </c>
      <c r="D122" s="486" t="n">
        <v>8.58</v>
      </c>
      <c r="E122" s="486" t="n">
        <v>8.449999999999999</v>
      </c>
      <c r="F122" s="486" t="n">
        <v>0.13</v>
      </c>
      <c r="G122" s="486" t="inlineStr">
        <is>
          <t>ERROR</t>
        </is>
      </c>
    </row>
    <row r="123" ht="20" customHeight="1" s="225">
      <c r="A123" s="486" t="inlineStr">
        <is>
          <t>4AV</t>
        </is>
      </c>
      <c r="B123" s="486" t="inlineStr">
        <is>
          <t>CRUZ TORRES CONNIE ANGELLY</t>
        </is>
      </c>
      <c r="C123" s="486" t="inlineStr">
        <is>
          <t>Educación Física</t>
        </is>
      </c>
      <c r="D123" s="486" t="n">
        <v>8.57</v>
      </c>
      <c r="E123" s="486" t="n">
        <v>9.33</v>
      </c>
      <c r="F123" s="486" t="n">
        <v>0.76</v>
      </c>
      <c r="G123" s="486" t="inlineStr">
        <is>
          <t>ERROR</t>
        </is>
      </c>
    </row>
    <row r="124" ht="20" customHeight="1" s="225">
      <c r="A124" s="486" t="inlineStr">
        <is>
          <t>4AV</t>
        </is>
      </c>
      <c r="B124" s="486" t="inlineStr">
        <is>
          <t>CRUZ TORRES CONNIE ANGELLY</t>
        </is>
      </c>
      <c r="C124" s="486" t="inlineStr">
        <is>
          <t>Promedio Final / P. General</t>
        </is>
      </c>
      <c r="D124" s="486" t="n">
        <v>8.98</v>
      </c>
      <c r="E124" s="486" t="n">
        <v>9.08</v>
      </c>
      <c r="F124" s="486" t="n">
        <v>0.1</v>
      </c>
      <c r="G124" s="486" t="inlineStr">
        <is>
          <t>ERROR</t>
        </is>
      </c>
    </row>
    <row r="125" ht="20" customHeight="1" s="225">
      <c r="A125" s="485" t="inlineStr">
        <is>
          <t>4AV</t>
        </is>
      </c>
      <c r="B125" s="485" t="inlineStr">
        <is>
          <t>CUENCA SOULEDISPA DYLAN ADRIAN</t>
        </is>
      </c>
      <c r="C125" s="485" t="inlineStr">
        <is>
          <t>SOLO EN DOCENTES</t>
        </is>
      </c>
      <c r="D125" s="485" t="inlineStr">
        <is>
          <t>-</t>
        </is>
      </c>
      <c r="E125" s="485" t="inlineStr">
        <is>
          <t>-</t>
        </is>
      </c>
      <c r="F125" s="485" t="inlineStr">
        <is>
          <t>-</t>
        </is>
      </c>
      <c r="G125" s="485" t="inlineStr">
        <is>
          <t>DESFASE DE NÓMINA</t>
        </is>
      </c>
    </row>
    <row r="126" ht="20" customHeight="1" s="225">
      <c r="A126" s="486" t="inlineStr">
        <is>
          <t>4AV</t>
        </is>
      </c>
      <c r="B126" s="486" t="inlineStr">
        <is>
          <t>FIGUEROA MUÑOZ EMILY MARIA</t>
        </is>
      </c>
      <c r="C126" s="486" t="inlineStr">
        <is>
          <t>Educación Física</t>
        </is>
      </c>
      <c r="D126" s="486" t="n">
        <v>9.08</v>
      </c>
      <c r="E126" s="486" t="n">
        <v>8.59</v>
      </c>
      <c r="F126" s="486" t="n">
        <v>0.49</v>
      </c>
      <c r="G126" s="486" t="inlineStr">
        <is>
          <t>ERROR</t>
        </is>
      </c>
    </row>
    <row r="127" ht="20" customHeight="1" s="225">
      <c r="A127" s="486" t="inlineStr">
        <is>
          <t>4AV</t>
        </is>
      </c>
      <c r="B127" s="486" t="inlineStr">
        <is>
          <t>FIGUEROA MUÑOZ EMILY MARIA</t>
        </is>
      </c>
      <c r="C127" s="486" t="inlineStr">
        <is>
          <t>Promedio Final / P. General</t>
        </is>
      </c>
      <c r="D127" s="486" t="n">
        <v>8.289999999999999</v>
      </c>
      <c r="E127" s="486" t="n">
        <v>8.220000000000001</v>
      </c>
      <c r="F127" s="486" t="n">
        <v>0.07000000000000001</v>
      </c>
      <c r="G127" s="486" t="inlineStr">
        <is>
          <t>ERROR</t>
        </is>
      </c>
    </row>
    <row r="128" ht="20" customHeight="1" s="225">
      <c r="A128" s="486" t="inlineStr">
        <is>
          <t>4AV</t>
        </is>
      </c>
      <c r="B128" s="486" t="inlineStr">
        <is>
          <t>GUZHÑAY NAULA MIA ANAHI</t>
        </is>
      </c>
      <c r="C128" s="486" t="inlineStr">
        <is>
          <t>Educación Física</t>
        </is>
      </c>
      <c r="D128" s="486" t="n">
        <v>9.24</v>
      </c>
      <c r="E128" s="486" t="n">
        <v>9.65</v>
      </c>
      <c r="F128" s="486" t="n">
        <v>0.41</v>
      </c>
      <c r="G128" s="486" t="inlineStr">
        <is>
          <t>ERROR</t>
        </is>
      </c>
    </row>
    <row r="129" ht="20" customHeight="1" s="225">
      <c r="A129" s="486" t="inlineStr">
        <is>
          <t>4AV</t>
        </is>
      </c>
      <c r="B129" s="486" t="inlineStr">
        <is>
          <t>GUZHÑAY NAULA MIA ANAHI</t>
        </is>
      </c>
      <c r="C129" s="486" t="inlineStr">
        <is>
          <t>Promedio Final / P. General</t>
        </is>
      </c>
      <c r="D129" s="486" t="n">
        <v>9.220000000000001</v>
      </c>
      <c r="E129" s="486" t="n">
        <v>9.27</v>
      </c>
      <c r="F129" s="486" t="n">
        <v>0.05</v>
      </c>
      <c r="G129" s="486" t="inlineStr">
        <is>
          <t>ERROR</t>
        </is>
      </c>
    </row>
    <row r="130" ht="20" customHeight="1" s="225">
      <c r="A130" s="486" t="inlineStr">
        <is>
          <t>4AV</t>
        </is>
      </c>
      <c r="B130" s="486" t="inlineStr">
        <is>
          <t>ILLESCAS PUMA ISRAEL FERNANDO</t>
        </is>
      </c>
      <c r="C130" s="486" t="inlineStr">
        <is>
          <t>Educación Física</t>
        </is>
      </c>
      <c r="D130" s="486" t="n">
        <v>8.44</v>
      </c>
      <c r="E130" s="486" t="n">
        <v>9.140000000000001</v>
      </c>
      <c r="F130" s="486" t="n">
        <v>0.7</v>
      </c>
      <c r="G130" s="486" t="inlineStr">
        <is>
          <t>ERROR</t>
        </is>
      </c>
    </row>
    <row r="131" ht="20" customHeight="1" s="225">
      <c r="A131" s="486" t="inlineStr">
        <is>
          <t>4AV</t>
        </is>
      </c>
      <c r="B131" s="486" t="inlineStr">
        <is>
          <t>ILLESCAS PUMA ISRAEL FERNANDO</t>
        </is>
      </c>
      <c r="C131" s="486" t="inlineStr">
        <is>
          <t>Promedio Final / P. General</t>
        </is>
      </c>
      <c r="D131" s="486" t="n">
        <v>8.699999999999999</v>
      </c>
      <c r="E131" s="486" t="n">
        <v>8.789999999999999</v>
      </c>
      <c r="F131" s="486" t="n">
        <v>0.09</v>
      </c>
      <c r="G131" s="486" t="inlineStr">
        <is>
          <t>ERROR</t>
        </is>
      </c>
    </row>
    <row r="132" ht="20" customHeight="1" s="225">
      <c r="A132" s="486" t="inlineStr">
        <is>
          <t>4AV</t>
        </is>
      </c>
      <c r="B132" s="486" t="inlineStr">
        <is>
          <t>LEMA SINCHI KATHERIN BELEN</t>
        </is>
      </c>
      <c r="C132" s="486" t="inlineStr">
        <is>
          <t>Educación Física</t>
        </is>
      </c>
      <c r="D132" s="486" t="n">
        <v>9.699999999999999</v>
      </c>
      <c r="E132" s="486" t="n">
        <v>9.15</v>
      </c>
      <c r="F132" s="486" t="n">
        <v>0.55</v>
      </c>
      <c r="G132" s="486" t="inlineStr">
        <is>
          <t>ERROR</t>
        </is>
      </c>
    </row>
    <row r="133" ht="20" customHeight="1" s="225">
      <c r="A133" s="486" t="inlineStr">
        <is>
          <t>4AV</t>
        </is>
      </c>
      <c r="B133" s="486" t="inlineStr">
        <is>
          <t>LEMA SINCHI KATHERIN BELEN</t>
        </is>
      </c>
      <c r="C133" s="486" t="inlineStr">
        <is>
          <t>Promedio Final / P. General</t>
        </is>
      </c>
      <c r="D133" s="486" t="n">
        <v>8.43</v>
      </c>
      <c r="E133" s="486" t="n">
        <v>8.34</v>
      </c>
      <c r="F133" s="486" t="n">
        <v>0.09</v>
      </c>
      <c r="G133" s="486" t="inlineStr">
        <is>
          <t>ERROR</t>
        </is>
      </c>
    </row>
    <row r="134" ht="20" customHeight="1" s="225">
      <c r="A134" s="486" t="inlineStr">
        <is>
          <t>4AV</t>
        </is>
      </c>
      <c r="B134" s="486" t="inlineStr">
        <is>
          <t>LEON HUERTA ANTHONY JESUS</t>
        </is>
      </c>
      <c r="C134" s="486" t="inlineStr">
        <is>
          <t>Educación Física</t>
        </is>
      </c>
      <c r="D134" s="486" t="n">
        <v>9.619999999999999</v>
      </c>
      <c r="E134" s="486" t="n">
        <v>8.789999999999999</v>
      </c>
      <c r="F134" s="486" t="n">
        <v>0.83</v>
      </c>
      <c r="G134" s="486" t="inlineStr">
        <is>
          <t>ERROR</t>
        </is>
      </c>
    </row>
    <row r="135" ht="20" customHeight="1" s="225">
      <c r="A135" s="486" t="inlineStr">
        <is>
          <t>4AV</t>
        </is>
      </c>
      <c r="B135" s="486" t="inlineStr">
        <is>
          <t>LEON HUERTA ANTHONY JESUS</t>
        </is>
      </c>
      <c r="C135" s="486" t="inlineStr">
        <is>
          <t>Promedio Final / P. General</t>
        </is>
      </c>
      <c r="D135" s="486" t="n">
        <v>8.51</v>
      </c>
      <c r="E135" s="486" t="n">
        <v>8.390000000000001</v>
      </c>
      <c r="F135" s="486" t="n">
        <v>0.12</v>
      </c>
      <c r="G135" s="486" t="inlineStr">
        <is>
          <t>ERROR</t>
        </is>
      </c>
    </row>
    <row r="136" ht="20" customHeight="1" s="225">
      <c r="A136" s="485" t="inlineStr">
        <is>
          <t>4AV</t>
        </is>
      </c>
      <c r="B136" s="485" t="inlineStr">
        <is>
          <t>LLIVICHUZHCA MENDOZA DANARIS VALENTINA</t>
        </is>
      </c>
      <c r="C136" s="485" t="inlineStr">
        <is>
          <t>SOLO EN DOCENTES</t>
        </is>
      </c>
      <c r="D136" s="485" t="inlineStr">
        <is>
          <t>-</t>
        </is>
      </c>
      <c r="E136" s="485" t="inlineStr">
        <is>
          <t>-</t>
        </is>
      </c>
      <c r="F136" s="485" t="inlineStr">
        <is>
          <t>-</t>
        </is>
      </c>
      <c r="G136" s="485" t="inlineStr">
        <is>
          <t>DESFASE DE NÓMINA</t>
        </is>
      </c>
    </row>
    <row r="137" ht="20" customHeight="1" s="225">
      <c r="A137" s="486" t="inlineStr">
        <is>
          <t>4AV</t>
        </is>
      </c>
      <c r="B137" s="486" t="inlineStr">
        <is>
          <t>MALLA TELLO DAYNARA ZURY</t>
        </is>
      </c>
      <c r="C137" s="486" t="inlineStr">
        <is>
          <t>Educación Física</t>
        </is>
      </c>
      <c r="D137" s="486" t="n">
        <v>8.65</v>
      </c>
      <c r="E137" s="486" t="n">
        <v>8.869999999999999</v>
      </c>
      <c r="F137" s="486" t="n">
        <v>0.22</v>
      </c>
      <c r="G137" s="486" t="inlineStr">
        <is>
          <t>ERROR</t>
        </is>
      </c>
    </row>
    <row r="138" ht="20" customHeight="1" s="225">
      <c r="A138" s="486" t="inlineStr">
        <is>
          <t>4AV</t>
        </is>
      </c>
      <c r="B138" s="486" t="inlineStr">
        <is>
          <t>MALLA YARI DAMIAN ALEJANDRO</t>
        </is>
      </c>
      <c r="C138" s="486" t="inlineStr">
        <is>
          <t>Educación Física</t>
        </is>
      </c>
      <c r="D138" s="486" t="n">
        <v>9.699999999999999</v>
      </c>
      <c r="E138" s="486" t="n">
        <v>7.63</v>
      </c>
      <c r="F138" s="486" t="n">
        <v>2.07</v>
      </c>
      <c r="G138" s="486" t="inlineStr">
        <is>
          <t>ERROR</t>
        </is>
      </c>
    </row>
    <row r="139" ht="20" customHeight="1" s="225">
      <c r="A139" s="486" t="inlineStr">
        <is>
          <t>4AV</t>
        </is>
      </c>
      <c r="B139" s="486" t="inlineStr">
        <is>
          <t>MALLA YARI DAMIAN ALEJANDRO</t>
        </is>
      </c>
      <c r="C139" s="486" t="inlineStr">
        <is>
          <t>Promedio Final / P. General</t>
        </is>
      </c>
      <c r="D139" s="486" t="n">
        <v>7.61</v>
      </c>
      <c r="E139" s="486" t="n">
        <v>7.31</v>
      </c>
      <c r="F139" s="486" t="n">
        <v>0.3</v>
      </c>
      <c r="G139" s="486" t="inlineStr">
        <is>
          <t>ERROR</t>
        </is>
      </c>
    </row>
    <row r="140" ht="20" customHeight="1" s="225">
      <c r="A140" s="486" t="inlineStr">
        <is>
          <t>4AV</t>
        </is>
      </c>
      <c r="B140" s="486" t="inlineStr">
        <is>
          <t>MARTOS CACERES SEBASTIAN JAVIER</t>
        </is>
      </c>
      <c r="C140" s="486" t="inlineStr">
        <is>
          <t>Educación Física</t>
        </is>
      </c>
      <c r="D140" s="486" t="n">
        <v>9.140000000000001</v>
      </c>
      <c r="E140" s="486" t="n">
        <v>9.31</v>
      </c>
      <c r="F140" s="486" t="n">
        <v>0.17</v>
      </c>
      <c r="G140" s="486" t="inlineStr">
        <is>
          <t>ERROR</t>
        </is>
      </c>
    </row>
    <row r="141" ht="20" customHeight="1" s="225">
      <c r="A141" s="486" t="inlineStr">
        <is>
          <t>4AV</t>
        </is>
      </c>
      <c r="B141" s="486" t="inlineStr">
        <is>
          <t>MENDEZ MENDEZ ERIKA TATIANA</t>
        </is>
      </c>
      <c r="C141" s="486" t="inlineStr">
        <is>
          <t>Educación Física</t>
        </is>
      </c>
      <c r="D141" s="486" t="n">
        <v>9.19</v>
      </c>
      <c r="E141" s="486" t="n">
        <v>8.32</v>
      </c>
      <c r="F141" s="486" t="n">
        <v>0.87</v>
      </c>
      <c r="G141" s="486" t="inlineStr">
        <is>
          <t>ERROR</t>
        </is>
      </c>
    </row>
    <row r="142" ht="20" customHeight="1" s="225">
      <c r="A142" s="486" t="inlineStr">
        <is>
          <t>4AV</t>
        </is>
      </c>
      <c r="B142" s="486" t="inlineStr">
        <is>
          <t>MENDEZ MENDEZ ERIKA TATIANA</t>
        </is>
      </c>
      <c r="C142" s="486" t="inlineStr">
        <is>
          <t>Promedio Final / P. General</t>
        </is>
      </c>
      <c r="D142" s="486" t="n">
        <v>8.029999999999999</v>
      </c>
      <c r="E142" s="486" t="n">
        <v>7.9</v>
      </c>
      <c r="F142" s="486" t="n">
        <v>0.13</v>
      </c>
      <c r="G142" s="486" t="inlineStr">
        <is>
          <t>ERROR</t>
        </is>
      </c>
    </row>
    <row r="143" ht="20" customHeight="1" s="225">
      <c r="A143" s="486" t="inlineStr">
        <is>
          <t>4AV</t>
        </is>
      </c>
      <c r="B143" s="486" t="inlineStr">
        <is>
          <t>MOLINA SUIN CAMILO GABRIEL</t>
        </is>
      </c>
      <c r="C143" s="486" t="inlineStr">
        <is>
          <t>Educación Física</t>
        </is>
      </c>
      <c r="D143" s="486" t="n">
        <v>8.6</v>
      </c>
      <c r="E143" s="486" t="n">
        <v>9.16</v>
      </c>
      <c r="F143" s="486" t="n">
        <v>0.5600000000000001</v>
      </c>
      <c r="G143" s="486" t="inlineStr">
        <is>
          <t>ERROR</t>
        </is>
      </c>
    </row>
    <row r="144" ht="20" customHeight="1" s="225">
      <c r="A144" s="486" t="inlineStr">
        <is>
          <t>4AV</t>
        </is>
      </c>
      <c r="B144" s="486" t="inlineStr">
        <is>
          <t>MOLINA SUIN CAMILO GABRIEL</t>
        </is>
      </c>
      <c r="C144" s="486" t="inlineStr">
        <is>
          <t>Promedio Final / P. General</t>
        </is>
      </c>
      <c r="D144" s="486" t="n">
        <v>8.99</v>
      </c>
      <c r="E144" s="486" t="n">
        <v>9.06</v>
      </c>
      <c r="F144" s="486" t="n">
        <v>0.07000000000000001</v>
      </c>
      <c r="G144" s="486" t="inlineStr">
        <is>
          <t>ERROR</t>
        </is>
      </c>
    </row>
    <row r="145" ht="20" customHeight="1" s="225">
      <c r="A145" s="486" t="inlineStr">
        <is>
          <t>4AV</t>
        </is>
      </c>
      <c r="B145" s="486" t="inlineStr">
        <is>
          <t>MORA TIGRE KATIA JORDANA</t>
        </is>
      </c>
      <c r="C145" s="486" t="inlineStr">
        <is>
          <t>Educación Física</t>
        </is>
      </c>
      <c r="D145" s="486" t="n">
        <v>9.1</v>
      </c>
      <c r="E145" s="486" t="n">
        <v>8.16</v>
      </c>
      <c r="F145" s="486" t="n">
        <v>0.9399999999999999</v>
      </c>
      <c r="G145" s="486" t="inlineStr">
        <is>
          <t>ERROR</t>
        </is>
      </c>
    </row>
    <row r="146" ht="20" customHeight="1" s="225">
      <c r="A146" s="486" t="inlineStr">
        <is>
          <t>4AV</t>
        </is>
      </c>
      <c r="B146" s="486" t="inlineStr">
        <is>
          <t>MORA TIGRE KATIA JORDANA</t>
        </is>
      </c>
      <c r="C146" s="486" t="inlineStr">
        <is>
          <t>Promedio Final / P. General</t>
        </is>
      </c>
      <c r="D146" s="486" t="n">
        <v>8.01</v>
      </c>
      <c r="E146" s="486" t="n">
        <v>7.86</v>
      </c>
      <c r="F146" s="486" t="n">
        <v>0.15</v>
      </c>
      <c r="G146" s="486" t="inlineStr">
        <is>
          <t>ERROR</t>
        </is>
      </c>
    </row>
    <row r="147" ht="20" customHeight="1" s="225">
      <c r="A147" s="486" t="inlineStr">
        <is>
          <t>4AV</t>
        </is>
      </c>
      <c r="B147" s="486" t="inlineStr">
        <is>
          <t>MOREIRA FLORES BIANCA NATALIA</t>
        </is>
      </c>
      <c r="C147" s="486" t="inlineStr">
        <is>
          <t>Educación Física</t>
        </is>
      </c>
      <c r="D147" s="486" t="n">
        <v>9.09</v>
      </c>
      <c r="E147" s="486" t="n">
        <v>8.82</v>
      </c>
      <c r="F147" s="486" t="n">
        <v>0.27</v>
      </c>
      <c r="G147" s="486" t="inlineStr">
        <is>
          <t>ERROR</t>
        </is>
      </c>
    </row>
    <row r="148" ht="20" customHeight="1" s="225">
      <c r="A148" s="486" t="inlineStr">
        <is>
          <t>4AV</t>
        </is>
      </c>
      <c r="B148" s="486" t="inlineStr">
        <is>
          <t>MOREIRA FLORES BIANCA NATALIA</t>
        </is>
      </c>
      <c r="C148" s="486" t="inlineStr">
        <is>
          <t>Promedio Final / P. General</t>
        </is>
      </c>
      <c r="D148" s="486" t="n">
        <v>8.210000000000001</v>
      </c>
      <c r="E148" s="486" t="n">
        <v>8.17</v>
      </c>
      <c r="F148" s="486" t="n">
        <v>0.04</v>
      </c>
      <c r="G148" s="486" t="inlineStr">
        <is>
          <t>ERROR</t>
        </is>
      </c>
    </row>
    <row r="149" ht="20" customHeight="1" s="225">
      <c r="A149" s="486" t="inlineStr">
        <is>
          <t>4AV</t>
        </is>
      </c>
      <c r="B149" s="486" t="inlineStr">
        <is>
          <t>MUZHA PINDO ASHLEY ANAHI</t>
        </is>
      </c>
      <c r="C149" s="486" t="inlineStr">
        <is>
          <t>Educación Física</t>
        </is>
      </c>
      <c r="D149" s="486" t="n">
        <v>8.119999999999999</v>
      </c>
      <c r="E149" s="486" t="n">
        <v>8.65</v>
      </c>
      <c r="F149" s="486" t="n">
        <v>0.53</v>
      </c>
      <c r="G149" s="486" t="inlineStr">
        <is>
          <t>ERROR</t>
        </is>
      </c>
    </row>
    <row r="150" ht="20" customHeight="1" s="225">
      <c r="A150" s="486" t="inlineStr">
        <is>
          <t>4AV</t>
        </is>
      </c>
      <c r="B150" s="486" t="inlineStr">
        <is>
          <t>MUZHA PINDO ASHLEY ANAHI</t>
        </is>
      </c>
      <c r="C150" s="486" t="inlineStr">
        <is>
          <t>Promedio Final / P. General</t>
        </is>
      </c>
      <c r="D150" s="486" t="n">
        <v>8.359999999999999</v>
      </c>
      <c r="E150" s="486" t="n">
        <v>8.43</v>
      </c>
      <c r="F150" s="486" t="n">
        <v>0.07000000000000001</v>
      </c>
      <c r="G150" s="486" t="inlineStr">
        <is>
          <t>ERROR</t>
        </is>
      </c>
    </row>
    <row r="151" ht="20" customHeight="1" s="225">
      <c r="A151" s="486" t="inlineStr">
        <is>
          <t>4AV</t>
        </is>
      </c>
      <c r="B151" s="486" t="inlineStr">
        <is>
          <t>ORELLANA GUICHAY JAIME EXEQUIEL</t>
        </is>
      </c>
      <c r="C151" s="486" t="inlineStr">
        <is>
          <t>Educación Física</t>
        </is>
      </c>
      <c r="D151" s="486" t="n">
        <v>8.300000000000001</v>
      </c>
      <c r="E151" s="486" t="n">
        <v>8.91</v>
      </c>
      <c r="F151" s="486" t="n">
        <v>0.61</v>
      </c>
      <c r="G151" s="486" t="inlineStr">
        <is>
          <t>ERROR</t>
        </is>
      </c>
    </row>
    <row r="152" ht="20" customHeight="1" s="225">
      <c r="A152" s="486" t="inlineStr">
        <is>
          <t>4AV</t>
        </is>
      </c>
      <c r="B152" s="486" t="inlineStr">
        <is>
          <t>ORELLANA GUICHAY JAIME EXEQUIEL</t>
        </is>
      </c>
      <c r="C152" s="486" t="inlineStr">
        <is>
          <t>Promedio Final / P. General</t>
        </is>
      </c>
      <c r="D152" s="486" t="n">
        <v>8.539999999999999</v>
      </c>
      <c r="E152" s="486" t="n">
        <v>8.619999999999999</v>
      </c>
      <c r="F152" s="486" t="n">
        <v>0.08</v>
      </c>
      <c r="G152" s="486" t="inlineStr">
        <is>
          <t>ERROR</t>
        </is>
      </c>
    </row>
    <row r="153" ht="20" customHeight="1" s="225">
      <c r="A153" s="485" t="inlineStr">
        <is>
          <t>4AV</t>
        </is>
      </c>
      <c r="B153" s="485" t="inlineStr">
        <is>
          <t>PARRA TUDAY ALISSON ARLETTE</t>
        </is>
      </c>
      <c r="C153" s="485" t="inlineStr">
        <is>
          <t>SOLO EN DOCENTES</t>
        </is>
      </c>
      <c r="D153" s="485" t="inlineStr">
        <is>
          <t>-</t>
        </is>
      </c>
      <c r="E153" s="485" t="inlineStr">
        <is>
          <t>-</t>
        </is>
      </c>
      <c r="F153" s="485" t="inlineStr">
        <is>
          <t>-</t>
        </is>
      </c>
      <c r="G153" s="485" t="inlineStr">
        <is>
          <t>DESFASE DE NÓMINA</t>
        </is>
      </c>
    </row>
    <row r="154" ht="20" customHeight="1" s="225">
      <c r="A154" s="485" t="inlineStr">
        <is>
          <t>4AV</t>
        </is>
      </c>
      <c r="B154" s="485" t="inlineStr">
        <is>
          <t>PAUCAR ESPINOZA STEVEN JHOSE</t>
        </is>
      </c>
      <c r="C154" s="485" t="inlineStr">
        <is>
          <t>SOLO EN DOCENTES</t>
        </is>
      </c>
      <c r="D154" s="485" t="inlineStr">
        <is>
          <t>-</t>
        </is>
      </c>
      <c r="E154" s="485" t="inlineStr">
        <is>
          <t>-</t>
        </is>
      </c>
      <c r="F154" s="485" t="inlineStr">
        <is>
          <t>-</t>
        </is>
      </c>
      <c r="G154" s="485" t="inlineStr">
        <is>
          <t>DESFASE DE NÓMINA</t>
        </is>
      </c>
    </row>
    <row r="155" ht="20" customHeight="1" s="225">
      <c r="A155" s="486" t="inlineStr">
        <is>
          <t>4AV</t>
        </is>
      </c>
      <c r="B155" s="486" t="inlineStr">
        <is>
          <t>PINTADO CONTRERAS ALEJANDRO NICOLAS</t>
        </is>
      </c>
      <c r="C155" s="486" t="inlineStr">
        <is>
          <t>Educación Física</t>
        </is>
      </c>
      <c r="D155" s="486" t="n">
        <v>9.369999999999999</v>
      </c>
      <c r="E155" s="486" t="n">
        <v>9.08</v>
      </c>
      <c r="F155" s="486" t="n">
        <v>0.29</v>
      </c>
      <c r="G155" s="486" t="inlineStr">
        <is>
          <t>ERROR</t>
        </is>
      </c>
    </row>
    <row r="156" ht="20" customHeight="1" s="225">
      <c r="A156" s="486" t="inlineStr">
        <is>
          <t>4AV</t>
        </is>
      </c>
      <c r="B156" s="486" t="inlineStr">
        <is>
          <t>PINTADO CONTRERAS ALEJANDRO NICOLAS</t>
        </is>
      </c>
      <c r="C156" s="486" t="inlineStr">
        <is>
          <t>Promedio Final / P. General</t>
        </is>
      </c>
      <c r="D156" s="486" t="n">
        <v>8.609999999999999</v>
      </c>
      <c r="E156" s="486" t="n">
        <v>8.56</v>
      </c>
      <c r="F156" s="486" t="n">
        <v>0.05</v>
      </c>
      <c r="G156" s="486" t="inlineStr">
        <is>
          <t>ERROR</t>
        </is>
      </c>
    </row>
    <row r="157" ht="20" customHeight="1" s="225">
      <c r="A157" s="486" t="inlineStr">
        <is>
          <t>4AV</t>
        </is>
      </c>
      <c r="B157" s="486" t="inlineStr">
        <is>
          <t>PINZON PACCHA DANNA MILENA</t>
        </is>
      </c>
      <c r="C157" s="486" t="inlineStr">
        <is>
          <t>Educación Física</t>
        </is>
      </c>
      <c r="D157" s="486" t="n">
        <v>9.35</v>
      </c>
      <c r="E157" s="486" t="n">
        <v>9.32</v>
      </c>
      <c r="F157" s="486" t="n">
        <v>0.03</v>
      </c>
      <c r="G157" s="486" t="inlineStr">
        <is>
          <t>ERROR</t>
        </is>
      </c>
    </row>
    <row r="158" ht="20" customHeight="1" s="225">
      <c r="A158" s="485" t="inlineStr">
        <is>
          <t>4AV</t>
        </is>
      </c>
      <c r="B158" s="485" t="inlineStr">
        <is>
          <t>POROQUIZA PAGUAY KELLY ZOE</t>
        </is>
      </c>
      <c r="C158" s="485" t="inlineStr">
        <is>
          <t>SOLO EN DOCENTES</t>
        </is>
      </c>
      <c r="D158" s="485" t="inlineStr">
        <is>
          <t>-</t>
        </is>
      </c>
      <c r="E158" s="485" t="inlineStr">
        <is>
          <t>-</t>
        </is>
      </c>
      <c r="F158" s="485" t="inlineStr">
        <is>
          <t>-</t>
        </is>
      </c>
      <c r="G158" s="485" t="inlineStr">
        <is>
          <t>DESFASE DE NÓMINA</t>
        </is>
      </c>
    </row>
    <row r="159" ht="20" customHeight="1" s="225">
      <c r="A159" s="486" t="inlineStr">
        <is>
          <t>4AV</t>
        </is>
      </c>
      <c r="B159" s="486" t="inlineStr">
        <is>
          <t>RAMON QUIZHPI KEVIN ISMAEL</t>
        </is>
      </c>
      <c r="C159" s="486" t="inlineStr">
        <is>
          <t>Educación Física</t>
        </is>
      </c>
      <c r="D159" s="486" t="n">
        <v>9.32</v>
      </c>
      <c r="E159" s="486" t="n">
        <v>9.369999999999999</v>
      </c>
      <c r="F159" s="486" t="n">
        <v>0.05</v>
      </c>
      <c r="G159" s="486" t="inlineStr">
        <is>
          <t>ERROR</t>
        </is>
      </c>
    </row>
    <row r="160" ht="20" customHeight="1" s="225">
      <c r="A160" s="486" t="inlineStr">
        <is>
          <t>4AV</t>
        </is>
      </c>
      <c r="B160" s="486" t="inlineStr">
        <is>
          <t>RODRIGUEZ GUAMBAÑA CRISTOFER ARIEL</t>
        </is>
      </c>
      <c r="C160" s="486" t="inlineStr">
        <is>
          <t>Educación Física</t>
        </is>
      </c>
      <c r="D160" s="486" t="n">
        <v>9.199999999999999</v>
      </c>
      <c r="E160" s="486" t="n">
        <v>9.27</v>
      </c>
      <c r="F160" s="486" t="n">
        <v>0.07000000000000001</v>
      </c>
      <c r="G160" s="486" t="inlineStr">
        <is>
          <t>ERROR</t>
        </is>
      </c>
    </row>
    <row r="161" ht="20" customHeight="1" s="225">
      <c r="A161" s="486" t="inlineStr">
        <is>
          <t>4AV</t>
        </is>
      </c>
      <c r="B161" s="486" t="inlineStr">
        <is>
          <t>SANTANDER SIGUENCIA MARIA JOSE</t>
        </is>
      </c>
      <c r="C161" s="486" t="inlineStr">
        <is>
          <t>Educación Física</t>
        </is>
      </c>
      <c r="D161" s="486" t="n">
        <v>9.220000000000001</v>
      </c>
      <c r="E161" s="486" t="n">
        <v>9.15</v>
      </c>
      <c r="F161" s="486" t="n">
        <v>0.07000000000000001</v>
      </c>
      <c r="G161" s="486" t="inlineStr">
        <is>
          <t>ERROR</t>
        </is>
      </c>
    </row>
    <row r="162" ht="20" customHeight="1" s="225">
      <c r="A162" s="486" t="inlineStr">
        <is>
          <t>4AV</t>
        </is>
      </c>
      <c r="B162" s="486" t="inlineStr">
        <is>
          <t>SINCHI LEMA NATALY ANDREA</t>
        </is>
      </c>
      <c r="C162" s="486" t="inlineStr">
        <is>
          <t>Educación Física</t>
        </is>
      </c>
      <c r="D162" s="486" t="n">
        <v>9.470000000000001</v>
      </c>
      <c r="E162" s="486" t="n">
        <v>9.34</v>
      </c>
      <c r="F162" s="486" t="n">
        <v>0.13</v>
      </c>
      <c r="G162" s="486" t="inlineStr">
        <is>
          <t>ERROR</t>
        </is>
      </c>
    </row>
    <row r="163" ht="20" customHeight="1" s="225">
      <c r="A163" s="486" t="inlineStr">
        <is>
          <t>4AV</t>
        </is>
      </c>
      <c r="B163" s="486" t="inlineStr">
        <is>
          <t>SINCHI LEMA NATALY ANDREA</t>
        </is>
      </c>
      <c r="C163" s="486" t="inlineStr">
        <is>
          <t>Promedio Final / P. General</t>
        </is>
      </c>
      <c r="D163" s="486" t="n">
        <v>9.140000000000001</v>
      </c>
      <c r="E163" s="486" t="n">
        <v>9.109999999999999</v>
      </c>
      <c r="F163" s="486" t="n">
        <v>0.03</v>
      </c>
      <c r="G163" s="486" t="inlineStr">
        <is>
          <t>ERROR</t>
        </is>
      </c>
    </row>
    <row r="164" ht="20" customHeight="1" s="225">
      <c r="A164" s="486" t="inlineStr">
        <is>
          <t>4AV</t>
        </is>
      </c>
      <c r="B164" s="486" t="inlineStr">
        <is>
          <t>TUCUPI RAMON DAVID ALEXANDER</t>
        </is>
      </c>
      <c r="C164" s="486" t="inlineStr">
        <is>
          <t>Educación Física</t>
        </is>
      </c>
      <c r="D164" s="486" t="n">
        <v>9.210000000000001</v>
      </c>
      <c r="E164" s="486" t="n">
        <v>9.25</v>
      </c>
      <c r="F164" s="486" t="n">
        <v>0.04</v>
      </c>
      <c r="G164" s="486" t="inlineStr">
        <is>
          <t>ERROR</t>
        </is>
      </c>
    </row>
    <row r="165" ht="20" customHeight="1" s="225">
      <c r="A165" s="485" t="inlineStr">
        <is>
          <t>4AV</t>
        </is>
      </c>
      <c r="B165" s="485" t="inlineStr">
        <is>
          <t>ANDRADE MEJIA ALLISON DANIELA</t>
        </is>
      </c>
      <c r="C165" s="485" t="inlineStr">
        <is>
          <t>SOLO EN SISTEMA</t>
        </is>
      </c>
      <c r="D165" s="485" t="inlineStr">
        <is>
          <t>-</t>
        </is>
      </c>
      <c r="E165" s="485" t="inlineStr">
        <is>
          <t>-</t>
        </is>
      </c>
      <c r="F165" s="485" t="inlineStr">
        <is>
          <t>-</t>
        </is>
      </c>
      <c r="G165" s="485" t="inlineStr">
        <is>
          <t>DESFASE DE NÓMINA</t>
        </is>
      </c>
    </row>
    <row r="166" ht="20" customHeight="1" s="225">
      <c r="A166" s="485" t="inlineStr">
        <is>
          <t>4AV</t>
        </is>
      </c>
      <c r="B166" s="485" t="inlineStr">
        <is>
          <t>BELDUMA BELDUMA KENDRA YARELY</t>
        </is>
      </c>
      <c r="C166" s="485" t="inlineStr">
        <is>
          <t>SOLO EN SISTEMA</t>
        </is>
      </c>
      <c r="D166" s="485" t="inlineStr">
        <is>
          <t>-</t>
        </is>
      </c>
      <c r="E166" s="485" t="inlineStr">
        <is>
          <t>-</t>
        </is>
      </c>
      <c r="F166" s="485" t="inlineStr">
        <is>
          <t>-</t>
        </is>
      </c>
      <c r="G166" s="485" t="inlineStr">
        <is>
          <t>DESFASE DE NÓMINA</t>
        </is>
      </c>
    </row>
    <row r="167" ht="20" customHeight="1" s="225">
      <c r="A167" s="485" t="inlineStr">
        <is>
          <t>4AV</t>
        </is>
      </c>
      <c r="B167" s="485" t="inlineStr">
        <is>
          <t>CUENCA SOLEDISPA DYLAN ADRIAN</t>
        </is>
      </c>
      <c r="C167" s="485" t="inlineStr">
        <is>
          <t>SOLO EN SISTEMA</t>
        </is>
      </c>
      <c r="D167" s="485" t="inlineStr">
        <is>
          <t>-</t>
        </is>
      </c>
      <c r="E167" s="485" t="inlineStr">
        <is>
          <t>-</t>
        </is>
      </c>
      <c r="F167" s="485" t="inlineStr">
        <is>
          <t>-</t>
        </is>
      </c>
      <c r="G167" s="485" t="inlineStr">
        <is>
          <t>DESFASE DE NÓMINA</t>
        </is>
      </c>
    </row>
    <row r="168" ht="20" customHeight="1" s="225">
      <c r="A168" s="485" t="inlineStr">
        <is>
          <t>4AV</t>
        </is>
      </c>
      <c r="B168" s="485" t="inlineStr">
        <is>
          <t>LLIVICHUZHCA MENDOZA DAMARIS VALENTINA</t>
        </is>
      </c>
      <c r="C168" s="485" t="inlineStr">
        <is>
          <t>SOLO EN SISTEMA</t>
        </is>
      </c>
      <c r="D168" s="485" t="inlineStr">
        <is>
          <t>-</t>
        </is>
      </c>
      <c r="E168" s="485" t="inlineStr">
        <is>
          <t>-</t>
        </is>
      </c>
      <c r="F168" s="485" t="inlineStr">
        <is>
          <t>-</t>
        </is>
      </c>
      <c r="G168" s="485" t="inlineStr">
        <is>
          <t>DESFASE DE NÓMINA</t>
        </is>
      </c>
    </row>
    <row r="169" ht="20" customHeight="1" s="225">
      <c r="A169" s="485" t="inlineStr">
        <is>
          <t>4AV</t>
        </is>
      </c>
      <c r="B169" s="485" t="inlineStr">
        <is>
          <t>PARRA TUBAY ALISSON ARLETTE</t>
        </is>
      </c>
      <c r="C169" s="485" t="inlineStr">
        <is>
          <t>SOLO EN SISTEMA</t>
        </is>
      </c>
      <c r="D169" s="485" t="inlineStr">
        <is>
          <t>-</t>
        </is>
      </c>
      <c r="E169" s="485" t="inlineStr">
        <is>
          <t>-</t>
        </is>
      </c>
      <c r="F169" s="485" t="inlineStr">
        <is>
          <t>-</t>
        </is>
      </c>
      <c r="G169" s="485" t="inlineStr">
        <is>
          <t>DESFASE DE NÓMINA</t>
        </is>
      </c>
    </row>
    <row r="170" ht="20" customHeight="1" s="225">
      <c r="A170" s="485" t="inlineStr">
        <is>
          <t>4AV</t>
        </is>
      </c>
      <c r="B170" s="485" t="inlineStr">
        <is>
          <t>PAUCAR ESPINOZA STEVEN JHOSUE</t>
        </is>
      </c>
      <c r="C170" s="485" t="inlineStr">
        <is>
          <t>SOLO EN SISTEMA</t>
        </is>
      </c>
      <c r="D170" s="485" t="inlineStr">
        <is>
          <t>-</t>
        </is>
      </c>
      <c r="E170" s="485" t="inlineStr">
        <is>
          <t>-</t>
        </is>
      </c>
      <c r="F170" s="485" t="inlineStr">
        <is>
          <t>-</t>
        </is>
      </c>
      <c r="G170" s="485" t="inlineStr">
        <is>
          <t>DESFASE DE NÓMINA</t>
        </is>
      </c>
    </row>
    <row r="171" ht="20" customHeight="1" s="225">
      <c r="A171" s="485" t="inlineStr">
        <is>
          <t>4AV</t>
        </is>
      </c>
      <c r="B171" s="485" t="inlineStr">
        <is>
          <t>POMAQUIZA PAGUAY KEILY ZOE</t>
        </is>
      </c>
      <c r="C171" s="485" t="inlineStr">
        <is>
          <t>SOLO EN SISTEMA</t>
        </is>
      </c>
      <c r="D171" s="485" t="inlineStr">
        <is>
          <t>-</t>
        </is>
      </c>
      <c r="E171" s="485" t="inlineStr">
        <is>
          <t>-</t>
        </is>
      </c>
      <c r="F171" s="485" t="inlineStr">
        <is>
          <t>-</t>
        </is>
      </c>
      <c r="G171" s="485" t="inlineStr">
        <is>
          <t>DESFASE DE NÓMINA</t>
        </is>
      </c>
    </row>
    <row r="172" ht="20" customHeight="1" s="225">
      <c r="A172" s="486" t="inlineStr">
        <is>
          <t>4BV</t>
        </is>
      </c>
      <c r="B172" s="486" t="inlineStr">
        <is>
          <t>ASMAL CAJAMARCA PAULA LIZETH</t>
        </is>
      </c>
      <c r="C172" s="486" t="inlineStr">
        <is>
          <t>Inglés</t>
        </is>
      </c>
      <c r="D172" s="486" t="n">
        <v>9.279999999999999</v>
      </c>
      <c r="E172" s="486" t="n">
        <v>6.26</v>
      </c>
      <c r="F172" s="486" t="n">
        <v>3.02</v>
      </c>
      <c r="G172" s="486" t="inlineStr">
        <is>
          <t>ERROR</t>
        </is>
      </c>
    </row>
    <row r="173" ht="20" customHeight="1" s="225">
      <c r="A173" s="486" t="inlineStr">
        <is>
          <t>4BV</t>
        </is>
      </c>
      <c r="B173" s="486" t="inlineStr">
        <is>
          <t>ASMAL CAJAMARCA PAULA LIZETH</t>
        </is>
      </c>
      <c r="C173" s="486" t="inlineStr">
        <is>
          <t>Promedio Final / P. General</t>
        </is>
      </c>
      <c r="D173" s="486" t="n">
        <v>9.210000000000001</v>
      </c>
      <c r="E173" s="486" t="n">
        <v>8.779999999999999</v>
      </c>
      <c r="F173" s="486" t="n">
        <v>0.43</v>
      </c>
      <c r="G173" s="486" t="inlineStr">
        <is>
          <t>ERROR</t>
        </is>
      </c>
    </row>
    <row r="174" ht="20" customHeight="1" s="225">
      <c r="A174" s="485" t="inlineStr">
        <is>
          <t>4BV</t>
        </is>
      </c>
      <c r="B174" s="485" t="inlineStr">
        <is>
          <t>BARZALLO BUESTAN ARIEL SEBASTIAN</t>
        </is>
      </c>
      <c r="C174" s="485" t="inlineStr">
        <is>
          <t>(NÓMINA)</t>
        </is>
      </c>
      <c r="D174" s="485" t="inlineStr">
        <is>
          <t>-</t>
        </is>
      </c>
      <c r="E174" s="485" t="inlineStr">
        <is>
          <t>-</t>
        </is>
      </c>
      <c r="F174" s="485" t="inlineStr">
        <is>
          <t>-</t>
        </is>
      </c>
      <c r="G174" s="485" t="inlineStr">
        <is>
          <t>DESFASE DE NÓMINA</t>
        </is>
      </c>
    </row>
    <row r="175" ht="20" customHeight="1" s="225">
      <c r="A175" s="485" t="inlineStr">
        <is>
          <t>4BV</t>
        </is>
      </c>
      <c r="B175" s="485" t="inlineStr">
        <is>
          <t>BUENO BORJA PABLO JOSUE</t>
        </is>
      </c>
      <c r="C175" s="485" t="inlineStr">
        <is>
          <t>(NÓMINA)</t>
        </is>
      </c>
      <c r="D175" s="485" t="inlineStr">
        <is>
          <t>-</t>
        </is>
      </c>
      <c r="E175" s="485" t="inlineStr">
        <is>
          <t>-</t>
        </is>
      </c>
      <c r="F175" s="485" t="inlineStr">
        <is>
          <t>-</t>
        </is>
      </c>
      <c r="G175" s="485" t="inlineStr">
        <is>
          <t>DESFASE DE NÓMINA</t>
        </is>
      </c>
    </row>
    <row r="176" ht="20" customHeight="1" s="225">
      <c r="A176" s="486" t="inlineStr">
        <is>
          <t>4BV</t>
        </is>
      </c>
      <c r="B176" s="486" t="inlineStr">
        <is>
          <t>BUENO BORJA PABLO JOSUE</t>
        </is>
      </c>
      <c r="C176" s="486" t="inlineStr">
        <is>
          <t>Ciencias Naturales</t>
        </is>
      </c>
      <c r="D176" s="486" t="n">
        <v>8.35</v>
      </c>
      <c r="E176" s="486" t="n">
        <v>8.300000000000001</v>
      </c>
      <c r="F176" s="486" t="n">
        <v>0.05</v>
      </c>
      <c r="G176" s="486" t="inlineStr">
        <is>
          <t>ERROR</t>
        </is>
      </c>
    </row>
    <row r="177" ht="20" customHeight="1" s="225">
      <c r="A177" s="485" t="inlineStr">
        <is>
          <t>4BV</t>
        </is>
      </c>
      <c r="B177" s="485" t="inlineStr">
        <is>
          <t>BUENO FERNANDEZ MARIA BELEN</t>
        </is>
      </c>
      <c r="C177" s="485" t="inlineStr">
        <is>
          <t>(NÓMINA)</t>
        </is>
      </c>
      <c r="D177" s="485" t="inlineStr">
        <is>
          <t>-</t>
        </is>
      </c>
      <c r="E177" s="485" t="inlineStr">
        <is>
          <t>-</t>
        </is>
      </c>
      <c r="F177" s="485" t="inlineStr">
        <is>
          <t>-</t>
        </is>
      </c>
      <c r="G177" s="485" t="inlineStr">
        <is>
          <t>DESFASE DE NÓMINA</t>
        </is>
      </c>
    </row>
    <row r="178" ht="20" customHeight="1" s="225">
      <c r="A178" s="485" t="inlineStr">
        <is>
          <t>4BV</t>
        </is>
      </c>
      <c r="B178" s="485" t="inlineStr">
        <is>
          <t>CABRERA PESANTEZ ROBERTO EMANUEL</t>
        </is>
      </c>
      <c r="C178" s="485" t="inlineStr">
        <is>
          <t>(NÓMINA)</t>
        </is>
      </c>
      <c r="D178" s="485" t="inlineStr">
        <is>
          <t>-</t>
        </is>
      </c>
      <c r="E178" s="485" t="inlineStr">
        <is>
          <t>-</t>
        </is>
      </c>
      <c r="F178" s="485" t="inlineStr">
        <is>
          <t>-</t>
        </is>
      </c>
      <c r="G178" s="485" t="inlineStr">
        <is>
          <t>DESFASE DE NÓMINA</t>
        </is>
      </c>
    </row>
    <row r="179" ht="20" customHeight="1" s="225">
      <c r="A179" s="485" t="inlineStr">
        <is>
          <t>4BV</t>
        </is>
      </c>
      <c r="B179" s="485" t="inlineStr">
        <is>
          <t>CABRERA RODRIGUEZ DANNIA ARACELY</t>
        </is>
      </c>
      <c r="C179" s="485" t="inlineStr">
        <is>
          <t>(NÓMINA)</t>
        </is>
      </c>
      <c r="D179" s="485" t="inlineStr">
        <is>
          <t>-</t>
        </is>
      </c>
      <c r="E179" s="485" t="inlineStr">
        <is>
          <t>-</t>
        </is>
      </c>
      <c r="F179" s="485" t="inlineStr">
        <is>
          <t>-</t>
        </is>
      </c>
      <c r="G179" s="485" t="inlineStr">
        <is>
          <t>DESFASE DE NÓMINA</t>
        </is>
      </c>
    </row>
    <row r="180" ht="20" customHeight="1" s="225">
      <c r="A180" s="485" t="inlineStr">
        <is>
          <t>4BV</t>
        </is>
      </c>
      <c r="B180" s="485" t="inlineStr">
        <is>
          <t>CALDERON GRANDA JARED FAVIAN</t>
        </is>
      </c>
      <c r="C180" s="485" t="inlineStr">
        <is>
          <t>SOLO EN DOCENTES</t>
        </is>
      </c>
      <c r="D180" s="485" t="inlineStr">
        <is>
          <t>-</t>
        </is>
      </c>
      <c r="E180" s="485" t="inlineStr">
        <is>
          <t>-</t>
        </is>
      </c>
      <c r="F180" s="485" t="inlineStr">
        <is>
          <t>-</t>
        </is>
      </c>
      <c r="G180" s="485" t="inlineStr">
        <is>
          <t>DESFASE DE NÓMINA</t>
        </is>
      </c>
    </row>
    <row r="181" ht="20" customHeight="1" s="225">
      <c r="A181" s="486" t="inlineStr">
        <is>
          <t>4BV</t>
        </is>
      </c>
      <c r="B181" s="486" t="inlineStr">
        <is>
          <t>GARCIA LARRAZABAL FRANCIS ALEXANDER</t>
        </is>
      </c>
      <c r="C181" s="486" t="inlineStr">
        <is>
          <t>Estudios Sociales</t>
        </is>
      </c>
      <c r="D181" s="486" t="n">
        <v>8.890000000000001</v>
      </c>
      <c r="E181" s="486" t="n">
        <v>9.24</v>
      </c>
      <c r="F181" s="486" t="n">
        <v>0.35</v>
      </c>
      <c r="G181" s="486" t="inlineStr">
        <is>
          <t>ERROR</t>
        </is>
      </c>
    </row>
    <row r="182" ht="20" customHeight="1" s="225">
      <c r="A182" s="486" t="inlineStr">
        <is>
          <t>4BV</t>
        </is>
      </c>
      <c r="B182" s="486" t="inlineStr">
        <is>
          <t>GARCIA LARRAZABAL FRANCIS ALEXANDER</t>
        </is>
      </c>
      <c r="C182" s="486" t="inlineStr">
        <is>
          <t>Promedio Final / P. General</t>
        </is>
      </c>
      <c r="D182" s="486" t="n">
        <v>9.02</v>
      </c>
      <c r="E182" s="486" t="n">
        <v>9.06</v>
      </c>
      <c r="F182" s="486" t="n">
        <v>0.04</v>
      </c>
      <c r="G182" s="486" t="inlineStr">
        <is>
          <t>ERROR</t>
        </is>
      </c>
    </row>
    <row r="183" ht="20" customHeight="1" s="225">
      <c r="A183" s="485" t="inlineStr">
        <is>
          <t>4BV</t>
        </is>
      </c>
      <c r="B183" s="485" t="inlineStr">
        <is>
          <t>GUARTAN CHILLOGALLI NAYELI MARILU</t>
        </is>
      </c>
      <c r="C183" s="485" t="inlineStr">
        <is>
          <t>(NÓMINA)</t>
        </is>
      </c>
      <c r="D183" s="485" t="inlineStr">
        <is>
          <t>-</t>
        </is>
      </c>
      <c r="E183" s="485" t="inlineStr">
        <is>
          <t>-</t>
        </is>
      </c>
      <c r="F183" s="485" t="inlineStr">
        <is>
          <t>-</t>
        </is>
      </c>
      <c r="G183" s="485" t="inlineStr">
        <is>
          <t>DESFASE DE NÓMINA</t>
        </is>
      </c>
    </row>
    <row r="184" ht="20" customHeight="1" s="225">
      <c r="A184" s="486" t="inlineStr">
        <is>
          <t>4BV</t>
        </is>
      </c>
      <c r="B184" s="486" t="inlineStr">
        <is>
          <t>GUARTAN CHILLOGALLI NAYELI MARILU</t>
        </is>
      </c>
      <c r="C184" s="486" t="inlineStr">
        <is>
          <t>Estudios Sociales</t>
        </is>
      </c>
      <c r="D184" s="486" t="n">
        <v>7.5</v>
      </c>
      <c r="E184" s="486" t="n">
        <v>7.61</v>
      </c>
      <c r="F184" s="486" t="n">
        <v>0.11</v>
      </c>
      <c r="G184" s="486" t="inlineStr">
        <is>
          <t>ERROR</t>
        </is>
      </c>
    </row>
    <row r="185" ht="20" customHeight="1" s="225">
      <c r="A185" s="485" t="inlineStr">
        <is>
          <t>4BV</t>
        </is>
      </c>
      <c r="B185" s="485" t="inlineStr">
        <is>
          <t>GUACHICHULLCA ZHUNIO SANTIAGO ALEJANDRO</t>
        </is>
      </c>
      <c r="C185" s="485" t="inlineStr">
        <is>
          <t>(NÓMINA)</t>
        </is>
      </c>
      <c r="D185" s="485" t="inlineStr">
        <is>
          <t>-</t>
        </is>
      </c>
      <c r="E185" s="485" t="inlineStr">
        <is>
          <t>-</t>
        </is>
      </c>
      <c r="F185" s="485" t="inlineStr">
        <is>
          <t>-</t>
        </is>
      </c>
      <c r="G185" s="485" t="inlineStr">
        <is>
          <t>DESFASE DE NÓMINA</t>
        </is>
      </c>
    </row>
    <row r="186" ht="20" customHeight="1" s="225">
      <c r="A186" s="486" t="inlineStr">
        <is>
          <t>4BV</t>
        </is>
      </c>
      <c r="B186" s="486" t="inlineStr">
        <is>
          <t>MAUREL APONCIO CHARLES ANTONIO</t>
        </is>
      </c>
      <c r="C186" s="486" t="inlineStr">
        <is>
          <t>Matemática</t>
        </is>
      </c>
      <c r="D186" s="486" t="n">
        <v>8.58</v>
      </c>
      <c r="E186" s="486" t="n">
        <v>8.619999999999999</v>
      </c>
      <c r="F186" s="486" t="n">
        <v>0.04</v>
      </c>
      <c r="G186" s="486" t="inlineStr">
        <is>
          <t>ERROR</t>
        </is>
      </c>
    </row>
    <row r="187" ht="20" customHeight="1" s="225">
      <c r="A187" s="485" t="inlineStr">
        <is>
          <t>4BV</t>
        </is>
      </c>
      <c r="B187" s="485" t="inlineStr">
        <is>
          <t>MERCHAN LUNA MATIEL ISRAEL</t>
        </is>
      </c>
      <c r="C187" s="485" t="inlineStr">
        <is>
          <t>(NÓMINA)</t>
        </is>
      </c>
      <c r="D187" s="485" t="inlineStr">
        <is>
          <t>-</t>
        </is>
      </c>
      <c r="E187" s="485" t="inlineStr">
        <is>
          <t>-</t>
        </is>
      </c>
      <c r="F187" s="485" t="inlineStr">
        <is>
          <t>-</t>
        </is>
      </c>
      <c r="G187" s="485" t="inlineStr">
        <is>
          <t>DESFASE DE NÓMINA</t>
        </is>
      </c>
    </row>
    <row r="188" ht="20" customHeight="1" s="225">
      <c r="A188" s="485" t="inlineStr">
        <is>
          <t>4BV</t>
        </is>
      </c>
      <c r="B188" s="485" t="inlineStr">
        <is>
          <t>MENDEZ ORDOÑEZ BRITHANY KASSANDRA</t>
        </is>
      </c>
      <c r="C188" s="485" t="inlineStr">
        <is>
          <t>(NÓMINA)</t>
        </is>
      </c>
      <c r="D188" s="485" t="inlineStr">
        <is>
          <t>-</t>
        </is>
      </c>
      <c r="E188" s="485" t="inlineStr">
        <is>
          <t>-</t>
        </is>
      </c>
      <c r="F188" s="485" t="inlineStr">
        <is>
          <t>-</t>
        </is>
      </c>
      <c r="G188" s="485" t="inlineStr">
        <is>
          <t>DESFASE DE NÓMINA</t>
        </is>
      </c>
    </row>
    <row r="189" ht="20" customHeight="1" s="225">
      <c r="A189" s="486" t="inlineStr">
        <is>
          <t>4BV</t>
        </is>
      </c>
      <c r="B189" s="486" t="inlineStr">
        <is>
          <t>MORA VILLALBA ARIANA GRACIELA</t>
        </is>
      </c>
      <c r="C189" s="486" t="inlineStr">
        <is>
          <t>Lengua y Literatura</t>
        </is>
      </c>
      <c r="D189" s="486" t="n">
        <v>9.84</v>
      </c>
      <c r="E189" s="486" t="n">
        <v>9.449999999999999</v>
      </c>
      <c r="F189" s="486" t="n">
        <v>0.39</v>
      </c>
      <c r="G189" s="486" t="inlineStr">
        <is>
          <t>ERROR</t>
        </is>
      </c>
    </row>
    <row r="190" ht="20" customHeight="1" s="225">
      <c r="A190" s="486" t="inlineStr">
        <is>
          <t>4BV</t>
        </is>
      </c>
      <c r="B190" s="486" t="inlineStr">
        <is>
          <t>MORA VILLALBA ARIANA GRACIELA</t>
        </is>
      </c>
      <c r="C190" s="486" t="inlineStr">
        <is>
          <t>Matemática</t>
        </is>
      </c>
      <c r="D190" s="486" t="n">
        <v>9.59</v>
      </c>
      <c r="E190" s="486" t="n">
        <v>9.32</v>
      </c>
      <c r="F190" s="486" t="n">
        <v>0.27</v>
      </c>
      <c r="G190" s="486" t="inlineStr">
        <is>
          <t>ERROR</t>
        </is>
      </c>
    </row>
    <row r="191" ht="20" customHeight="1" s="225">
      <c r="A191" s="486" t="inlineStr">
        <is>
          <t>4BV</t>
        </is>
      </c>
      <c r="B191" s="486" t="inlineStr">
        <is>
          <t>MORA VILLALBA ARIANA GRACIELA</t>
        </is>
      </c>
      <c r="C191" s="486" t="inlineStr">
        <is>
          <t>Ciencias Naturales</t>
        </is>
      </c>
      <c r="D191" s="486" t="n">
        <v>9.69</v>
      </c>
      <c r="E191" s="486" t="n">
        <v>9.1</v>
      </c>
      <c r="F191" s="486" t="n">
        <v>0.59</v>
      </c>
      <c r="G191" s="486" t="inlineStr">
        <is>
          <t>ERROR</t>
        </is>
      </c>
    </row>
    <row r="192" ht="20" customHeight="1" s="225">
      <c r="A192" s="486" t="inlineStr">
        <is>
          <t>4BV</t>
        </is>
      </c>
      <c r="B192" s="486" t="inlineStr">
        <is>
          <t>MORA VILLALBA ARIANA GRACIELA</t>
        </is>
      </c>
      <c r="C192" s="486" t="inlineStr">
        <is>
          <t>Estudios Sociales</t>
        </is>
      </c>
      <c r="D192" s="486" t="n">
        <v>9.59</v>
      </c>
      <c r="E192" s="486" t="n">
        <v>8.99</v>
      </c>
      <c r="F192" s="486" t="n">
        <v>0.6</v>
      </c>
      <c r="G192" s="486" t="inlineStr">
        <is>
          <t>ERROR</t>
        </is>
      </c>
    </row>
    <row r="193" ht="20" customHeight="1" s="225">
      <c r="A193" s="486" t="inlineStr">
        <is>
          <t>4BV</t>
        </is>
      </c>
      <c r="B193" s="486" t="inlineStr">
        <is>
          <t>MORA VILLALBA ARIANA GRACIELA</t>
        </is>
      </c>
      <c r="C193" s="486" t="inlineStr">
        <is>
          <t>Educación Cultural y Artística</t>
        </is>
      </c>
      <c r="D193" s="486" t="n">
        <v>9.51</v>
      </c>
      <c r="E193" s="486" t="n">
        <v>9.140000000000001</v>
      </c>
      <c r="F193" s="486" t="n">
        <v>0.37</v>
      </c>
      <c r="G193" s="486" t="inlineStr">
        <is>
          <t>ERROR</t>
        </is>
      </c>
    </row>
    <row r="194" ht="20" customHeight="1" s="225">
      <c r="A194" s="486" t="inlineStr">
        <is>
          <t>4BV</t>
        </is>
      </c>
      <c r="B194" s="486" t="inlineStr">
        <is>
          <t>MORA VILLALBA ARIANA GRACIELA</t>
        </is>
      </c>
      <c r="C194" s="486" t="inlineStr">
        <is>
          <t>Promedio Final / P. General</t>
        </is>
      </c>
      <c r="D194" s="486" t="n">
        <v>9.550000000000001</v>
      </c>
      <c r="E194" s="486" t="n">
        <v>9.23</v>
      </c>
      <c r="F194" s="486" t="n">
        <v>0.32</v>
      </c>
      <c r="G194" s="486" t="inlineStr">
        <is>
          <t>ERROR</t>
        </is>
      </c>
    </row>
    <row r="195" ht="20" customHeight="1" s="225">
      <c r="A195" s="485" t="inlineStr">
        <is>
          <t>4BV</t>
        </is>
      </c>
      <c r="B195" s="485" t="inlineStr">
        <is>
          <t>MUÑOZ ANDRADE JULIO CRISTHOFER</t>
        </is>
      </c>
      <c r="C195" s="485" t="inlineStr">
        <is>
          <t>SOLO EN DOCENTES</t>
        </is>
      </c>
      <c r="D195" s="485" t="inlineStr">
        <is>
          <t>-</t>
        </is>
      </c>
      <c r="E195" s="485" t="inlineStr">
        <is>
          <t>-</t>
        </is>
      </c>
      <c r="F195" s="485" t="inlineStr">
        <is>
          <t>-</t>
        </is>
      </c>
      <c r="G195" s="485" t="inlineStr">
        <is>
          <t>DESFASE DE NÓMINA</t>
        </is>
      </c>
    </row>
    <row r="196" ht="20" customHeight="1" s="225">
      <c r="A196" s="486" t="inlineStr">
        <is>
          <t>4BV</t>
        </is>
      </c>
      <c r="B196" s="486" t="inlineStr">
        <is>
          <t>PEREZ SINCHI MATIAS FERNANDO</t>
        </is>
      </c>
      <c r="C196" s="486" t="inlineStr">
        <is>
          <t>Estudios Sociales</t>
        </is>
      </c>
      <c r="D196" s="486" t="n">
        <v>8.6</v>
      </c>
      <c r="E196" s="486" t="n">
        <v>8.77</v>
      </c>
      <c r="F196" s="486" t="n">
        <v>0.17</v>
      </c>
      <c r="G196" s="486" t="inlineStr">
        <is>
          <t>ERROR</t>
        </is>
      </c>
    </row>
    <row r="197" ht="20" customHeight="1" s="225">
      <c r="A197" s="486" t="inlineStr">
        <is>
          <t>4BV</t>
        </is>
      </c>
      <c r="B197" s="486" t="inlineStr">
        <is>
          <t>VELIZ PAREDES EMILIA VALENTINA</t>
        </is>
      </c>
      <c r="C197" s="486" t="inlineStr">
        <is>
          <t>Ciencias Naturales</t>
        </is>
      </c>
      <c r="D197" s="486" t="n">
        <v>8.91</v>
      </c>
      <c r="E197" s="486" t="n">
        <v>9.09</v>
      </c>
      <c r="F197" s="486" t="n">
        <v>0.18</v>
      </c>
      <c r="G197" s="486" t="inlineStr">
        <is>
          <t>ERROR</t>
        </is>
      </c>
    </row>
    <row r="198" ht="20" customHeight="1" s="225">
      <c r="A198" s="485" t="inlineStr">
        <is>
          <t>4BV</t>
        </is>
      </c>
      <c r="B198" s="485" t="inlineStr">
        <is>
          <t>ZHUNIC QUITO MATIAS JOSUE</t>
        </is>
      </c>
      <c r="C198" s="485" t="inlineStr">
        <is>
          <t>SOLO EN DOCENTES</t>
        </is>
      </c>
      <c r="D198" s="485" t="inlineStr">
        <is>
          <t>-</t>
        </is>
      </c>
      <c r="E198" s="485" t="inlineStr">
        <is>
          <t>-</t>
        </is>
      </c>
      <c r="F198" s="485" t="inlineStr">
        <is>
          <t>-</t>
        </is>
      </c>
      <c r="G198" s="485" t="inlineStr">
        <is>
          <t>DESFASE DE NÓMINA</t>
        </is>
      </c>
    </row>
    <row r="199" ht="20" customHeight="1" s="225">
      <c r="A199" s="485" t="inlineStr">
        <is>
          <t>4BV</t>
        </is>
      </c>
      <c r="B199" s="485" t="inlineStr">
        <is>
          <t>BANEGAS SIMBAÑA JOSE DARIO</t>
        </is>
      </c>
      <c r="C199" s="485" t="inlineStr">
        <is>
          <t>SOLO EN SISTEMA</t>
        </is>
      </c>
      <c r="D199" s="485" t="inlineStr">
        <is>
          <t>-</t>
        </is>
      </c>
      <c r="E199" s="485" t="inlineStr">
        <is>
          <t>-</t>
        </is>
      </c>
      <c r="F199" s="485" t="inlineStr">
        <is>
          <t>-</t>
        </is>
      </c>
      <c r="G199" s="485" t="inlineStr">
        <is>
          <t>DESFASE DE NÓMINA</t>
        </is>
      </c>
    </row>
    <row r="200" ht="20" customHeight="1" s="225">
      <c r="A200" s="485" t="inlineStr">
        <is>
          <t>4BV</t>
        </is>
      </c>
      <c r="B200" s="485" t="inlineStr">
        <is>
          <t>MUÑOZ ANDRADE JULIO CRISTHOPER</t>
        </is>
      </c>
      <c r="C200" s="485" t="inlineStr">
        <is>
          <t>SOLO EN SISTEMA</t>
        </is>
      </c>
      <c r="D200" s="485" t="inlineStr">
        <is>
          <t>-</t>
        </is>
      </c>
      <c r="E200" s="485" t="inlineStr">
        <is>
          <t>-</t>
        </is>
      </c>
      <c r="F200" s="485" t="inlineStr">
        <is>
          <t>-</t>
        </is>
      </c>
      <c r="G200" s="485" t="inlineStr">
        <is>
          <t>DESFASE DE NÓMINA</t>
        </is>
      </c>
    </row>
    <row r="201" ht="20" customHeight="1" s="225">
      <c r="A201" s="485" t="inlineStr">
        <is>
          <t>4BV</t>
        </is>
      </c>
      <c r="B201" s="485" t="inlineStr">
        <is>
          <t>ZHUNIO QUITO MATIAS JOSUE</t>
        </is>
      </c>
      <c r="C201" s="485" t="inlineStr">
        <is>
          <t>SOLO EN SISTEMA</t>
        </is>
      </c>
      <c r="D201" s="485" t="inlineStr">
        <is>
          <t>-</t>
        </is>
      </c>
      <c r="E201" s="485" t="inlineStr">
        <is>
          <t>-</t>
        </is>
      </c>
      <c r="F201" s="485" t="inlineStr">
        <is>
          <t>-</t>
        </is>
      </c>
      <c r="G201" s="485" t="inlineStr">
        <is>
          <t>DESFASE DE NÓMINA</t>
        </is>
      </c>
    </row>
    <row r="202" ht="20" customHeight="1" s="225">
      <c r="A202" s="486" t="inlineStr">
        <is>
          <t>5AV</t>
        </is>
      </c>
      <c r="B202" s="486" t="inlineStr">
        <is>
          <t>AMENDAÑO CARREÑO ARIANA SOFIA</t>
        </is>
      </c>
      <c r="C202" s="486" t="inlineStr">
        <is>
          <t>Educación Física</t>
        </is>
      </c>
      <c r="D202" s="486" t="n">
        <v>8.970000000000001</v>
      </c>
      <c r="E202" s="486" t="n">
        <v>8.82</v>
      </c>
      <c r="F202" s="486" t="n">
        <v>0.15</v>
      </c>
      <c r="G202" s="486" t="inlineStr">
        <is>
          <t>ERROR</t>
        </is>
      </c>
    </row>
    <row r="203" ht="20" customHeight="1" s="225">
      <c r="A203" s="486" t="inlineStr">
        <is>
          <t>5AV</t>
        </is>
      </c>
      <c r="B203" s="486" t="inlineStr">
        <is>
          <t>ASMAL TORRES SAMANTHA ANAHI</t>
        </is>
      </c>
      <c r="C203" s="486" t="inlineStr">
        <is>
          <t>Educación Física</t>
        </is>
      </c>
      <c r="D203" s="486" t="n">
        <v>9.5</v>
      </c>
      <c r="E203" s="486" t="n">
        <v>9.19</v>
      </c>
      <c r="F203" s="486" t="n">
        <v>0.31</v>
      </c>
      <c r="G203" s="486" t="inlineStr">
        <is>
          <t>ERROR</t>
        </is>
      </c>
    </row>
    <row r="204" ht="20" customHeight="1" s="225">
      <c r="A204" s="486" t="inlineStr">
        <is>
          <t>5AV</t>
        </is>
      </c>
      <c r="B204" s="486" t="inlineStr">
        <is>
          <t>ASMAL TORRES SAMANTHA ANAHI</t>
        </is>
      </c>
      <c r="C204" s="486" t="inlineStr">
        <is>
          <t>Promedio Final / P. General</t>
        </is>
      </c>
      <c r="D204" s="486" t="n">
        <v>9.32</v>
      </c>
      <c r="E204" s="486" t="n">
        <v>9.279999999999999</v>
      </c>
      <c r="F204" s="486" t="n">
        <v>0.04</v>
      </c>
      <c r="G204" s="486" t="inlineStr">
        <is>
          <t>ERROR</t>
        </is>
      </c>
    </row>
    <row r="205" ht="20" customHeight="1" s="225">
      <c r="A205" s="486" t="inlineStr">
        <is>
          <t>5AV</t>
        </is>
      </c>
      <c r="B205" s="486" t="inlineStr">
        <is>
          <t>BACUILIMA SANMARTIN ERIKA ALEJANDRA</t>
        </is>
      </c>
      <c r="C205" s="486" t="inlineStr">
        <is>
          <t>Inglés</t>
        </is>
      </c>
      <c r="D205" s="486" t="n">
        <v>8.99</v>
      </c>
      <c r="E205" s="486" t="n">
        <v>9.19</v>
      </c>
      <c r="F205" s="486" t="n">
        <v>0.2</v>
      </c>
      <c r="G205" s="486" t="inlineStr">
        <is>
          <t>ERROR</t>
        </is>
      </c>
    </row>
    <row r="206" ht="20" customHeight="1" s="225">
      <c r="A206" s="486" t="inlineStr">
        <is>
          <t>5AV</t>
        </is>
      </c>
      <c r="B206" s="486" t="inlineStr">
        <is>
          <t>BACUILIMA SANMARTIN ERIKA ALEJANDRA</t>
        </is>
      </c>
      <c r="C206" s="486" t="inlineStr">
        <is>
          <t>Educación Física</t>
        </is>
      </c>
      <c r="D206" s="486" t="n">
        <v>9.949999999999999</v>
      </c>
      <c r="E206" s="486" t="n">
        <v>9.85</v>
      </c>
      <c r="F206" s="486" t="n">
        <v>0.1</v>
      </c>
      <c r="G206" s="486" t="inlineStr">
        <is>
          <t>ERROR</t>
        </is>
      </c>
    </row>
    <row r="207" ht="20" customHeight="1" s="225">
      <c r="A207" s="486" t="inlineStr">
        <is>
          <t>5AV</t>
        </is>
      </c>
      <c r="B207" s="486" t="inlineStr">
        <is>
          <t>BERMEO MOROCHO MARIA JOSE</t>
        </is>
      </c>
      <c r="C207" s="486" t="inlineStr">
        <is>
          <t>Inglés</t>
        </is>
      </c>
      <c r="D207" s="486" t="n">
        <v>7.85</v>
      </c>
      <c r="E207" s="486" t="n">
        <v>7.59</v>
      </c>
      <c r="F207" s="486" t="n">
        <v>0.26</v>
      </c>
      <c r="G207" s="486" t="inlineStr">
        <is>
          <t>ERROR</t>
        </is>
      </c>
    </row>
    <row r="208" ht="20" customHeight="1" s="225">
      <c r="A208" s="486" t="inlineStr">
        <is>
          <t>5AV</t>
        </is>
      </c>
      <c r="B208" s="486" t="inlineStr">
        <is>
          <t>BERMEO MOROCHO MARIA JOSE</t>
        </is>
      </c>
      <c r="C208" s="486" t="inlineStr">
        <is>
          <t>Educación Física</t>
        </is>
      </c>
      <c r="D208" s="486" t="n">
        <v>8.41</v>
      </c>
      <c r="E208" s="486" t="n">
        <v>8.23</v>
      </c>
      <c r="F208" s="486" t="n">
        <v>0.18</v>
      </c>
      <c r="G208" s="486" t="inlineStr">
        <is>
          <t>ERROR</t>
        </is>
      </c>
    </row>
    <row r="209" ht="20" customHeight="1" s="225">
      <c r="A209" s="486" t="inlineStr">
        <is>
          <t>5AV</t>
        </is>
      </c>
      <c r="B209" s="486" t="inlineStr">
        <is>
          <t>BERMEO MOROCHO MARIA JOSE</t>
        </is>
      </c>
      <c r="C209" s="486" t="inlineStr">
        <is>
          <t>Promedio Final / P. General</t>
        </is>
      </c>
      <c r="D209" s="486" t="n">
        <v>8.52</v>
      </c>
      <c r="E209" s="486" t="n">
        <v>8.449999999999999</v>
      </c>
      <c r="F209" s="486" t="n">
        <v>0.07000000000000001</v>
      </c>
      <c r="G209" s="486" t="inlineStr">
        <is>
          <t>ERROR</t>
        </is>
      </c>
    </row>
    <row r="210" ht="20" customHeight="1" s="225">
      <c r="A210" s="486" t="inlineStr">
        <is>
          <t>5AV</t>
        </is>
      </c>
      <c r="B210" s="486" t="inlineStr">
        <is>
          <t>BRITO ASTUDILLO HAYDEE VALENTINA</t>
        </is>
      </c>
      <c r="C210" s="486" t="inlineStr">
        <is>
          <t>Inglés</t>
        </is>
      </c>
      <c r="D210" s="486" t="n">
        <v>9.09</v>
      </c>
      <c r="E210" s="486" t="n">
        <v>9.17</v>
      </c>
      <c r="F210" s="486" t="n">
        <v>0.08</v>
      </c>
      <c r="G210" s="486" t="inlineStr">
        <is>
          <t>ERROR</t>
        </is>
      </c>
    </row>
    <row r="211" ht="20" customHeight="1" s="225">
      <c r="A211" s="486" t="inlineStr">
        <is>
          <t>5AV</t>
        </is>
      </c>
      <c r="B211" s="486" t="inlineStr">
        <is>
          <t>BRITO ASTUDILLO HAYDEE VALENTINA</t>
        </is>
      </c>
      <c r="C211" s="486" t="inlineStr">
        <is>
          <t>Educación Física</t>
        </is>
      </c>
      <c r="D211" s="486" t="n">
        <v>9.119999999999999</v>
      </c>
      <c r="E211" s="486" t="n">
        <v>8.890000000000001</v>
      </c>
      <c r="F211" s="486" t="n">
        <v>0.23</v>
      </c>
      <c r="G211" s="486" t="inlineStr">
        <is>
          <t>ERROR</t>
        </is>
      </c>
    </row>
    <row r="212" ht="20" customHeight="1" s="225">
      <c r="A212" s="486" t="inlineStr">
        <is>
          <t>5AV</t>
        </is>
      </c>
      <c r="B212" s="486" t="inlineStr">
        <is>
          <t>BRITO ASTUDILLO HAYDEE VALENTINA</t>
        </is>
      </c>
      <c r="C212" s="486" t="inlineStr">
        <is>
          <t>Promedio Final / P. General</t>
        </is>
      </c>
      <c r="D212" s="486" t="n">
        <v>9.19</v>
      </c>
      <c r="E212" s="486" t="n">
        <v>9.16</v>
      </c>
      <c r="F212" s="486" t="n">
        <v>0.03</v>
      </c>
      <c r="G212" s="486" t="inlineStr">
        <is>
          <t>ERROR</t>
        </is>
      </c>
    </row>
    <row r="213" ht="20" customHeight="1" s="225">
      <c r="A213" s="486" t="inlineStr">
        <is>
          <t>5AV</t>
        </is>
      </c>
      <c r="B213" s="486" t="inlineStr">
        <is>
          <t>CABRERA ARIAS ANDERSON PATRICIO</t>
        </is>
      </c>
      <c r="C213" s="486" t="inlineStr">
        <is>
          <t>Inglés</t>
        </is>
      </c>
      <c r="D213" s="486" t="n">
        <v>8.9</v>
      </c>
      <c r="E213" s="486" t="n">
        <v>8.76</v>
      </c>
      <c r="F213" s="486" t="n">
        <v>0.14</v>
      </c>
      <c r="G213" s="486" t="inlineStr">
        <is>
          <t>ERROR</t>
        </is>
      </c>
    </row>
    <row r="214" ht="20" customHeight="1" s="225">
      <c r="A214" s="486" t="inlineStr">
        <is>
          <t>5AV</t>
        </is>
      </c>
      <c r="B214" s="486" t="inlineStr">
        <is>
          <t>CABRERA ARIAS ANDERSON PATRICIO</t>
        </is>
      </c>
      <c r="C214" s="486" t="inlineStr">
        <is>
          <t>Educación Física</t>
        </is>
      </c>
      <c r="D214" s="486" t="n">
        <v>8.57</v>
      </c>
      <c r="E214" s="486" t="n">
        <v>8.380000000000001</v>
      </c>
      <c r="F214" s="486" t="n">
        <v>0.19</v>
      </c>
      <c r="G214" s="486" t="inlineStr">
        <is>
          <t>ERROR</t>
        </is>
      </c>
    </row>
    <row r="215" ht="20" customHeight="1" s="225">
      <c r="A215" s="486" t="inlineStr">
        <is>
          <t>5AV</t>
        </is>
      </c>
      <c r="B215" s="486" t="inlineStr">
        <is>
          <t>CABRERA ARIAS ANDERSON PATRICIO</t>
        </is>
      </c>
      <c r="C215" s="486" t="inlineStr">
        <is>
          <t>Promedio Final / P. General</t>
        </is>
      </c>
      <c r="D215" s="486" t="n">
        <v>8.890000000000001</v>
      </c>
      <c r="E215" s="486" t="n">
        <v>8.84</v>
      </c>
      <c r="F215" s="486" t="n">
        <v>0.05</v>
      </c>
      <c r="G215" s="486" t="inlineStr">
        <is>
          <t>ERROR</t>
        </is>
      </c>
    </row>
    <row r="216" ht="20" customHeight="1" s="225">
      <c r="A216" s="486" t="inlineStr">
        <is>
          <t>5AV</t>
        </is>
      </c>
      <c r="B216" s="486" t="inlineStr">
        <is>
          <t>CAMPOVERDE SALAMEA SOFIA VALENTINA</t>
        </is>
      </c>
      <c r="C216" s="486" t="inlineStr">
        <is>
          <t>Inglés</t>
        </is>
      </c>
      <c r="D216" s="486" t="n">
        <v>9.07</v>
      </c>
      <c r="E216" s="486" t="n">
        <v>8.880000000000001</v>
      </c>
      <c r="F216" s="486" t="n">
        <v>0.19</v>
      </c>
      <c r="G216" s="486" t="inlineStr">
        <is>
          <t>ERROR</t>
        </is>
      </c>
    </row>
    <row r="217" ht="20" customHeight="1" s="225">
      <c r="A217" s="486" t="inlineStr">
        <is>
          <t>5AV</t>
        </is>
      </c>
      <c r="B217" s="486" t="inlineStr">
        <is>
          <t>CAMPOVERDE SALAMEA SOFIA VALENTINA</t>
        </is>
      </c>
      <c r="C217" s="486" t="inlineStr">
        <is>
          <t>Educación Física</t>
        </is>
      </c>
      <c r="D217" s="486" t="n">
        <v>9.34</v>
      </c>
      <c r="E217" s="486" t="n">
        <v>9.07</v>
      </c>
      <c r="F217" s="486" t="n">
        <v>0.27</v>
      </c>
      <c r="G217" s="486" t="inlineStr">
        <is>
          <t>ERROR</t>
        </is>
      </c>
    </row>
    <row r="218" ht="20" customHeight="1" s="225">
      <c r="A218" s="486" t="inlineStr">
        <is>
          <t>5AV</t>
        </is>
      </c>
      <c r="B218" s="486" t="inlineStr">
        <is>
          <t>CAMPOVERDE SALAMEA SOFIA VALENTINA</t>
        </is>
      </c>
      <c r="C218" s="486" t="inlineStr">
        <is>
          <t>Promedio Final / P. General</t>
        </is>
      </c>
      <c r="D218" s="486" t="n">
        <v>9.19</v>
      </c>
      <c r="E218" s="486" t="n">
        <v>9.119999999999999</v>
      </c>
      <c r="F218" s="486" t="n">
        <v>0.07000000000000001</v>
      </c>
      <c r="G218" s="486" t="inlineStr">
        <is>
          <t>ERROR</t>
        </is>
      </c>
    </row>
    <row r="219" ht="20" customHeight="1" s="225">
      <c r="A219" s="486" t="inlineStr">
        <is>
          <t>5AV</t>
        </is>
      </c>
      <c r="B219" s="486" t="inlineStr">
        <is>
          <t>CARDENAS NIEMES MERCEDES ESTEFANIA</t>
        </is>
      </c>
      <c r="C219" s="486" t="inlineStr">
        <is>
          <t>Educación Física</t>
        </is>
      </c>
      <c r="D219" s="486" t="n">
        <v>9.550000000000001</v>
      </c>
      <c r="E219" s="486" t="n">
        <v>9.27</v>
      </c>
      <c r="F219" s="486" t="n">
        <v>0.28</v>
      </c>
      <c r="G219" s="486" t="inlineStr">
        <is>
          <t>ERROR</t>
        </is>
      </c>
    </row>
    <row r="220" ht="20" customHeight="1" s="225">
      <c r="A220" s="486" t="inlineStr">
        <is>
          <t>5AV</t>
        </is>
      </c>
      <c r="B220" s="486" t="inlineStr">
        <is>
          <t>CARDENAS NIEMES MERCEDES ESTEFANIA</t>
        </is>
      </c>
      <c r="C220" s="486" t="inlineStr">
        <is>
          <t>Promedio Final / P. General</t>
        </is>
      </c>
      <c r="D220" s="486" t="n">
        <v>9.16</v>
      </c>
      <c r="E220" s="486" t="n">
        <v>9.109999999999999</v>
      </c>
      <c r="F220" s="486" t="n">
        <v>0.05</v>
      </c>
      <c r="G220" s="486" t="inlineStr">
        <is>
          <t>ERROR</t>
        </is>
      </c>
    </row>
    <row r="221" ht="20" customHeight="1" s="225">
      <c r="A221" s="486" t="inlineStr">
        <is>
          <t>5AV</t>
        </is>
      </c>
      <c r="B221" s="486" t="inlineStr">
        <is>
          <t>CEDEÑO VALENTIN DECNY DANIEL</t>
        </is>
      </c>
      <c r="C221" s="486" t="inlineStr">
        <is>
          <t>Inglés</t>
        </is>
      </c>
      <c r="D221" s="486" t="n">
        <v>8.34</v>
      </c>
      <c r="E221" s="486" t="n">
        <v>8.26</v>
      </c>
      <c r="F221" s="486" t="n">
        <v>0.08</v>
      </c>
      <c r="G221" s="486" t="inlineStr">
        <is>
          <t>ERROR</t>
        </is>
      </c>
    </row>
    <row r="222" ht="20" customHeight="1" s="225">
      <c r="A222" s="486" t="inlineStr">
        <is>
          <t>5AV</t>
        </is>
      </c>
      <c r="B222" s="486" t="inlineStr">
        <is>
          <t>CEDEÑO VALENTIN DECNY DANIEL</t>
        </is>
      </c>
      <c r="C222" s="486" t="inlineStr">
        <is>
          <t>Educación Física</t>
        </is>
      </c>
      <c r="D222" s="486" t="n">
        <v>9.24</v>
      </c>
      <c r="E222" s="486" t="n">
        <v>8.93</v>
      </c>
      <c r="F222" s="486" t="n">
        <v>0.31</v>
      </c>
      <c r="G222" s="486" t="inlineStr">
        <is>
          <t>ERROR</t>
        </is>
      </c>
    </row>
    <row r="223" ht="20" customHeight="1" s="225">
      <c r="A223" s="486" t="inlineStr">
        <is>
          <t>5AV</t>
        </is>
      </c>
      <c r="B223" s="486" t="inlineStr">
        <is>
          <t>CEDEÑO VALENTIN DECNY DANIEL</t>
        </is>
      </c>
      <c r="C223" s="486" t="inlineStr">
        <is>
          <t>Promedio Final / P. General</t>
        </is>
      </c>
      <c r="D223" s="486" t="n">
        <v>8.869999999999999</v>
      </c>
      <c r="E223" s="486" t="n">
        <v>8.81</v>
      </c>
      <c r="F223" s="486" t="n">
        <v>0.06</v>
      </c>
      <c r="G223" s="486" t="inlineStr">
        <is>
          <t>ERROR</t>
        </is>
      </c>
    </row>
    <row r="224" ht="20" customHeight="1" s="225">
      <c r="A224" s="485" t="inlineStr">
        <is>
          <t>5AV</t>
        </is>
      </c>
      <c r="B224" s="485" t="inlineStr">
        <is>
          <t>CHILLIGALLI MALLA SOFIA ALEJANDRA</t>
        </is>
      </c>
      <c r="C224" s="485" t="inlineStr">
        <is>
          <t>SOLO EN DOCENTES</t>
        </is>
      </c>
      <c r="D224" s="485" t="inlineStr">
        <is>
          <t>-</t>
        </is>
      </c>
      <c r="E224" s="485" t="inlineStr">
        <is>
          <t>-</t>
        </is>
      </c>
      <c r="F224" s="485" t="inlineStr">
        <is>
          <t>-</t>
        </is>
      </c>
      <c r="G224" s="485" t="inlineStr">
        <is>
          <t>DESFASE DE NÓMINA</t>
        </is>
      </c>
    </row>
    <row r="225" ht="20" customHeight="1" s="225">
      <c r="A225" s="486" t="inlineStr">
        <is>
          <t>5AV</t>
        </is>
      </c>
      <c r="B225" s="486" t="inlineStr">
        <is>
          <t>CORONEL LOZADA MAYRA VALENTINA</t>
        </is>
      </c>
      <c r="C225" s="486" t="inlineStr">
        <is>
          <t>Inglés</t>
        </is>
      </c>
      <c r="D225" s="486" t="n">
        <v>8</v>
      </c>
      <c r="E225" s="486" t="n">
        <v>8.109999999999999</v>
      </c>
      <c r="F225" s="486" t="n">
        <v>0.11</v>
      </c>
      <c r="G225" s="486" t="inlineStr">
        <is>
          <t>ERROR</t>
        </is>
      </c>
    </row>
    <row r="226" ht="20" customHeight="1" s="225">
      <c r="A226" s="486" t="inlineStr">
        <is>
          <t>5AV</t>
        </is>
      </c>
      <c r="B226" s="486" t="inlineStr">
        <is>
          <t>CORONEL LOZADA MAYRA VALENTINA</t>
        </is>
      </c>
      <c r="C226" s="486" t="inlineStr">
        <is>
          <t>Educación Física</t>
        </is>
      </c>
      <c r="D226" s="486" t="n">
        <v>8.19</v>
      </c>
      <c r="E226" s="486" t="n">
        <v>7.99</v>
      </c>
      <c r="F226" s="486" t="n">
        <v>0.2</v>
      </c>
      <c r="G226" s="486" t="inlineStr">
        <is>
          <t>ERROR</t>
        </is>
      </c>
    </row>
    <row r="227" ht="20" customHeight="1" s="225">
      <c r="A227" s="486" t="inlineStr">
        <is>
          <t>5AV</t>
        </is>
      </c>
      <c r="B227" s="486" t="inlineStr">
        <is>
          <t>GUANUQUIZA CARCHIPULLA GUADALUPE DEL ROCIO</t>
        </is>
      </c>
      <c r="C227" s="486" t="inlineStr">
        <is>
          <t>Educación Física</t>
        </is>
      </c>
      <c r="D227" s="486" t="n">
        <v>9.029999999999999</v>
      </c>
      <c r="E227" s="486" t="n">
        <v>8.92</v>
      </c>
      <c r="F227" s="486" t="n">
        <v>0.11</v>
      </c>
      <c r="G227" s="486" t="inlineStr">
        <is>
          <t>ERROR</t>
        </is>
      </c>
    </row>
    <row r="228" ht="20" customHeight="1" s="225">
      <c r="A228" s="486" t="inlineStr">
        <is>
          <t>5AV</t>
        </is>
      </c>
      <c r="B228" s="486" t="inlineStr">
        <is>
          <t>GUIRACOCHA QUITO CARLOS JHOEL</t>
        </is>
      </c>
      <c r="C228" s="486" t="inlineStr">
        <is>
          <t>Educación Física</t>
        </is>
      </c>
      <c r="D228" s="486" t="n">
        <v>8.98</v>
      </c>
      <c r="E228" s="486" t="n">
        <v>8.57</v>
      </c>
      <c r="F228" s="486" t="n">
        <v>0.41</v>
      </c>
      <c r="G228" s="486" t="inlineStr">
        <is>
          <t>ERROR</t>
        </is>
      </c>
    </row>
    <row r="229" ht="20" customHeight="1" s="225">
      <c r="A229" s="486" t="inlineStr">
        <is>
          <t>5AV</t>
        </is>
      </c>
      <c r="B229" s="486" t="inlineStr">
        <is>
          <t>GUIRACOCHA QUITO CARLOS JHOEL</t>
        </is>
      </c>
      <c r="C229" s="486" t="inlineStr">
        <is>
          <t>Promedio Final / P. General</t>
        </is>
      </c>
      <c r="D229" s="486" t="n">
        <v>9</v>
      </c>
      <c r="E229" s="486" t="n">
        <v>8.94</v>
      </c>
      <c r="F229" s="486" t="n">
        <v>0.06</v>
      </c>
      <c r="G229" s="486" t="inlineStr">
        <is>
          <t>ERROR</t>
        </is>
      </c>
    </row>
    <row r="230" ht="20" customHeight="1" s="225">
      <c r="A230" s="486" t="inlineStr">
        <is>
          <t>5AV</t>
        </is>
      </c>
      <c r="B230" s="486" t="inlineStr">
        <is>
          <t>LEMA SATIAN ANTHONY GABRIEL</t>
        </is>
      </c>
      <c r="C230" s="486" t="inlineStr">
        <is>
          <t>Educación Física</t>
        </is>
      </c>
      <c r="D230" s="486" t="n">
        <v>9.59</v>
      </c>
      <c r="E230" s="486" t="n">
        <v>9.27</v>
      </c>
      <c r="F230" s="486" t="n">
        <v>0.32</v>
      </c>
      <c r="G230" s="486" t="inlineStr">
        <is>
          <t>ERROR</t>
        </is>
      </c>
    </row>
    <row r="231" ht="20" customHeight="1" s="225">
      <c r="A231" s="486" t="inlineStr">
        <is>
          <t>5AV</t>
        </is>
      </c>
      <c r="B231" s="486" t="inlineStr">
        <is>
          <t>LEMA SATIAN ANTHONY GABRIEL</t>
        </is>
      </c>
      <c r="C231" s="486" t="inlineStr">
        <is>
          <t>Promedio Final / P. General</t>
        </is>
      </c>
      <c r="D231" s="486" t="n">
        <v>9.390000000000001</v>
      </c>
      <c r="E231" s="486" t="n">
        <v>9.34</v>
      </c>
      <c r="F231" s="486" t="n">
        <v>0.05</v>
      </c>
      <c r="G231" s="486" t="inlineStr">
        <is>
          <t>ERROR</t>
        </is>
      </c>
    </row>
    <row r="232" ht="20" customHeight="1" s="225">
      <c r="A232" s="486" t="inlineStr">
        <is>
          <t>5AV</t>
        </is>
      </c>
      <c r="B232" s="486" t="inlineStr">
        <is>
          <t>LLAPA BUESTAN EMILY YULEISY</t>
        </is>
      </c>
      <c r="C232" s="486" t="inlineStr">
        <is>
          <t>Inglés</t>
        </is>
      </c>
      <c r="D232" s="486" t="n">
        <v>8.890000000000001</v>
      </c>
      <c r="E232" s="486" t="n">
        <v>9</v>
      </c>
      <c r="F232" s="486" t="n">
        <v>0.11</v>
      </c>
      <c r="G232" s="486" t="inlineStr">
        <is>
          <t>ERROR</t>
        </is>
      </c>
    </row>
    <row r="233" ht="20" customHeight="1" s="225">
      <c r="A233" s="486" t="inlineStr">
        <is>
          <t>5AV</t>
        </is>
      </c>
      <c r="B233" s="486" t="inlineStr">
        <is>
          <t>LLAPA BUESTAN EMILY YULEISY</t>
        </is>
      </c>
      <c r="C233" s="486" t="inlineStr">
        <is>
          <t>Educación Física</t>
        </is>
      </c>
      <c r="D233" s="486" t="n">
        <v>9.51</v>
      </c>
      <c r="E233" s="486" t="n">
        <v>9.27</v>
      </c>
      <c r="F233" s="486" t="n">
        <v>0.24</v>
      </c>
      <c r="G233" s="486" t="inlineStr">
        <is>
          <t>ERROR</t>
        </is>
      </c>
    </row>
    <row r="234" ht="20" customHeight="1" s="225">
      <c r="A234" s="486" t="inlineStr">
        <is>
          <t>5AV</t>
        </is>
      </c>
      <c r="B234" s="486" t="inlineStr">
        <is>
          <t>LONDA AGUDO ERICK JOSE</t>
        </is>
      </c>
      <c r="C234" s="486" t="inlineStr">
        <is>
          <t>Inglés</t>
        </is>
      </c>
      <c r="D234" s="486" t="n">
        <v>9.35</v>
      </c>
      <c r="E234" s="486" t="n">
        <v>9.32</v>
      </c>
      <c r="F234" s="486" t="n">
        <v>0.03</v>
      </c>
      <c r="G234" s="486" t="inlineStr">
        <is>
          <t>ERROR</t>
        </is>
      </c>
    </row>
    <row r="235" ht="20" customHeight="1" s="225">
      <c r="A235" s="486" t="inlineStr">
        <is>
          <t>5AV</t>
        </is>
      </c>
      <c r="B235" s="486" t="inlineStr">
        <is>
          <t>LONDA AGUDO ERICK JOSE</t>
        </is>
      </c>
      <c r="C235" s="486" t="inlineStr">
        <is>
          <t>Educación Física</t>
        </is>
      </c>
      <c r="D235" s="486" t="n">
        <v>9.630000000000001</v>
      </c>
      <c r="E235" s="486" t="n">
        <v>9.33</v>
      </c>
      <c r="F235" s="486" t="n">
        <v>0.3</v>
      </c>
      <c r="G235" s="486" t="inlineStr">
        <is>
          <t>ERROR</t>
        </is>
      </c>
    </row>
    <row r="236" ht="20" customHeight="1" s="225">
      <c r="A236" s="486" t="inlineStr">
        <is>
          <t>5AV</t>
        </is>
      </c>
      <c r="B236" s="486" t="inlineStr">
        <is>
          <t>LONDA AGUDO ERICK JOSE</t>
        </is>
      </c>
      <c r="C236" s="486" t="inlineStr">
        <is>
          <t>Promedio Final / P. General</t>
        </is>
      </c>
      <c r="D236" s="486" t="n">
        <v>9.550000000000001</v>
      </c>
      <c r="E236" s="486" t="n">
        <v>9.49</v>
      </c>
      <c r="F236" s="486" t="n">
        <v>0.06</v>
      </c>
      <c r="G236" s="486" t="inlineStr">
        <is>
          <t>ERROR</t>
        </is>
      </c>
    </row>
    <row r="237" ht="20" customHeight="1" s="225">
      <c r="A237" s="486" t="inlineStr">
        <is>
          <t>5AV</t>
        </is>
      </c>
      <c r="B237" s="486" t="inlineStr">
        <is>
          <t>LOPEZ CACERES NICOLE ELIZABETH</t>
        </is>
      </c>
      <c r="C237" s="486" t="inlineStr">
        <is>
          <t>Matemática</t>
        </is>
      </c>
      <c r="D237" s="486" t="n">
        <v>8.359999999999999</v>
      </c>
      <c r="E237" s="486" t="n">
        <v>8.49</v>
      </c>
      <c r="F237" s="486" t="n">
        <v>0.13</v>
      </c>
      <c r="G237" s="486" t="inlineStr">
        <is>
          <t>ERROR</t>
        </is>
      </c>
    </row>
    <row r="238" ht="20" customHeight="1" s="225">
      <c r="A238" s="486" t="inlineStr">
        <is>
          <t>5AV</t>
        </is>
      </c>
      <c r="B238" s="486" t="inlineStr">
        <is>
          <t>LOPEZ CACERES NICOLE ELIZABETH</t>
        </is>
      </c>
      <c r="C238" s="486" t="inlineStr">
        <is>
          <t>Inglés</t>
        </is>
      </c>
      <c r="D238" s="486" t="n">
        <v>8.58</v>
      </c>
      <c r="E238" s="486" t="n">
        <v>8.4</v>
      </c>
      <c r="F238" s="486" t="n">
        <v>0.18</v>
      </c>
      <c r="G238" s="486" t="inlineStr">
        <is>
          <t>ERROR</t>
        </is>
      </c>
    </row>
    <row r="239" ht="20" customHeight="1" s="225">
      <c r="A239" s="486" t="inlineStr">
        <is>
          <t>5AV</t>
        </is>
      </c>
      <c r="B239" s="486" t="inlineStr">
        <is>
          <t>LOPEZ CACERES NICOLE ELIZABETH</t>
        </is>
      </c>
      <c r="C239" s="486" t="inlineStr">
        <is>
          <t>Educación Física</t>
        </is>
      </c>
      <c r="D239" s="486" t="n">
        <v>8.77</v>
      </c>
      <c r="E239" s="486" t="n">
        <v>8.609999999999999</v>
      </c>
      <c r="F239" s="486" t="n">
        <v>0.16</v>
      </c>
      <c r="G239" s="486" t="inlineStr">
        <is>
          <t>ERROR</t>
        </is>
      </c>
    </row>
    <row r="240" ht="20" customHeight="1" s="225">
      <c r="A240" s="486" t="inlineStr">
        <is>
          <t>5AV</t>
        </is>
      </c>
      <c r="B240" s="486" t="inlineStr">
        <is>
          <t>LOPEZ CACERES NICOLE ELIZABETH</t>
        </is>
      </c>
      <c r="C240" s="486" t="inlineStr">
        <is>
          <t>Promedio Final / P. General</t>
        </is>
      </c>
      <c r="D240" s="486" t="n">
        <v>8.619999999999999</v>
      </c>
      <c r="E240" s="486" t="n">
        <v>8.58</v>
      </c>
      <c r="F240" s="486" t="n">
        <v>0.04</v>
      </c>
      <c r="G240" s="486" t="inlineStr">
        <is>
          <t>ERROR</t>
        </is>
      </c>
    </row>
    <row r="241" ht="20" customHeight="1" s="225">
      <c r="A241" s="486" t="inlineStr">
        <is>
          <t>5AV</t>
        </is>
      </c>
      <c r="B241" s="486" t="inlineStr">
        <is>
          <t>MAYANCELA ROMERO BORIS ANDRES</t>
        </is>
      </c>
      <c r="C241" s="486" t="inlineStr">
        <is>
          <t>Inglés</t>
        </is>
      </c>
      <c r="D241" s="486" t="n">
        <v>7.86</v>
      </c>
      <c r="E241" s="486" t="n">
        <v>7.66</v>
      </c>
      <c r="F241" s="486" t="n">
        <v>0.2</v>
      </c>
      <c r="G241" s="486" t="inlineStr">
        <is>
          <t>ERROR</t>
        </is>
      </c>
    </row>
    <row r="242" ht="20" customHeight="1" s="225">
      <c r="A242" s="486" t="inlineStr">
        <is>
          <t>5AV</t>
        </is>
      </c>
      <c r="B242" s="486" t="inlineStr">
        <is>
          <t>MAYANCELA ROMERO BORIS ANDRES</t>
        </is>
      </c>
      <c r="C242" s="486" t="inlineStr">
        <is>
          <t>Educación Física</t>
        </is>
      </c>
      <c r="D242" s="486" t="n">
        <v>8.859999999999999</v>
      </c>
      <c r="E242" s="486" t="n">
        <v>8.5</v>
      </c>
      <c r="F242" s="486" t="n">
        <v>0.36</v>
      </c>
      <c r="G242" s="486" t="inlineStr">
        <is>
          <t>ERROR</t>
        </is>
      </c>
    </row>
    <row r="243" ht="20" customHeight="1" s="225">
      <c r="A243" s="486" t="inlineStr">
        <is>
          <t>5AV</t>
        </is>
      </c>
      <c r="B243" s="486" t="inlineStr">
        <is>
          <t>MAYANCELA ROMERO BORIS ANDRES</t>
        </is>
      </c>
      <c r="C243" s="486" t="inlineStr">
        <is>
          <t>Promedio Final / P. General</t>
        </is>
      </c>
      <c r="D243" s="486" t="n">
        <v>8.710000000000001</v>
      </c>
      <c r="E243" s="486" t="n">
        <v>8.619999999999999</v>
      </c>
      <c r="F243" s="486" t="n">
        <v>0.09</v>
      </c>
      <c r="G243" s="486" t="inlineStr">
        <is>
          <t>ERROR</t>
        </is>
      </c>
    </row>
    <row r="244" ht="20" customHeight="1" s="225">
      <c r="A244" s="486" t="inlineStr">
        <is>
          <t>5AV</t>
        </is>
      </c>
      <c r="B244" s="486" t="inlineStr">
        <is>
          <t>MAZA FERNANDEZ MAYCOL ALEJANDRO</t>
        </is>
      </c>
      <c r="C244" s="486" t="inlineStr">
        <is>
          <t>Inglés</t>
        </is>
      </c>
      <c r="D244" s="486" t="n">
        <v>7.8</v>
      </c>
      <c r="E244" s="486" t="n">
        <v>7.71</v>
      </c>
      <c r="F244" s="486" t="n">
        <v>0.09</v>
      </c>
      <c r="G244" s="486" t="inlineStr">
        <is>
          <t>ERROR</t>
        </is>
      </c>
    </row>
    <row r="245" ht="20" customHeight="1" s="225">
      <c r="A245" s="486" t="inlineStr">
        <is>
          <t>5AV</t>
        </is>
      </c>
      <c r="B245" s="486" t="inlineStr">
        <is>
          <t>MAZA FERNANDEZ MAYCOL ALEJANDRO</t>
        </is>
      </c>
      <c r="C245" s="486" t="inlineStr">
        <is>
          <t>Educación Física</t>
        </is>
      </c>
      <c r="D245" s="486" t="n">
        <v>8.720000000000001</v>
      </c>
      <c r="E245" s="486" t="n">
        <v>8.550000000000001</v>
      </c>
      <c r="F245" s="486" t="n">
        <v>0.17</v>
      </c>
      <c r="G245" s="486" t="inlineStr">
        <is>
          <t>ERROR</t>
        </is>
      </c>
    </row>
    <row r="246" ht="20" customHeight="1" s="225">
      <c r="A246" s="486" t="inlineStr">
        <is>
          <t>5AV</t>
        </is>
      </c>
      <c r="B246" s="486" t="inlineStr">
        <is>
          <t>MAZA FERNANDEZ MAYCOL ALEJANDRO</t>
        </is>
      </c>
      <c r="C246" s="486" t="inlineStr">
        <is>
          <t>Promedio Final / P. General</t>
        </is>
      </c>
      <c r="D246" s="486" t="n">
        <v>8.550000000000001</v>
      </c>
      <c r="E246" s="486" t="n">
        <v>8.51</v>
      </c>
      <c r="F246" s="486" t="n">
        <v>0.04</v>
      </c>
      <c r="G246" s="486" t="inlineStr">
        <is>
          <t>ERROR</t>
        </is>
      </c>
    </row>
    <row r="247" ht="20" customHeight="1" s="225">
      <c r="A247" s="486" t="inlineStr">
        <is>
          <t>5AV</t>
        </is>
      </c>
      <c r="B247" s="486" t="inlineStr">
        <is>
          <t>MEJIA OTAVALO MAITE VANESA</t>
        </is>
      </c>
      <c r="C247" s="486" t="inlineStr">
        <is>
          <t>Inglés</t>
        </is>
      </c>
      <c r="D247" s="486" t="n">
        <v>9</v>
      </c>
      <c r="E247" s="486" t="n">
        <v>8.84</v>
      </c>
      <c r="F247" s="486" t="n">
        <v>0.16</v>
      </c>
      <c r="G247" s="486" t="inlineStr">
        <is>
          <t>ERROR</t>
        </is>
      </c>
    </row>
    <row r="248" ht="20" customHeight="1" s="225">
      <c r="A248" s="486" t="inlineStr">
        <is>
          <t>5AV</t>
        </is>
      </c>
      <c r="B248" s="486" t="inlineStr">
        <is>
          <t>MEJIA OTAVALO MAITE VANESA</t>
        </is>
      </c>
      <c r="C248" s="486" t="inlineStr">
        <is>
          <t>Educación Física</t>
        </is>
      </c>
      <c r="D248" s="486" t="n">
        <v>9.220000000000001</v>
      </c>
      <c r="E248" s="486" t="n">
        <v>8.800000000000001</v>
      </c>
      <c r="F248" s="486" t="n">
        <v>0.42</v>
      </c>
      <c r="G248" s="486" t="inlineStr">
        <is>
          <t>ERROR</t>
        </is>
      </c>
    </row>
    <row r="249" ht="20" customHeight="1" s="225">
      <c r="A249" s="486" t="inlineStr">
        <is>
          <t>5AV</t>
        </is>
      </c>
      <c r="B249" s="486" t="inlineStr">
        <is>
          <t>MEJIA OTAVALO MAITE VANESA</t>
        </is>
      </c>
      <c r="C249" s="486" t="inlineStr">
        <is>
          <t>Promedio Final / P. General</t>
        </is>
      </c>
      <c r="D249" s="486" t="n">
        <v>9.09</v>
      </c>
      <c r="E249" s="486" t="n">
        <v>9</v>
      </c>
      <c r="F249" s="486" t="n">
        <v>0.09</v>
      </c>
      <c r="G249" s="486" t="inlineStr">
        <is>
          <t>ERROR</t>
        </is>
      </c>
    </row>
    <row r="250" ht="20" customHeight="1" s="225">
      <c r="A250" s="486" t="inlineStr">
        <is>
          <t>5AV</t>
        </is>
      </c>
      <c r="B250" s="486" t="inlineStr">
        <is>
          <t>MOROCHO CABRERA MATEO ALEJANDRO</t>
        </is>
      </c>
      <c r="C250" s="486" t="inlineStr">
        <is>
          <t>Inglés</t>
        </is>
      </c>
      <c r="D250" s="486" t="n">
        <v>8.869999999999999</v>
      </c>
      <c r="E250" s="486" t="n">
        <v>8.460000000000001</v>
      </c>
      <c r="F250" s="486" t="n">
        <v>0.41</v>
      </c>
      <c r="G250" s="486" t="inlineStr">
        <is>
          <t>ERROR</t>
        </is>
      </c>
    </row>
    <row r="251" ht="20" customHeight="1" s="225">
      <c r="A251" s="486" t="inlineStr">
        <is>
          <t>5AV</t>
        </is>
      </c>
      <c r="B251" s="486" t="inlineStr">
        <is>
          <t>MOROCHO CABRERA MATEO ALEJANDRO</t>
        </is>
      </c>
      <c r="C251" s="486" t="inlineStr">
        <is>
          <t>Educación Física</t>
        </is>
      </c>
      <c r="D251" s="486" t="n">
        <v>8.07</v>
      </c>
      <c r="E251" s="486" t="n">
        <v>7.86</v>
      </c>
      <c r="F251" s="486" t="n">
        <v>0.21</v>
      </c>
      <c r="G251" s="486" t="inlineStr">
        <is>
          <t>ERROR</t>
        </is>
      </c>
    </row>
    <row r="252" ht="20" customHeight="1" s="225">
      <c r="A252" s="486" t="inlineStr">
        <is>
          <t>5AV</t>
        </is>
      </c>
      <c r="B252" s="486" t="inlineStr">
        <is>
          <t>MOROCHO CABRERA MATEO ALEJANDRO</t>
        </is>
      </c>
      <c r="C252" s="486" t="inlineStr">
        <is>
          <t>Promedio Final / P. General</t>
        </is>
      </c>
      <c r="D252" s="486" t="n">
        <v>8.720000000000001</v>
      </c>
      <c r="E252" s="486" t="n">
        <v>8.630000000000001</v>
      </c>
      <c r="F252" s="486" t="n">
        <v>0.09</v>
      </c>
      <c r="G252" s="486" t="inlineStr">
        <is>
          <t>ERROR</t>
        </is>
      </c>
    </row>
    <row r="253" ht="20" customHeight="1" s="225">
      <c r="A253" s="486" t="inlineStr">
        <is>
          <t>5AV</t>
        </is>
      </c>
      <c r="B253" s="486" t="inlineStr">
        <is>
          <t>NIOLA QUITO DILAN FABIAN</t>
        </is>
      </c>
      <c r="C253" s="486" t="inlineStr">
        <is>
          <t>Inglés</t>
        </is>
      </c>
      <c r="D253" s="486" t="n">
        <v>9.039999999999999</v>
      </c>
      <c r="E253" s="486" t="n">
        <v>8.970000000000001</v>
      </c>
      <c r="F253" s="486" t="n">
        <v>0.07000000000000001</v>
      </c>
      <c r="G253" s="486" t="inlineStr">
        <is>
          <t>ERROR</t>
        </is>
      </c>
    </row>
    <row r="254" ht="20" customHeight="1" s="225">
      <c r="A254" s="486" t="inlineStr">
        <is>
          <t>5AV</t>
        </is>
      </c>
      <c r="B254" s="486" t="inlineStr">
        <is>
          <t>NIOLA QUITO DILAN FABIAN</t>
        </is>
      </c>
      <c r="C254" s="486" t="inlineStr">
        <is>
          <t>Educación Cultural y Artística</t>
        </is>
      </c>
      <c r="D254" s="486" t="n">
        <v>9.640000000000001</v>
      </c>
      <c r="E254" s="486" t="n">
        <v>9.279999999999999</v>
      </c>
      <c r="F254" s="486" t="n">
        <v>0.36</v>
      </c>
      <c r="G254" s="486" t="inlineStr">
        <is>
          <t>ERROR</t>
        </is>
      </c>
    </row>
    <row r="255" ht="20" customHeight="1" s="225">
      <c r="A255" s="486" t="inlineStr">
        <is>
          <t>5AV</t>
        </is>
      </c>
      <c r="B255" s="486" t="inlineStr">
        <is>
          <t>NIOLA QUITO DILAN FABIAN</t>
        </is>
      </c>
      <c r="C255" s="486" t="inlineStr">
        <is>
          <t>Educación Física</t>
        </is>
      </c>
      <c r="D255" s="486" t="n">
        <v>9.59</v>
      </c>
      <c r="E255" s="486" t="n">
        <v>9.34</v>
      </c>
      <c r="F255" s="486" t="n">
        <v>0.25</v>
      </c>
      <c r="G255" s="486" t="inlineStr">
        <is>
          <t>ERROR</t>
        </is>
      </c>
    </row>
    <row r="256" ht="20" customHeight="1" s="225">
      <c r="A256" s="486" t="inlineStr">
        <is>
          <t>5AV</t>
        </is>
      </c>
      <c r="B256" s="486" t="inlineStr">
        <is>
          <t>NIOLA QUITO DILAN FABIAN</t>
        </is>
      </c>
      <c r="C256" s="486" t="inlineStr">
        <is>
          <t>Promedio Final / P. General</t>
        </is>
      </c>
      <c r="D256" s="486" t="n">
        <v>9.050000000000001</v>
      </c>
      <c r="E256" s="486" t="n">
        <v>8.949999999999999</v>
      </c>
      <c r="F256" s="486" t="n">
        <v>0.1</v>
      </c>
      <c r="G256" s="486" t="inlineStr">
        <is>
          <t>ERROR</t>
        </is>
      </c>
    </row>
    <row r="257" ht="20" customHeight="1" s="225">
      <c r="A257" s="486" t="inlineStr">
        <is>
          <t>5AV</t>
        </is>
      </c>
      <c r="B257" s="486" t="inlineStr">
        <is>
          <t>PEÑALOZA ROMERO AMELIA VALENTINA</t>
        </is>
      </c>
      <c r="C257" s="486" t="inlineStr">
        <is>
          <t>Inglés</t>
        </is>
      </c>
      <c r="D257" s="486" t="n">
        <v>8.710000000000001</v>
      </c>
      <c r="E257" s="486" t="n">
        <v>8.880000000000001</v>
      </c>
      <c r="F257" s="486" t="n">
        <v>0.17</v>
      </c>
      <c r="G257" s="486" t="inlineStr">
        <is>
          <t>ERROR</t>
        </is>
      </c>
    </row>
    <row r="258" ht="20" customHeight="1" s="225">
      <c r="A258" s="486" t="inlineStr">
        <is>
          <t>5AV</t>
        </is>
      </c>
      <c r="B258" s="486" t="inlineStr">
        <is>
          <t>PEÑALOZA ROMERO AMELIA VALENTINA</t>
        </is>
      </c>
      <c r="C258" s="486" t="inlineStr">
        <is>
          <t>Educación Cultural y Artística</t>
        </is>
      </c>
      <c r="D258" s="486" t="n">
        <v>9.69</v>
      </c>
      <c r="E258" s="486" t="n">
        <v>9.779999999999999</v>
      </c>
      <c r="F258" s="486" t="n">
        <v>0.09</v>
      </c>
      <c r="G258" s="486" t="inlineStr">
        <is>
          <t>ERROR</t>
        </is>
      </c>
    </row>
    <row r="259" ht="20" customHeight="1" s="225">
      <c r="A259" s="486" t="inlineStr">
        <is>
          <t>5AV</t>
        </is>
      </c>
      <c r="B259" s="486" t="inlineStr">
        <is>
          <t>PEÑALOZA ROMERO AMELIA VALENTINA</t>
        </is>
      </c>
      <c r="C259" s="486" t="inlineStr">
        <is>
          <t>Educación Física</t>
        </is>
      </c>
      <c r="D259" s="486" t="n">
        <v>8.84</v>
      </c>
      <c r="E259" s="486" t="n">
        <v>8.779999999999999</v>
      </c>
      <c r="F259" s="486" t="n">
        <v>0.06</v>
      </c>
      <c r="G259" s="486" t="inlineStr">
        <is>
          <t>ERROR</t>
        </is>
      </c>
    </row>
    <row r="260" ht="20" customHeight="1" s="225">
      <c r="A260" s="486" t="inlineStr">
        <is>
          <t>5AV</t>
        </is>
      </c>
      <c r="B260" s="486" t="inlineStr">
        <is>
          <t>PINTO CRUZ ELIAN ISMAEL</t>
        </is>
      </c>
      <c r="C260" s="486" t="inlineStr">
        <is>
          <t>Lengua y Literatura</t>
        </is>
      </c>
      <c r="D260" s="486" t="n">
        <v>9.109999999999999</v>
      </c>
      <c r="E260" s="486" t="n">
        <v>9.300000000000001</v>
      </c>
      <c r="F260" s="486" t="n">
        <v>0.19</v>
      </c>
      <c r="G260" s="486" t="inlineStr">
        <is>
          <t>ERROR</t>
        </is>
      </c>
    </row>
    <row r="261" ht="20" customHeight="1" s="225">
      <c r="A261" s="486" t="inlineStr">
        <is>
          <t>5AV</t>
        </is>
      </c>
      <c r="B261" s="486" t="inlineStr">
        <is>
          <t>PINTO CRUZ ELIAN ISMAEL</t>
        </is>
      </c>
      <c r="C261" s="486" t="inlineStr">
        <is>
          <t>Inglés</t>
        </is>
      </c>
      <c r="D261" s="486" t="n">
        <v>8.789999999999999</v>
      </c>
      <c r="E261" s="486" t="n">
        <v>8.73</v>
      </c>
      <c r="F261" s="486" t="n">
        <v>0.06</v>
      </c>
      <c r="G261" s="486" t="inlineStr">
        <is>
          <t>ERROR</t>
        </is>
      </c>
    </row>
    <row r="262" ht="20" customHeight="1" s="225">
      <c r="A262" s="486" t="inlineStr">
        <is>
          <t>5AV</t>
        </is>
      </c>
      <c r="B262" s="486" t="inlineStr">
        <is>
          <t>PINTO CRUZ ELIAN ISMAEL</t>
        </is>
      </c>
      <c r="C262" s="486" t="inlineStr">
        <is>
          <t>Educación Física</t>
        </is>
      </c>
      <c r="D262" s="486" t="n">
        <v>8.710000000000001</v>
      </c>
      <c r="E262" s="486" t="n">
        <v>5.79</v>
      </c>
      <c r="F262" s="486" t="n">
        <v>2.92</v>
      </c>
      <c r="G262" s="486" t="inlineStr">
        <is>
          <t>ERROR</t>
        </is>
      </c>
    </row>
    <row r="263" ht="20" customHeight="1" s="225">
      <c r="A263" s="486" t="inlineStr">
        <is>
          <t>5AV</t>
        </is>
      </c>
      <c r="B263" s="486" t="inlineStr">
        <is>
          <t>PINTO CRUZ ELIAN ISMAEL</t>
        </is>
      </c>
      <c r="C263" s="486" t="inlineStr">
        <is>
          <t>Promedio Final / P. General</t>
        </is>
      </c>
      <c r="D263" s="486" t="n">
        <v>8.93</v>
      </c>
      <c r="E263" s="486" t="n">
        <v>8.52</v>
      </c>
      <c r="F263" s="486" t="n">
        <v>0.41</v>
      </c>
      <c r="G263" s="486" t="inlineStr">
        <is>
          <t>ERROR</t>
        </is>
      </c>
    </row>
    <row r="264" ht="20" customHeight="1" s="225">
      <c r="A264" s="486" t="inlineStr">
        <is>
          <t>5AV</t>
        </is>
      </c>
      <c r="B264" s="486" t="inlineStr">
        <is>
          <t>PIZARRO SALAMEA JOSEPH NOE</t>
        </is>
      </c>
      <c r="C264" s="486" t="inlineStr">
        <is>
          <t>Inglés</t>
        </is>
      </c>
      <c r="D264" s="486" t="n">
        <v>7.99</v>
      </c>
      <c r="E264" s="486" t="n">
        <v>7.96</v>
      </c>
      <c r="F264" s="486" t="n">
        <v>0.03</v>
      </c>
      <c r="G264" s="486" t="inlineStr">
        <is>
          <t>ERROR</t>
        </is>
      </c>
    </row>
    <row r="265" ht="20" customHeight="1" s="225">
      <c r="A265" s="486" t="inlineStr">
        <is>
          <t>5AV</t>
        </is>
      </c>
      <c r="B265" s="486" t="inlineStr">
        <is>
          <t>PIZARRO SALAMEA JOSEPH NOE</t>
        </is>
      </c>
      <c r="C265" s="486" t="inlineStr">
        <is>
          <t>Educación Física</t>
        </is>
      </c>
      <c r="D265" s="486" t="n">
        <v>8.84</v>
      </c>
      <c r="E265" s="486" t="n">
        <v>8.449999999999999</v>
      </c>
      <c r="F265" s="486" t="n">
        <v>0.39</v>
      </c>
      <c r="G265" s="486" t="inlineStr">
        <is>
          <t>ERROR</t>
        </is>
      </c>
    </row>
    <row r="266" ht="20" customHeight="1" s="225">
      <c r="A266" s="486" t="inlineStr">
        <is>
          <t>5AV</t>
        </is>
      </c>
      <c r="B266" s="486" t="inlineStr">
        <is>
          <t>PIZARRO SALAMEA JOSEPH NOE</t>
        </is>
      </c>
      <c r="C266" s="486" t="inlineStr">
        <is>
          <t>Promedio Final / P. General</t>
        </is>
      </c>
      <c r="D266" s="486" t="n">
        <v>8.369999999999999</v>
      </c>
      <c r="E266" s="486" t="n">
        <v>8.31</v>
      </c>
      <c r="F266" s="486" t="n">
        <v>0.06</v>
      </c>
      <c r="G266" s="486" t="inlineStr">
        <is>
          <t>ERROR</t>
        </is>
      </c>
    </row>
    <row r="267" ht="20" customHeight="1" s="225">
      <c r="A267" s="486" t="inlineStr">
        <is>
          <t>5AV</t>
        </is>
      </c>
      <c r="B267" s="486" t="inlineStr">
        <is>
          <t>QUITO BARRETO JUAN JOSE</t>
        </is>
      </c>
      <c r="C267" s="486" t="inlineStr">
        <is>
          <t>Lengua y Literatura</t>
        </is>
      </c>
      <c r="D267" s="486" t="n">
        <v>8.75</v>
      </c>
      <c r="E267" s="486" t="n">
        <v>8.83</v>
      </c>
      <c r="F267" s="486" t="n">
        <v>0.08</v>
      </c>
      <c r="G267" s="486" t="inlineStr">
        <is>
          <t>ERROR</t>
        </is>
      </c>
    </row>
    <row r="268" ht="20" customHeight="1" s="225">
      <c r="A268" s="486" t="inlineStr">
        <is>
          <t>5AV</t>
        </is>
      </c>
      <c r="B268" s="486" t="inlineStr">
        <is>
          <t>QUITO BARRETO JUAN JOSE</t>
        </is>
      </c>
      <c r="C268" s="486" t="inlineStr">
        <is>
          <t>Matemática</t>
        </is>
      </c>
      <c r="D268" s="486" t="n">
        <v>8.33</v>
      </c>
      <c r="E268" s="486" t="n">
        <v>8.630000000000001</v>
      </c>
      <c r="F268" s="486" t="n">
        <v>0.3</v>
      </c>
      <c r="G268" s="486" t="inlineStr">
        <is>
          <t>ERROR</t>
        </is>
      </c>
    </row>
    <row r="269" ht="20" customHeight="1" s="225">
      <c r="A269" s="486" t="inlineStr">
        <is>
          <t>5AV</t>
        </is>
      </c>
      <c r="B269" s="486" t="inlineStr">
        <is>
          <t>QUITO BARRETO JUAN JOSE</t>
        </is>
      </c>
      <c r="C269" s="486" t="inlineStr">
        <is>
          <t>Ciencias Naturales</t>
        </is>
      </c>
      <c r="D269" s="486" t="n">
        <v>8.65</v>
      </c>
      <c r="E269" s="486" t="n">
        <v>9.039999999999999</v>
      </c>
      <c r="F269" s="486" t="n">
        <v>0.39</v>
      </c>
      <c r="G269" s="486" t="inlineStr">
        <is>
          <t>ERROR</t>
        </is>
      </c>
    </row>
    <row r="270" ht="20" customHeight="1" s="225">
      <c r="A270" s="486" t="inlineStr">
        <is>
          <t>5AV</t>
        </is>
      </c>
      <c r="B270" s="486" t="inlineStr">
        <is>
          <t>QUITO BARRETO JUAN JOSE</t>
        </is>
      </c>
      <c r="C270" s="486" t="inlineStr">
        <is>
          <t>Estudios Sociales</t>
        </is>
      </c>
      <c r="D270" s="486" t="n">
        <v>8.550000000000001</v>
      </c>
      <c r="E270" s="486" t="n">
        <v>8.48</v>
      </c>
      <c r="F270" s="486" t="n">
        <v>0.07000000000000001</v>
      </c>
      <c r="G270" s="486" t="inlineStr">
        <is>
          <t>ERROR</t>
        </is>
      </c>
    </row>
    <row r="271" ht="20" customHeight="1" s="225">
      <c r="A271" s="486" t="inlineStr">
        <is>
          <t>5AV</t>
        </is>
      </c>
      <c r="B271" s="486" t="inlineStr">
        <is>
          <t>QUITO BARRETO JUAN JOSE</t>
        </is>
      </c>
      <c r="C271" s="486" t="inlineStr">
        <is>
          <t>Inglés</t>
        </is>
      </c>
      <c r="D271" s="486" t="n">
        <v>8.31</v>
      </c>
      <c r="E271" s="486" t="n">
        <v>8.279999999999999</v>
      </c>
      <c r="F271" s="486" t="n">
        <v>0.03</v>
      </c>
      <c r="G271" s="486" t="inlineStr">
        <is>
          <t>ERROR</t>
        </is>
      </c>
    </row>
    <row r="272" ht="20" customHeight="1" s="225">
      <c r="A272" s="486" t="inlineStr">
        <is>
          <t>5AV</t>
        </is>
      </c>
      <c r="B272" s="486" t="inlineStr">
        <is>
          <t>QUITO BARRETO JUAN JOSE</t>
        </is>
      </c>
      <c r="C272" s="486" t="inlineStr">
        <is>
          <t>Educación Física</t>
        </is>
      </c>
      <c r="D272" s="486" t="n">
        <v>8.56</v>
      </c>
      <c r="E272" s="486" t="n">
        <v>8.4</v>
      </c>
      <c r="F272" s="486" t="n">
        <v>0.16</v>
      </c>
      <c r="G272" s="486" t="inlineStr">
        <is>
          <t>ERROR</t>
        </is>
      </c>
    </row>
    <row r="273" ht="20" customHeight="1" s="225">
      <c r="A273" s="486" t="inlineStr">
        <is>
          <t>5AV</t>
        </is>
      </c>
      <c r="B273" s="486" t="inlineStr">
        <is>
          <t>QUITO BARRETO JUAN JOSE</t>
        </is>
      </c>
      <c r="C273" s="486" t="inlineStr">
        <is>
          <t>Promedio Final / P. General</t>
        </is>
      </c>
      <c r="D273" s="486" t="n">
        <v>8.640000000000001</v>
      </c>
      <c r="E273" s="486" t="n">
        <v>8.710000000000001</v>
      </c>
      <c r="F273" s="486" t="n">
        <v>0.07000000000000001</v>
      </c>
      <c r="G273" s="486" t="inlineStr">
        <is>
          <t>ERROR</t>
        </is>
      </c>
    </row>
    <row r="274" ht="20" customHeight="1" s="225">
      <c r="A274" s="486" t="inlineStr">
        <is>
          <t>5AV</t>
        </is>
      </c>
      <c r="B274" s="486" t="inlineStr">
        <is>
          <t>QUIZHPI CHABLA LUIS MIGUEL</t>
        </is>
      </c>
      <c r="C274" s="486" t="inlineStr">
        <is>
          <t>Lengua y Literatura</t>
        </is>
      </c>
      <c r="D274" s="486" t="n">
        <v>9.16</v>
      </c>
      <c r="E274" s="486" t="n">
        <v>9.539999999999999</v>
      </c>
      <c r="F274" s="486" t="n">
        <v>0.38</v>
      </c>
      <c r="G274" s="486" t="inlineStr">
        <is>
          <t>ERROR</t>
        </is>
      </c>
    </row>
    <row r="275" ht="20" customHeight="1" s="225">
      <c r="A275" s="486" t="inlineStr">
        <is>
          <t>5AV</t>
        </is>
      </c>
      <c r="B275" s="486" t="inlineStr">
        <is>
          <t>QUIZHPI CHABLA LUIS MIGUEL</t>
        </is>
      </c>
      <c r="C275" s="486" t="inlineStr">
        <is>
          <t>Matemática</t>
        </is>
      </c>
      <c r="D275" s="486" t="n">
        <v>9.279999999999999</v>
      </c>
      <c r="E275" s="486" t="n">
        <v>9.609999999999999</v>
      </c>
      <c r="F275" s="486" t="n">
        <v>0.33</v>
      </c>
      <c r="G275" s="486" t="inlineStr">
        <is>
          <t>ERROR</t>
        </is>
      </c>
    </row>
    <row r="276" ht="20" customHeight="1" s="225">
      <c r="A276" s="486" t="inlineStr">
        <is>
          <t>5AV</t>
        </is>
      </c>
      <c r="B276" s="486" t="inlineStr">
        <is>
          <t>QUIZHPI CHABLA LUIS MIGUEL</t>
        </is>
      </c>
      <c r="C276" s="486" t="inlineStr">
        <is>
          <t>Ciencias Naturales</t>
        </is>
      </c>
      <c r="D276" s="486" t="n">
        <v>9.390000000000001</v>
      </c>
      <c r="E276" s="486" t="n">
        <v>9.66</v>
      </c>
      <c r="F276" s="486" t="n">
        <v>0.27</v>
      </c>
      <c r="G276" s="486" t="inlineStr">
        <is>
          <t>ERROR</t>
        </is>
      </c>
    </row>
    <row r="277" ht="20" customHeight="1" s="225">
      <c r="A277" s="486" t="inlineStr">
        <is>
          <t>5AV</t>
        </is>
      </c>
      <c r="B277" s="486" t="inlineStr">
        <is>
          <t>QUIZHPI CHABLA LUIS MIGUEL</t>
        </is>
      </c>
      <c r="C277" s="486" t="inlineStr">
        <is>
          <t>Estudios Sociales</t>
        </is>
      </c>
      <c r="D277" s="486" t="n">
        <v>9.119999999999999</v>
      </c>
      <c r="E277" s="486" t="n">
        <v>9.460000000000001</v>
      </c>
      <c r="F277" s="486" t="n">
        <v>0.34</v>
      </c>
      <c r="G277" s="486" t="inlineStr">
        <is>
          <t>ERROR</t>
        </is>
      </c>
    </row>
    <row r="278" ht="20" customHeight="1" s="225">
      <c r="A278" s="486" t="inlineStr">
        <is>
          <t>5AV</t>
        </is>
      </c>
      <c r="B278" s="486" t="inlineStr">
        <is>
          <t>QUIZHPI CHABLA LUIS MIGUEL</t>
        </is>
      </c>
      <c r="C278" s="486" t="inlineStr">
        <is>
          <t>Inglés</t>
        </is>
      </c>
      <c r="D278" s="486" t="n">
        <v>9.06</v>
      </c>
      <c r="E278" s="486" t="n">
        <v>9.66</v>
      </c>
      <c r="F278" s="486" t="n">
        <v>0.6</v>
      </c>
      <c r="G278" s="486" t="inlineStr">
        <is>
          <t>ERROR</t>
        </is>
      </c>
    </row>
    <row r="279" ht="20" customHeight="1" s="225">
      <c r="A279" s="486" t="inlineStr">
        <is>
          <t>5AV</t>
        </is>
      </c>
      <c r="B279" s="486" t="inlineStr">
        <is>
          <t>QUIZHPI CHABLA LUIS MIGUEL</t>
        </is>
      </c>
      <c r="C279" s="486" t="inlineStr">
        <is>
          <t>Educación Cultural y Artística</t>
        </is>
      </c>
      <c r="D279" s="486" t="n">
        <v>9.69</v>
      </c>
      <c r="E279" s="486" t="n">
        <v>9.59</v>
      </c>
      <c r="F279" s="486" t="n">
        <v>0.1</v>
      </c>
      <c r="G279" s="486" t="inlineStr">
        <is>
          <t>ERROR</t>
        </is>
      </c>
    </row>
    <row r="280" ht="20" customHeight="1" s="225">
      <c r="A280" s="486" t="inlineStr">
        <is>
          <t>5AV</t>
        </is>
      </c>
      <c r="B280" s="486" t="inlineStr">
        <is>
          <t>QUIZHPI CHABLA LUIS MIGUEL</t>
        </is>
      </c>
      <c r="C280" s="486" t="inlineStr">
        <is>
          <t>Educación Física</t>
        </is>
      </c>
      <c r="D280" s="486" t="n">
        <v>9.81</v>
      </c>
      <c r="E280" s="486" t="n">
        <v>9.51</v>
      </c>
      <c r="F280" s="486" t="n">
        <v>0.3</v>
      </c>
      <c r="G280" s="486" t="inlineStr">
        <is>
          <t>ERROR</t>
        </is>
      </c>
    </row>
    <row r="281" ht="20" customHeight="1" s="225">
      <c r="A281" s="486" t="inlineStr">
        <is>
          <t>5AV</t>
        </is>
      </c>
      <c r="B281" s="486" t="inlineStr">
        <is>
          <t>QUIZHPI CHABLA LUIS MIGUEL</t>
        </is>
      </c>
      <c r="C281" s="486" t="inlineStr">
        <is>
          <t>Promedio Final / P. General</t>
        </is>
      </c>
      <c r="D281" s="486" t="n">
        <v>9.359999999999999</v>
      </c>
      <c r="E281" s="486" t="n">
        <v>9.57</v>
      </c>
      <c r="F281" s="486" t="n">
        <v>0.21</v>
      </c>
      <c r="G281" s="486" t="inlineStr">
        <is>
          <t>ERROR</t>
        </is>
      </c>
    </row>
    <row r="282" ht="20" customHeight="1" s="225">
      <c r="A282" s="486" t="inlineStr">
        <is>
          <t>5AV</t>
        </is>
      </c>
      <c r="B282" s="486" t="inlineStr">
        <is>
          <t>SANCHEZ LALVAY MATEO NICOLAS</t>
        </is>
      </c>
      <c r="C282" s="486" t="inlineStr">
        <is>
          <t>Lengua y Literatura</t>
        </is>
      </c>
      <c r="D282" s="486" t="n">
        <v>9.699999999999999</v>
      </c>
      <c r="E282" s="486" t="n">
        <v>9.630000000000001</v>
      </c>
      <c r="F282" s="486" t="n">
        <v>0.07000000000000001</v>
      </c>
      <c r="G282" s="486" t="inlineStr">
        <is>
          <t>ERROR</t>
        </is>
      </c>
    </row>
    <row r="283" ht="20" customHeight="1" s="225">
      <c r="A283" s="486" t="inlineStr">
        <is>
          <t>5AV</t>
        </is>
      </c>
      <c r="B283" s="486" t="inlineStr">
        <is>
          <t>SANCHEZ LALVAY MATEO NICOLAS</t>
        </is>
      </c>
      <c r="C283" s="486" t="inlineStr">
        <is>
          <t>Matemática</t>
        </is>
      </c>
      <c r="D283" s="486" t="n">
        <v>9.74</v>
      </c>
      <c r="E283" s="486" t="n">
        <v>9.83</v>
      </c>
      <c r="F283" s="486" t="n">
        <v>0.09</v>
      </c>
      <c r="G283" s="486" t="inlineStr">
        <is>
          <t>ERROR</t>
        </is>
      </c>
    </row>
    <row r="284" ht="20" customHeight="1" s="225">
      <c r="A284" s="486" t="inlineStr">
        <is>
          <t>5AV</t>
        </is>
      </c>
      <c r="B284" s="486" t="inlineStr">
        <is>
          <t>SANCHEZ LALVAY MATEO NICOLAS</t>
        </is>
      </c>
      <c r="C284" s="486" t="inlineStr">
        <is>
          <t>Ciencias Naturales</t>
        </is>
      </c>
      <c r="D284" s="486" t="n">
        <v>9.69</v>
      </c>
      <c r="E284" s="486" t="n">
        <v>9.76</v>
      </c>
      <c r="F284" s="486" t="n">
        <v>0.07000000000000001</v>
      </c>
      <c r="G284" s="486" t="inlineStr">
        <is>
          <t>ERROR</t>
        </is>
      </c>
    </row>
    <row r="285" ht="20" customHeight="1" s="225">
      <c r="A285" s="486" t="inlineStr">
        <is>
          <t>5AV</t>
        </is>
      </c>
      <c r="B285" s="486" t="inlineStr">
        <is>
          <t>SANCHEZ LALVAY MATEO NICOLAS</t>
        </is>
      </c>
      <c r="C285" s="486" t="inlineStr">
        <is>
          <t>Estudios Sociales</t>
        </is>
      </c>
      <c r="D285" s="486" t="n">
        <v>9.69</v>
      </c>
      <c r="E285" s="486" t="n">
        <v>9.83</v>
      </c>
      <c r="F285" s="486" t="n">
        <v>0.14</v>
      </c>
      <c r="G285" s="486" t="inlineStr">
        <is>
          <t>ERROR</t>
        </is>
      </c>
    </row>
    <row r="286" ht="20" customHeight="1" s="225">
      <c r="A286" s="486" t="inlineStr">
        <is>
          <t>5AV</t>
        </is>
      </c>
      <c r="B286" s="486" t="inlineStr">
        <is>
          <t>SANCHEZ LALVAY MATEO NICOLAS</t>
        </is>
      </c>
      <c r="C286" s="486" t="inlineStr">
        <is>
          <t>Inglés</t>
        </is>
      </c>
      <c r="D286" s="486" t="n">
        <v>9.630000000000001</v>
      </c>
      <c r="E286" s="486" t="n">
        <v>9.43</v>
      </c>
      <c r="F286" s="486" t="n">
        <v>0.2</v>
      </c>
      <c r="G286" s="486" t="inlineStr">
        <is>
          <t>ERROR</t>
        </is>
      </c>
    </row>
    <row r="287" ht="20" customHeight="1" s="225">
      <c r="A287" s="486" t="inlineStr">
        <is>
          <t>5AV</t>
        </is>
      </c>
      <c r="B287" s="486" t="inlineStr">
        <is>
          <t>SANCHEZ LALVAY MATEO NICOLAS</t>
        </is>
      </c>
      <c r="C287" s="486" t="inlineStr">
        <is>
          <t>Educación Cultural y Artística</t>
        </is>
      </c>
      <c r="D287" s="486" t="n">
        <v>9.65</v>
      </c>
      <c r="E287" s="486" t="n">
        <v>9.9</v>
      </c>
      <c r="F287" s="486" t="n">
        <v>0.25</v>
      </c>
      <c r="G287" s="486" t="inlineStr">
        <is>
          <t>ERROR</t>
        </is>
      </c>
    </row>
    <row r="288" ht="20" customHeight="1" s="225">
      <c r="A288" s="486" t="inlineStr">
        <is>
          <t>5AV</t>
        </is>
      </c>
      <c r="B288" s="486" t="inlineStr">
        <is>
          <t>SANCHEZ LALVAY MATEO NICOLAS</t>
        </is>
      </c>
      <c r="C288" s="486" t="inlineStr">
        <is>
          <t>Promedio Final / P. General</t>
        </is>
      </c>
      <c r="D288" s="486" t="n">
        <v>9.73</v>
      </c>
      <c r="E288" s="486" t="n">
        <v>9.76</v>
      </c>
      <c r="F288" s="486" t="n">
        <v>0.03</v>
      </c>
      <c r="G288" s="486" t="inlineStr">
        <is>
          <t>ERROR</t>
        </is>
      </c>
    </row>
    <row r="289" ht="20" customHeight="1" s="225">
      <c r="A289" s="486" t="inlineStr">
        <is>
          <t>5AV</t>
        </is>
      </c>
      <c r="B289" s="486" t="inlineStr">
        <is>
          <t>SIAVICHAY CALLE SHEYLA NICOLE</t>
        </is>
      </c>
      <c r="C289" s="486" t="inlineStr">
        <is>
          <t>Lengua y Literatura</t>
        </is>
      </c>
      <c r="D289" s="486" t="n">
        <v>8.82</v>
      </c>
      <c r="E289" s="486" t="n">
        <v>8.07</v>
      </c>
      <c r="F289" s="486" t="n">
        <v>0.75</v>
      </c>
      <c r="G289" s="486" t="inlineStr">
        <is>
          <t>ERROR</t>
        </is>
      </c>
    </row>
    <row r="290" ht="20" customHeight="1" s="225">
      <c r="A290" s="486" t="inlineStr">
        <is>
          <t>5AV</t>
        </is>
      </c>
      <c r="B290" s="486" t="inlineStr">
        <is>
          <t>SIAVICHAY CALLE SHEYLA NICOLE</t>
        </is>
      </c>
      <c r="C290" s="486" t="inlineStr">
        <is>
          <t>Matemática</t>
        </is>
      </c>
      <c r="D290" s="486" t="n">
        <v>8.73</v>
      </c>
      <c r="E290" s="486" t="n">
        <v>8.01</v>
      </c>
      <c r="F290" s="486" t="n">
        <v>0.72</v>
      </c>
      <c r="G290" s="486" t="inlineStr">
        <is>
          <t>ERROR</t>
        </is>
      </c>
    </row>
    <row r="291" ht="20" customHeight="1" s="225">
      <c r="A291" s="486" t="inlineStr">
        <is>
          <t>5AV</t>
        </is>
      </c>
      <c r="B291" s="486" t="inlineStr">
        <is>
          <t>SIAVICHAY CALLE SHEYLA NICOLE</t>
        </is>
      </c>
      <c r="C291" s="486" t="inlineStr">
        <is>
          <t>Ciencias Naturales</t>
        </is>
      </c>
      <c r="D291" s="486" t="n">
        <v>9.199999999999999</v>
      </c>
      <c r="E291" s="486" t="n">
        <v>8.630000000000001</v>
      </c>
      <c r="F291" s="486" t="n">
        <v>0.57</v>
      </c>
      <c r="G291" s="486" t="inlineStr">
        <is>
          <t>ERROR</t>
        </is>
      </c>
    </row>
    <row r="292" ht="20" customHeight="1" s="225">
      <c r="A292" s="486" t="inlineStr">
        <is>
          <t>5AV</t>
        </is>
      </c>
      <c r="B292" s="486" t="inlineStr">
        <is>
          <t>SIAVICHAY CALLE SHEYLA NICOLE</t>
        </is>
      </c>
      <c r="C292" s="486" t="inlineStr">
        <is>
          <t>Estudios Sociales</t>
        </is>
      </c>
      <c r="D292" s="486" t="n">
        <v>9</v>
      </c>
      <c r="E292" s="486" t="n">
        <v>8.539999999999999</v>
      </c>
      <c r="F292" s="486" t="n">
        <v>0.46</v>
      </c>
      <c r="G292" s="486" t="inlineStr">
        <is>
          <t>ERROR</t>
        </is>
      </c>
    </row>
    <row r="293" ht="20" customHeight="1" s="225">
      <c r="A293" s="486" t="inlineStr">
        <is>
          <t>5AV</t>
        </is>
      </c>
      <c r="B293" s="486" t="inlineStr">
        <is>
          <t>SIAVICHAY CALLE SHEYLA NICOLE</t>
        </is>
      </c>
      <c r="C293" s="486" t="inlineStr">
        <is>
          <t>Inglés</t>
        </is>
      </c>
      <c r="D293" s="486" t="n">
        <v>8.24</v>
      </c>
      <c r="E293" s="486" t="n">
        <v>7.89</v>
      </c>
      <c r="F293" s="486" t="n">
        <v>0.35</v>
      </c>
      <c r="G293" s="486" t="inlineStr">
        <is>
          <t>ERROR</t>
        </is>
      </c>
    </row>
    <row r="294" ht="20" customHeight="1" s="225">
      <c r="A294" s="486" t="inlineStr">
        <is>
          <t>5AV</t>
        </is>
      </c>
      <c r="B294" s="486" t="inlineStr">
        <is>
          <t>SIAVICHAY CALLE SHEYLA NICOLE</t>
        </is>
      </c>
      <c r="C294" s="486" t="inlineStr">
        <is>
          <t>Educación Cultural y Artística</t>
        </is>
      </c>
      <c r="D294" s="486" t="n">
        <v>9.34</v>
      </c>
      <c r="E294" s="486" t="n">
        <v>9.09</v>
      </c>
      <c r="F294" s="486" t="n">
        <v>0.25</v>
      </c>
      <c r="G294" s="486" t="inlineStr">
        <is>
          <t>ERROR</t>
        </is>
      </c>
    </row>
    <row r="295" ht="20" customHeight="1" s="225">
      <c r="A295" s="486" t="inlineStr">
        <is>
          <t>5AV</t>
        </is>
      </c>
      <c r="B295" s="486" t="inlineStr">
        <is>
          <t>SIAVICHAY CALLE SHEYLA NICOLE</t>
        </is>
      </c>
      <c r="C295" s="486" t="inlineStr">
        <is>
          <t>Educación Física</t>
        </is>
      </c>
      <c r="D295" s="486" t="n">
        <v>8.48</v>
      </c>
      <c r="E295" s="486" t="n">
        <v>8.289999999999999</v>
      </c>
      <c r="F295" s="486" t="n">
        <v>0.19</v>
      </c>
      <c r="G295" s="486" t="inlineStr">
        <is>
          <t>ERROR</t>
        </is>
      </c>
    </row>
    <row r="296" ht="20" customHeight="1" s="225">
      <c r="A296" s="486" t="inlineStr">
        <is>
          <t>5AV</t>
        </is>
      </c>
      <c r="B296" s="486" t="inlineStr">
        <is>
          <t>SIAVICHAY CALLE SHEYLA NICOLE</t>
        </is>
      </c>
      <c r="C296" s="486" t="inlineStr">
        <is>
          <t>Promedio Final / P. General</t>
        </is>
      </c>
      <c r="D296" s="486" t="n">
        <v>8.83</v>
      </c>
      <c r="E296" s="486" t="n">
        <v>8.359999999999999</v>
      </c>
      <c r="F296" s="486" t="n">
        <v>0.47</v>
      </c>
      <c r="G296" s="486" t="inlineStr">
        <is>
          <t>ERROR</t>
        </is>
      </c>
    </row>
    <row r="297" ht="20" customHeight="1" s="225">
      <c r="A297" s="486" t="inlineStr">
        <is>
          <t>5AV</t>
        </is>
      </c>
      <c r="B297" s="486" t="inlineStr">
        <is>
          <t>TADAY ORTIZ JORDAN ISAIAS</t>
        </is>
      </c>
      <c r="C297" s="486" t="inlineStr">
        <is>
          <t>Lengua y Literatura</t>
        </is>
      </c>
      <c r="D297" s="486" t="n">
        <v>8.109999999999999</v>
      </c>
      <c r="E297" s="486" t="n">
        <v>8.17</v>
      </c>
      <c r="F297" s="486" t="n">
        <v>0.06</v>
      </c>
      <c r="G297" s="486" t="inlineStr">
        <is>
          <t>ERROR</t>
        </is>
      </c>
    </row>
    <row r="298" ht="20" customHeight="1" s="225">
      <c r="A298" s="486" t="inlineStr">
        <is>
          <t>5AV</t>
        </is>
      </c>
      <c r="B298" s="486" t="inlineStr">
        <is>
          <t>TADAY ORTIZ JORDAN ISAIAS</t>
        </is>
      </c>
      <c r="C298" s="486" t="inlineStr">
        <is>
          <t>Matemática</t>
        </is>
      </c>
      <c r="D298" s="486" t="n">
        <v>8.359999999999999</v>
      </c>
      <c r="E298" s="486" t="n">
        <v>8.4</v>
      </c>
      <c r="F298" s="486" t="n">
        <v>0.04</v>
      </c>
      <c r="G298" s="486" t="inlineStr">
        <is>
          <t>ERROR</t>
        </is>
      </c>
    </row>
    <row r="299" ht="20" customHeight="1" s="225">
      <c r="A299" s="486" t="inlineStr">
        <is>
          <t>5AV</t>
        </is>
      </c>
      <c r="B299" s="486" t="inlineStr">
        <is>
          <t>TADAY ORTIZ JORDAN ISAIAS</t>
        </is>
      </c>
      <c r="C299" s="486" t="inlineStr">
        <is>
          <t>Ciencias Naturales</t>
        </is>
      </c>
      <c r="D299" s="486" t="n">
        <v>8.65</v>
      </c>
      <c r="E299" s="486" t="n">
        <v>9.01</v>
      </c>
      <c r="F299" s="486" t="n">
        <v>0.36</v>
      </c>
      <c r="G299" s="486" t="inlineStr">
        <is>
          <t>ERROR</t>
        </is>
      </c>
    </row>
    <row r="300" ht="20" customHeight="1" s="225">
      <c r="A300" s="486" t="inlineStr">
        <is>
          <t>5AV</t>
        </is>
      </c>
      <c r="B300" s="486" t="inlineStr">
        <is>
          <t>TADAY ORTIZ JORDAN ISAIAS</t>
        </is>
      </c>
      <c r="C300" s="486" t="inlineStr">
        <is>
          <t>Estudios Sociales</t>
        </is>
      </c>
      <c r="D300" s="486" t="n">
        <v>8.68</v>
      </c>
      <c r="E300" s="486" t="n">
        <v>8.51</v>
      </c>
      <c r="F300" s="486" t="n">
        <v>0.17</v>
      </c>
      <c r="G300" s="486" t="inlineStr">
        <is>
          <t>ERROR</t>
        </is>
      </c>
    </row>
    <row r="301" ht="20" customHeight="1" s="225">
      <c r="A301" s="486" t="inlineStr">
        <is>
          <t>5AV</t>
        </is>
      </c>
      <c r="B301" s="486" t="inlineStr">
        <is>
          <t>TADAY ORTIZ JORDAN ISAIAS</t>
        </is>
      </c>
      <c r="C301" s="486" t="inlineStr">
        <is>
          <t>Inglés</t>
        </is>
      </c>
      <c r="D301" s="486" t="n">
        <v>7.88</v>
      </c>
      <c r="E301" s="486" t="n">
        <v>7.54</v>
      </c>
      <c r="F301" s="486" t="n">
        <v>0.34</v>
      </c>
      <c r="G301" s="486" t="inlineStr">
        <is>
          <t>ERROR</t>
        </is>
      </c>
    </row>
    <row r="302" ht="20" customHeight="1" s="225">
      <c r="A302" s="486" t="inlineStr">
        <is>
          <t>5AV</t>
        </is>
      </c>
      <c r="B302" s="486" t="inlineStr">
        <is>
          <t>TADAY ORTIZ JORDAN ISAIAS</t>
        </is>
      </c>
      <c r="C302" s="486" t="inlineStr">
        <is>
          <t>Educación Cultural y Artística</t>
        </is>
      </c>
      <c r="D302" s="486" t="n">
        <v>9.1</v>
      </c>
      <c r="E302" s="486" t="n">
        <v>9.220000000000001</v>
      </c>
      <c r="F302" s="486" t="n">
        <v>0.12</v>
      </c>
      <c r="G302" s="486" t="inlineStr">
        <is>
          <t>ERROR</t>
        </is>
      </c>
    </row>
    <row r="303" ht="20" customHeight="1" s="225">
      <c r="A303" s="486" t="inlineStr">
        <is>
          <t>5AV</t>
        </is>
      </c>
      <c r="B303" s="486" t="inlineStr">
        <is>
          <t>TADAY ORTIZ JORDAN ISAIAS</t>
        </is>
      </c>
      <c r="C303" s="486" t="inlineStr">
        <is>
          <t>Educación Física</t>
        </is>
      </c>
      <c r="D303" s="486" t="n">
        <v>8.76</v>
      </c>
      <c r="E303" s="486" t="n">
        <v>8.390000000000001</v>
      </c>
      <c r="F303" s="486" t="n">
        <v>0.37</v>
      </c>
      <c r="G303" s="486" t="inlineStr">
        <is>
          <t>ERROR</t>
        </is>
      </c>
    </row>
    <row r="304" ht="20" customHeight="1" s="225">
      <c r="A304" s="486" t="inlineStr">
        <is>
          <t>5AV</t>
        </is>
      </c>
      <c r="B304" s="486" t="inlineStr">
        <is>
          <t>TADAY ORTIZ JORDAN ISAIAS</t>
        </is>
      </c>
      <c r="C304" s="486" t="inlineStr">
        <is>
          <t>Promedio Final / P. General</t>
        </is>
      </c>
      <c r="D304" s="486" t="n">
        <v>8.5</v>
      </c>
      <c r="E304" s="486" t="n">
        <v>8.460000000000001</v>
      </c>
      <c r="F304" s="486" t="n">
        <v>0.04</v>
      </c>
      <c r="G304" s="486" t="inlineStr">
        <is>
          <t>ERROR</t>
        </is>
      </c>
    </row>
    <row r="305" ht="20" customHeight="1" s="225">
      <c r="A305" s="486" t="inlineStr">
        <is>
          <t>5AV</t>
        </is>
      </c>
      <c r="B305" s="486" t="inlineStr">
        <is>
          <t>TENESACA ÑAUTA SAMUEL MATIAS</t>
        </is>
      </c>
      <c r="C305" s="486" t="inlineStr">
        <is>
          <t>Lengua y Literatura</t>
        </is>
      </c>
      <c r="D305" s="486" t="n">
        <v>9.09</v>
      </c>
      <c r="E305" s="486" t="n">
        <v>9.6</v>
      </c>
      <c r="F305" s="486" t="n">
        <v>0.51</v>
      </c>
      <c r="G305" s="486" t="inlineStr">
        <is>
          <t>ERROR</t>
        </is>
      </c>
    </row>
    <row r="306" ht="20" customHeight="1" s="225">
      <c r="A306" s="486" t="inlineStr">
        <is>
          <t>5AV</t>
        </is>
      </c>
      <c r="B306" s="486" t="inlineStr">
        <is>
          <t>TENESACA ÑAUTA SAMUEL MATIAS</t>
        </is>
      </c>
      <c r="C306" s="486" t="inlineStr">
        <is>
          <t>Matemática</t>
        </is>
      </c>
      <c r="D306" s="486" t="n">
        <v>9</v>
      </c>
      <c r="E306" s="486" t="n">
        <v>9.6</v>
      </c>
      <c r="F306" s="486" t="n">
        <v>0.6</v>
      </c>
      <c r="G306" s="486" t="inlineStr">
        <is>
          <t>ERROR</t>
        </is>
      </c>
    </row>
    <row r="307" ht="20" customHeight="1" s="225">
      <c r="A307" s="486" t="inlineStr">
        <is>
          <t>5AV</t>
        </is>
      </c>
      <c r="B307" s="486" t="inlineStr">
        <is>
          <t>TENESACA ÑAUTA SAMUEL MATIAS</t>
        </is>
      </c>
      <c r="C307" s="486" t="inlineStr">
        <is>
          <t>Ciencias Naturales</t>
        </is>
      </c>
      <c r="D307" s="486" t="n">
        <v>9.5</v>
      </c>
      <c r="E307" s="486" t="n">
        <v>9.73</v>
      </c>
      <c r="F307" s="486" t="n">
        <v>0.23</v>
      </c>
      <c r="G307" s="486" t="inlineStr">
        <is>
          <t>ERROR</t>
        </is>
      </c>
    </row>
    <row r="308" ht="20" customHeight="1" s="225">
      <c r="A308" s="486" t="inlineStr">
        <is>
          <t>5AV</t>
        </is>
      </c>
      <c r="B308" s="486" t="inlineStr">
        <is>
          <t>TENESACA ÑAUTA SAMUEL MATIAS</t>
        </is>
      </c>
      <c r="C308" s="486" t="inlineStr">
        <is>
          <t>Estudios Sociales</t>
        </is>
      </c>
      <c r="D308" s="486" t="n">
        <v>9.08</v>
      </c>
      <c r="E308" s="486" t="n">
        <v>9.75</v>
      </c>
      <c r="F308" s="486" t="n">
        <v>0.67</v>
      </c>
      <c r="G308" s="486" t="inlineStr">
        <is>
          <t>ERROR</t>
        </is>
      </c>
    </row>
    <row r="309" ht="20" customHeight="1" s="225">
      <c r="A309" s="486" t="inlineStr">
        <is>
          <t>5AV</t>
        </is>
      </c>
      <c r="B309" s="486" t="inlineStr">
        <is>
          <t>TENESACA ÑAUTA SAMUEL MATIAS</t>
        </is>
      </c>
      <c r="C309" s="486" t="inlineStr">
        <is>
          <t>Inglés</t>
        </is>
      </c>
      <c r="D309" s="486" t="n">
        <v>8.69</v>
      </c>
      <c r="E309" s="486" t="n">
        <v>9.449999999999999</v>
      </c>
      <c r="F309" s="486" t="n">
        <v>0.76</v>
      </c>
      <c r="G309" s="486" t="inlineStr">
        <is>
          <t>ERROR</t>
        </is>
      </c>
    </row>
    <row r="310" ht="20" customHeight="1" s="225">
      <c r="A310" s="486" t="inlineStr">
        <is>
          <t>5AV</t>
        </is>
      </c>
      <c r="B310" s="486" t="inlineStr">
        <is>
          <t>TENESACA ÑAUTA SAMUEL MATIAS</t>
        </is>
      </c>
      <c r="C310" s="486" t="inlineStr">
        <is>
          <t>Educación Cultural y Artística</t>
        </is>
      </c>
      <c r="D310" s="486" t="n">
        <v>9.65</v>
      </c>
      <c r="E310" s="486" t="n">
        <v>9.73</v>
      </c>
      <c r="F310" s="486" t="n">
        <v>0.08</v>
      </c>
      <c r="G310" s="486" t="inlineStr">
        <is>
          <t>ERROR</t>
        </is>
      </c>
    </row>
    <row r="311" ht="20" customHeight="1" s="225">
      <c r="A311" s="486" t="inlineStr">
        <is>
          <t>5AV</t>
        </is>
      </c>
      <c r="B311" s="486" t="inlineStr">
        <is>
          <t>TENESACA ÑAUTA SAMUEL MATIAS</t>
        </is>
      </c>
      <c r="C311" s="486" t="inlineStr">
        <is>
          <t>Educación Física</t>
        </is>
      </c>
      <c r="D311" s="486" t="n">
        <v>9.539999999999999</v>
      </c>
      <c r="E311" s="486" t="n">
        <v>9.26</v>
      </c>
      <c r="F311" s="486" t="n">
        <v>0.28</v>
      </c>
      <c r="G311" s="486" t="inlineStr">
        <is>
          <t>ERROR</t>
        </is>
      </c>
    </row>
    <row r="312" ht="20" customHeight="1" s="225">
      <c r="A312" s="486" t="inlineStr">
        <is>
          <t>5AV</t>
        </is>
      </c>
      <c r="B312" s="486" t="inlineStr">
        <is>
          <t>TENESACA ÑAUTA SAMUEL MATIAS</t>
        </is>
      </c>
      <c r="C312" s="486" t="inlineStr">
        <is>
          <t>Promedio Final / P. General</t>
        </is>
      </c>
      <c r="D312" s="486" t="n">
        <v>9.220000000000001</v>
      </c>
      <c r="E312" s="486" t="n">
        <v>9.58</v>
      </c>
      <c r="F312" s="486" t="n">
        <v>0.36</v>
      </c>
      <c r="G312" s="486" t="inlineStr">
        <is>
          <t>ERROR</t>
        </is>
      </c>
    </row>
    <row r="313" ht="20" customHeight="1" s="225">
      <c r="A313" s="486" t="inlineStr">
        <is>
          <t>5AV</t>
        </is>
      </c>
      <c r="B313" s="486" t="inlineStr">
        <is>
          <t>VALDEZ MONTESDEOCA CARLOS EMANUEL</t>
        </is>
      </c>
      <c r="C313" s="486" t="inlineStr">
        <is>
          <t>Lengua y Literatura</t>
        </is>
      </c>
      <c r="D313" s="486" t="n">
        <v>9.01</v>
      </c>
      <c r="E313" s="486" t="n">
        <v>8.609999999999999</v>
      </c>
      <c r="F313" s="486" t="n">
        <v>0.4</v>
      </c>
      <c r="G313" s="486" t="inlineStr">
        <is>
          <t>ERROR</t>
        </is>
      </c>
    </row>
    <row r="314" ht="20" customHeight="1" s="225">
      <c r="A314" s="486" t="inlineStr">
        <is>
          <t>5AV</t>
        </is>
      </c>
      <c r="B314" s="486" t="inlineStr">
        <is>
          <t>VALDEZ MONTESDEOCA CARLOS EMANUEL</t>
        </is>
      </c>
      <c r="C314" s="486" t="inlineStr">
        <is>
          <t>Matemática</t>
        </is>
      </c>
      <c r="D314" s="486" t="n">
        <v>8.94</v>
      </c>
      <c r="E314" s="486" t="n">
        <v>8.460000000000001</v>
      </c>
      <c r="F314" s="486" t="n">
        <v>0.48</v>
      </c>
      <c r="G314" s="486" t="inlineStr">
        <is>
          <t>ERROR</t>
        </is>
      </c>
    </row>
    <row r="315" ht="20" customHeight="1" s="225">
      <c r="A315" s="486" t="inlineStr">
        <is>
          <t>5AV</t>
        </is>
      </c>
      <c r="B315" s="486" t="inlineStr">
        <is>
          <t>VALDEZ MONTESDEOCA CARLOS EMANUEL</t>
        </is>
      </c>
      <c r="C315" s="486" t="inlineStr">
        <is>
          <t>Ciencias Naturales</t>
        </is>
      </c>
      <c r="D315" s="486" t="n">
        <v>9.380000000000001</v>
      </c>
      <c r="E315" s="486" t="n">
        <v>8.98</v>
      </c>
      <c r="F315" s="486" t="n">
        <v>0.4</v>
      </c>
      <c r="G315" s="486" t="inlineStr">
        <is>
          <t>ERROR</t>
        </is>
      </c>
    </row>
    <row r="316" ht="20" customHeight="1" s="225">
      <c r="A316" s="486" t="inlineStr">
        <is>
          <t>5AV</t>
        </is>
      </c>
      <c r="B316" s="486" t="inlineStr">
        <is>
          <t>VALDEZ MONTESDEOCA CARLOS EMANUEL</t>
        </is>
      </c>
      <c r="C316" s="486" t="inlineStr">
        <is>
          <t>Estudios Sociales</t>
        </is>
      </c>
      <c r="D316" s="486" t="n">
        <v>9.140000000000001</v>
      </c>
      <c r="E316" s="486" t="n">
        <v>8.67</v>
      </c>
      <c r="F316" s="486" t="n">
        <v>0.47</v>
      </c>
      <c r="G316" s="486" t="inlineStr">
        <is>
          <t>ERROR</t>
        </is>
      </c>
    </row>
    <row r="317" ht="20" customHeight="1" s="225">
      <c r="A317" s="486" t="inlineStr">
        <is>
          <t>5AV</t>
        </is>
      </c>
      <c r="B317" s="486" t="inlineStr">
        <is>
          <t>VALDEZ MONTESDEOCA CARLOS EMANUEL</t>
        </is>
      </c>
      <c r="C317" s="486" t="inlineStr">
        <is>
          <t>Inglés</t>
        </is>
      </c>
      <c r="D317" s="486" t="n">
        <v>8.42</v>
      </c>
      <c r="E317" s="486" t="n">
        <v>7.53</v>
      </c>
      <c r="F317" s="486" t="n">
        <v>0.89</v>
      </c>
      <c r="G317" s="486" t="inlineStr">
        <is>
          <t>ERROR</t>
        </is>
      </c>
    </row>
    <row r="318" ht="20" customHeight="1" s="225">
      <c r="A318" s="486" t="inlineStr">
        <is>
          <t>5AV</t>
        </is>
      </c>
      <c r="B318" s="486" t="inlineStr">
        <is>
          <t>VALDEZ MONTESDEOCA CARLOS EMANUEL</t>
        </is>
      </c>
      <c r="C318" s="486" t="inlineStr">
        <is>
          <t>Educación Cultural y Artística</t>
        </is>
      </c>
      <c r="D318" s="486" t="n">
        <v>9.039999999999999</v>
      </c>
      <c r="E318" s="486" t="n">
        <v>8.83</v>
      </c>
      <c r="F318" s="486" t="n">
        <v>0.21</v>
      </c>
      <c r="G318" s="486" t="inlineStr">
        <is>
          <t>ERROR</t>
        </is>
      </c>
    </row>
    <row r="319" ht="20" customHeight="1" s="225">
      <c r="A319" s="486" t="inlineStr">
        <is>
          <t>5AV</t>
        </is>
      </c>
      <c r="B319" s="486" t="inlineStr">
        <is>
          <t>VALDEZ MONTESDEOCA CARLOS EMANUEL</t>
        </is>
      </c>
      <c r="C319" s="486" t="inlineStr">
        <is>
          <t>Educación Física</t>
        </is>
      </c>
      <c r="D319" s="486" t="n">
        <v>8.609999999999999</v>
      </c>
      <c r="E319" s="486" t="n">
        <v>8.279999999999999</v>
      </c>
      <c r="F319" s="486" t="n">
        <v>0.33</v>
      </c>
      <c r="G319" s="486" t="inlineStr">
        <is>
          <t>ERROR</t>
        </is>
      </c>
    </row>
    <row r="320" ht="20" customHeight="1" s="225">
      <c r="A320" s="486" t="inlineStr">
        <is>
          <t>5AV</t>
        </is>
      </c>
      <c r="B320" s="486" t="inlineStr">
        <is>
          <t>VALDEZ MONTESDEOCA CARLOS EMANUEL</t>
        </is>
      </c>
      <c r="C320" s="486" t="inlineStr">
        <is>
          <t>Promedio Final / P. General</t>
        </is>
      </c>
      <c r="D320" s="486" t="n">
        <v>8.93</v>
      </c>
      <c r="E320" s="486" t="n">
        <v>8.48</v>
      </c>
      <c r="F320" s="486" t="n">
        <v>0.45</v>
      </c>
      <c r="G320" s="486" t="inlineStr">
        <is>
          <t>ERROR</t>
        </is>
      </c>
    </row>
    <row r="321" ht="20" customHeight="1" s="225">
      <c r="A321" s="485" t="inlineStr">
        <is>
          <t>5AV</t>
        </is>
      </c>
      <c r="B321" s="485" t="inlineStr">
        <is>
          <t>CHILLOGALLI MALLA SOFIA ALEJANDRA</t>
        </is>
      </c>
      <c r="C321" s="485" t="inlineStr">
        <is>
          <t>SOLO EN SISTEMA</t>
        </is>
      </c>
      <c r="D321" s="485" t="inlineStr">
        <is>
          <t>-</t>
        </is>
      </c>
      <c r="E321" s="485" t="inlineStr">
        <is>
          <t>-</t>
        </is>
      </c>
      <c r="F321" s="485" t="inlineStr">
        <is>
          <t>-</t>
        </is>
      </c>
      <c r="G321" s="485" t="inlineStr">
        <is>
          <t>DESFASE DE NÓMINA</t>
        </is>
      </c>
    </row>
    <row r="322" ht="20" customHeight="1" s="225">
      <c r="A322" s="486" t="inlineStr">
        <is>
          <t>5BV</t>
        </is>
      </c>
      <c r="B322" s="486" t="inlineStr">
        <is>
          <t>BARBECHO ZHINDON DILAN JESUS</t>
        </is>
      </c>
      <c r="C322" s="486" t="inlineStr">
        <is>
          <t>Ciencias Naturales</t>
        </is>
      </c>
      <c r="D322" s="486" t="n">
        <v>7.38</v>
      </c>
      <c r="E322" s="486" t="n">
        <v>7.05</v>
      </c>
      <c r="F322" s="486" t="n">
        <v>0.33</v>
      </c>
      <c r="G322" s="486" t="inlineStr">
        <is>
          <t>ERROR</t>
        </is>
      </c>
    </row>
    <row r="323" ht="20" customHeight="1" s="225">
      <c r="A323" s="486" t="inlineStr">
        <is>
          <t>5BV</t>
        </is>
      </c>
      <c r="B323" s="486" t="inlineStr">
        <is>
          <t>BARBECHO ZHINDON DILAN JESUS</t>
        </is>
      </c>
      <c r="C323" s="486" t="inlineStr">
        <is>
          <t>Promedio Final / P. General</t>
        </is>
      </c>
      <c r="D323" s="486" t="n">
        <v>7.59</v>
      </c>
      <c r="E323" s="486" t="n">
        <v>7.54</v>
      </c>
      <c r="F323" s="486" t="n">
        <v>0.05</v>
      </c>
      <c r="G323" s="486" t="inlineStr">
        <is>
          <t>ERROR</t>
        </is>
      </c>
    </row>
    <row r="324" ht="20" customHeight="1" s="225">
      <c r="A324" s="486" t="inlineStr">
        <is>
          <t>5BV</t>
        </is>
      </c>
      <c r="B324" s="486" t="inlineStr">
        <is>
          <t>CUZCO SARANGO KATHERINE PAOLA</t>
        </is>
      </c>
      <c r="C324" s="486" t="inlineStr">
        <is>
          <t>Matemática</t>
        </is>
      </c>
      <c r="D324" s="486" t="n">
        <v>9.27</v>
      </c>
      <c r="E324" s="486" t="n">
        <v>9.199999999999999</v>
      </c>
      <c r="F324" s="486" t="n">
        <v>0.07000000000000001</v>
      </c>
      <c r="G324" s="486" t="inlineStr">
        <is>
          <t>ERROR</t>
        </is>
      </c>
    </row>
    <row r="325" ht="20" customHeight="1" s="225">
      <c r="A325" s="486" t="inlineStr">
        <is>
          <t>5BV</t>
        </is>
      </c>
      <c r="B325" s="486" t="inlineStr">
        <is>
          <t>GUARQUILA MEJIA AMANDA MARIANELA</t>
        </is>
      </c>
      <c r="C325" s="486" t="inlineStr">
        <is>
          <t>Ciencias Naturales</t>
        </is>
      </c>
      <c r="D325" s="486" t="n">
        <v>9.52</v>
      </c>
      <c r="E325" s="486" t="n">
        <v>9.76</v>
      </c>
      <c r="F325" s="486" t="n">
        <v>0.24</v>
      </c>
      <c r="G325" s="486" t="inlineStr">
        <is>
          <t>ERROR</t>
        </is>
      </c>
    </row>
    <row r="326" ht="20" customHeight="1" s="225">
      <c r="A326" s="486" t="inlineStr">
        <is>
          <t>5BV</t>
        </is>
      </c>
      <c r="B326" s="486" t="inlineStr">
        <is>
          <t>GUARQUILA MEJIA AMANDA MARIANELA</t>
        </is>
      </c>
      <c r="C326" s="486" t="inlineStr">
        <is>
          <t>Promedio Final / P. General</t>
        </is>
      </c>
      <c r="D326" s="486" t="n">
        <v>9.59</v>
      </c>
      <c r="E326" s="486" t="n">
        <v>9.619999999999999</v>
      </c>
      <c r="F326" s="486" t="n">
        <v>0.03</v>
      </c>
      <c r="G326" s="486" t="inlineStr">
        <is>
          <t>ERROR</t>
        </is>
      </c>
    </row>
    <row r="327" ht="20" customHeight="1" s="225">
      <c r="A327" s="486" t="inlineStr">
        <is>
          <t>5BV</t>
        </is>
      </c>
      <c r="B327" s="486" t="inlineStr">
        <is>
          <t>MOROCHO NAREA JOSSELYN DAYANA</t>
        </is>
      </c>
      <c r="C327" s="486" t="inlineStr">
        <is>
          <t>Matemática</t>
        </is>
      </c>
      <c r="D327" s="486" t="n">
        <v>9.48</v>
      </c>
      <c r="E327" s="486" t="n">
        <v>9.449999999999999</v>
      </c>
      <c r="F327" s="486" t="n">
        <v>0.03</v>
      </c>
      <c r="G327" s="486" t="inlineStr">
        <is>
          <t>ERROR</t>
        </is>
      </c>
    </row>
    <row r="328" ht="20" customHeight="1" s="225">
      <c r="A328" s="486" t="inlineStr">
        <is>
          <t>5BV</t>
        </is>
      </c>
      <c r="B328" s="486" t="inlineStr">
        <is>
          <t>MOROCHO NAREA JOSSELYN DAYANA</t>
        </is>
      </c>
      <c r="C328" s="486" t="inlineStr">
        <is>
          <t>Inglés</t>
        </is>
      </c>
      <c r="D328" s="486" t="n">
        <v>9.31</v>
      </c>
      <c r="E328" s="486" t="n">
        <v>9.279999999999999</v>
      </c>
      <c r="F328" s="486" t="n">
        <v>0.03</v>
      </c>
      <c r="G328" s="486" t="inlineStr">
        <is>
          <t>ERROR</t>
        </is>
      </c>
    </row>
    <row r="329" ht="20" customHeight="1" s="225">
      <c r="A329" s="485" t="inlineStr">
        <is>
          <t>5BV</t>
        </is>
      </c>
      <c r="B329" s="485" t="inlineStr">
        <is>
          <t>PATIÑO YANZA ANA PAULA</t>
        </is>
      </c>
      <c r="C329" s="485" t="inlineStr">
        <is>
          <t>(NÓMINA)</t>
        </is>
      </c>
      <c r="D329" s="485" t="inlineStr">
        <is>
          <t>-</t>
        </is>
      </c>
      <c r="E329" s="485" t="inlineStr">
        <is>
          <t>-</t>
        </is>
      </c>
      <c r="F329" s="485" t="inlineStr">
        <is>
          <t>-</t>
        </is>
      </c>
      <c r="G329" s="485" t="inlineStr">
        <is>
          <t>DESFASE DE NÓMINA</t>
        </is>
      </c>
    </row>
    <row r="330" ht="20" customHeight="1" s="225">
      <c r="A330" s="486" t="inlineStr">
        <is>
          <t>5BV</t>
        </is>
      </c>
      <c r="B330" s="486" t="inlineStr">
        <is>
          <t>PATIÑO YANZA ANA PAULA</t>
        </is>
      </c>
      <c r="C330" s="486" t="inlineStr">
        <is>
          <t>Inglés</t>
        </is>
      </c>
      <c r="D330" s="486" t="n">
        <v>9.390000000000001</v>
      </c>
      <c r="E330" s="486" t="n">
        <v>9.529999999999999</v>
      </c>
      <c r="F330" s="486" t="n">
        <v>0.14</v>
      </c>
      <c r="G330" s="486" t="inlineStr">
        <is>
          <t>ERROR</t>
        </is>
      </c>
    </row>
    <row r="331" ht="20" customHeight="1" s="225">
      <c r="A331" s="485" t="inlineStr">
        <is>
          <t>5BV</t>
        </is>
      </c>
      <c r="B331" s="485" t="inlineStr">
        <is>
          <t>PERALVO LONDA SOFIA AIDE</t>
        </is>
      </c>
      <c r="C331" s="485" t="inlineStr">
        <is>
          <t>(NÓMINA)</t>
        </is>
      </c>
      <c r="D331" s="485" t="inlineStr">
        <is>
          <t>-</t>
        </is>
      </c>
      <c r="E331" s="485" t="inlineStr">
        <is>
          <t>-</t>
        </is>
      </c>
      <c r="F331" s="485" t="inlineStr">
        <is>
          <t>-</t>
        </is>
      </c>
      <c r="G331" s="485" t="inlineStr">
        <is>
          <t>DESFASE DE NÓMINA</t>
        </is>
      </c>
    </row>
    <row r="332" ht="20" customHeight="1" s="225">
      <c r="A332" s="485" t="inlineStr">
        <is>
          <t>5BV</t>
        </is>
      </c>
      <c r="B332" s="485" t="inlineStr">
        <is>
          <t>PUMA ZHAGUI NAYELI ESTEFANIA</t>
        </is>
      </c>
      <c r="C332" s="485" t="inlineStr">
        <is>
          <t>(NÓMINA)</t>
        </is>
      </c>
      <c r="D332" s="485" t="inlineStr">
        <is>
          <t>-</t>
        </is>
      </c>
      <c r="E332" s="485" t="inlineStr">
        <is>
          <t>-</t>
        </is>
      </c>
      <c r="F332" s="485" t="inlineStr">
        <is>
          <t>-</t>
        </is>
      </c>
      <c r="G332" s="485" t="inlineStr">
        <is>
          <t>DESFASE DE NÓMINA</t>
        </is>
      </c>
    </row>
    <row r="333" ht="20" customHeight="1" s="225">
      <c r="A333" s="486" t="inlineStr">
        <is>
          <t>5BV</t>
        </is>
      </c>
      <c r="B333" s="486" t="inlineStr">
        <is>
          <t>PUMA ZHAGUI NAYELI ESTEFANIA</t>
        </is>
      </c>
      <c r="C333" s="486" t="inlineStr">
        <is>
          <t>Inglés</t>
        </is>
      </c>
      <c r="D333" s="486" t="n">
        <v>9.130000000000001</v>
      </c>
      <c r="E333" s="486" t="n">
        <v>9.449999999999999</v>
      </c>
      <c r="F333" s="486" t="n">
        <v>0.32</v>
      </c>
      <c r="G333" s="486" t="inlineStr">
        <is>
          <t>ERROR</t>
        </is>
      </c>
    </row>
    <row r="334" ht="20" customHeight="1" s="225">
      <c r="A334" s="486" t="inlineStr">
        <is>
          <t>5BV</t>
        </is>
      </c>
      <c r="B334" s="486" t="inlineStr">
        <is>
          <t>PUMA ZHAGUI NAYELI ESTEFANIA</t>
        </is>
      </c>
      <c r="C334" s="486" t="inlineStr">
        <is>
          <t>Promedio Final / P. General</t>
        </is>
      </c>
      <c r="D334" s="486" t="n">
        <v>9.130000000000001</v>
      </c>
      <c r="E334" s="486" t="n">
        <v>9.17</v>
      </c>
      <c r="F334" s="486" t="n">
        <v>0.04</v>
      </c>
      <c r="G334" s="486" t="inlineStr">
        <is>
          <t>ERROR</t>
        </is>
      </c>
    </row>
    <row r="335" ht="20" customHeight="1" s="225">
      <c r="A335" s="485" t="inlineStr">
        <is>
          <t>5BV</t>
        </is>
      </c>
      <c r="B335" s="485" t="inlineStr">
        <is>
          <t>REDROVAN GARCIA DAARON MATHIAS</t>
        </is>
      </c>
      <c r="C335" s="485" t="inlineStr">
        <is>
          <t>(NÓMINA)</t>
        </is>
      </c>
      <c r="D335" s="485" t="inlineStr">
        <is>
          <t>-</t>
        </is>
      </c>
      <c r="E335" s="485" t="inlineStr">
        <is>
          <t>-</t>
        </is>
      </c>
      <c r="F335" s="485" t="inlineStr">
        <is>
          <t>-</t>
        </is>
      </c>
      <c r="G335" s="485" t="inlineStr">
        <is>
          <t>DESFASE DE NÓMINA</t>
        </is>
      </c>
    </row>
    <row r="336" ht="20" customHeight="1" s="225">
      <c r="A336" s="485" t="inlineStr">
        <is>
          <t>5BV</t>
        </is>
      </c>
      <c r="B336" s="485" t="inlineStr">
        <is>
          <t>ROBLES LOAIZA JONATHAN JOSUE</t>
        </is>
      </c>
      <c r="C336" s="485" t="inlineStr">
        <is>
          <t>(NÓMINA)</t>
        </is>
      </c>
      <c r="D336" s="485" t="inlineStr">
        <is>
          <t>-</t>
        </is>
      </c>
      <c r="E336" s="485" t="inlineStr">
        <is>
          <t>-</t>
        </is>
      </c>
      <c r="F336" s="485" t="inlineStr">
        <is>
          <t>-</t>
        </is>
      </c>
      <c r="G336" s="485" t="inlineStr">
        <is>
          <t>DESFASE DE NÓMINA</t>
        </is>
      </c>
    </row>
    <row r="337" ht="20" customHeight="1" s="225">
      <c r="A337" s="485" t="inlineStr">
        <is>
          <t>5BV</t>
        </is>
      </c>
      <c r="B337" s="485" t="inlineStr">
        <is>
          <t>RUIZ SOLIZ JULISSA KIMBERLY</t>
        </is>
      </c>
      <c r="C337" s="485" t="inlineStr">
        <is>
          <t>(NÓMINA)</t>
        </is>
      </c>
      <c r="D337" s="485" t="inlineStr">
        <is>
          <t>-</t>
        </is>
      </c>
      <c r="E337" s="485" t="inlineStr">
        <is>
          <t>-</t>
        </is>
      </c>
      <c r="F337" s="485" t="inlineStr">
        <is>
          <t>-</t>
        </is>
      </c>
      <c r="G337" s="485" t="inlineStr">
        <is>
          <t>DESFASE DE NÓMINA</t>
        </is>
      </c>
    </row>
    <row r="338" ht="20" customHeight="1" s="225">
      <c r="A338" s="486" t="inlineStr">
        <is>
          <t>5BV</t>
        </is>
      </c>
      <c r="B338" s="486" t="inlineStr">
        <is>
          <t>RUIZ SOLIZ JULISSA KIMBERLY</t>
        </is>
      </c>
      <c r="C338" s="486" t="inlineStr">
        <is>
          <t>Matemática</t>
        </is>
      </c>
      <c r="D338" s="486" t="n">
        <v>7.4</v>
      </c>
      <c r="E338" s="486" t="n">
        <v>7.61</v>
      </c>
      <c r="F338" s="486" t="n">
        <v>0.21</v>
      </c>
      <c r="G338" s="486" t="inlineStr">
        <is>
          <t>ERROR</t>
        </is>
      </c>
    </row>
    <row r="339" ht="20" customHeight="1" s="225">
      <c r="A339" s="486" t="inlineStr">
        <is>
          <t>5BV</t>
        </is>
      </c>
      <c r="B339" s="486" t="inlineStr">
        <is>
          <t>RUIZ SOLIZ JULISSA KIMBERLY</t>
        </is>
      </c>
      <c r="C339" s="486" t="inlineStr">
        <is>
          <t>Promedio Final / P. General</t>
        </is>
      </c>
      <c r="D339" s="486" t="n">
        <v>7.86</v>
      </c>
      <c r="E339" s="486" t="n">
        <v>7.89</v>
      </c>
      <c r="F339" s="486" t="n">
        <v>0.03</v>
      </c>
      <c r="G339" s="486" t="inlineStr">
        <is>
          <t>ERROR</t>
        </is>
      </c>
    </row>
    <row r="340" ht="20" customHeight="1" s="225">
      <c r="A340" s="485" t="inlineStr">
        <is>
          <t>5BV</t>
        </is>
      </c>
      <c r="B340" s="485" t="inlineStr">
        <is>
          <t>SAMANIEGO CABRERA DANNA BELEN</t>
        </is>
      </c>
      <c r="C340" s="485" t="inlineStr">
        <is>
          <t>(NÓMINA)</t>
        </is>
      </c>
      <c r="D340" s="485" t="inlineStr">
        <is>
          <t>-</t>
        </is>
      </c>
      <c r="E340" s="485" t="inlineStr">
        <is>
          <t>-</t>
        </is>
      </c>
      <c r="F340" s="485" t="inlineStr">
        <is>
          <t>-</t>
        </is>
      </c>
      <c r="G340" s="485" t="inlineStr">
        <is>
          <t>DESFASE DE NÓMINA</t>
        </is>
      </c>
    </row>
    <row r="341" ht="20" customHeight="1" s="225">
      <c r="A341" s="486" t="inlineStr">
        <is>
          <t>5BV</t>
        </is>
      </c>
      <c r="B341" s="486" t="inlineStr">
        <is>
          <t>SAMANIEGO CABRERA DANNA BELEN</t>
        </is>
      </c>
      <c r="C341" s="486" t="inlineStr">
        <is>
          <t>Matemática</t>
        </is>
      </c>
      <c r="D341" s="486" t="n">
        <v>8.550000000000001</v>
      </c>
      <c r="E341" s="486" t="n">
        <v>8.960000000000001</v>
      </c>
      <c r="F341" s="486" t="n">
        <v>0.41</v>
      </c>
      <c r="G341" s="486" t="inlineStr">
        <is>
          <t>ERROR</t>
        </is>
      </c>
    </row>
    <row r="342" ht="20" customHeight="1" s="225">
      <c r="A342" s="486" t="inlineStr">
        <is>
          <t>5BV</t>
        </is>
      </c>
      <c r="B342" s="486" t="inlineStr">
        <is>
          <t>SAMANIEGO CABRERA DANNA BELEN</t>
        </is>
      </c>
      <c r="C342" s="486" t="inlineStr">
        <is>
          <t>Educación Cultural y Artística</t>
        </is>
      </c>
      <c r="D342" s="486" t="n">
        <v>9.56</v>
      </c>
      <c r="E342" s="486" t="n">
        <v>9.35</v>
      </c>
      <c r="F342" s="486" t="n">
        <v>0.21</v>
      </c>
      <c r="G342" s="486" t="inlineStr">
        <is>
          <t>ERROR</t>
        </is>
      </c>
    </row>
    <row r="343" ht="20" customHeight="1" s="225">
      <c r="A343" s="485" t="inlineStr">
        <is>
          <t>5BV</t>
        </is>
      </c>
      <c r="B343" s="485" t="inlineStr">
        <is>
          <t>SIBRI SAICO LUIS ALEXIS</t>
        </is>
      </c>
      <c r="C343" s="485" t="inlineStr">
        <is>
          <t>(NÓMINA)</t>
        </is>
      </c>
      <c r="D343" s="485" t="inlineStr">
        <is>
          <t>-</t>
        </is>
      </c>
      <c r="E343" s="485" t="inlineStr">
        <is>
          <t>-</t>
        </is>
      </c>
      <c r="F343" s="485" t="inlineStr">
        <is>
          <t>-</t>
        </is>
      </c>
      <c r="G343" s="485" t="inlineStr">
        <is>
          <t>DESFASE DE NÓMINA</t>
        </is>
      </c>
    </row>
    <row r="344" ht="20" customHeight="1" s="225">
      <c r="A344" s="486" t="inlineStr">
        <is>
          <t>5BV</t>
        </is>
      </c>
      <c r="B344" s="486" t="inlineStr">
        <is>
          <t>SIBRI SAICO LUIS ALEXIS</t>
        </is>
      </c>
      <c r="C344" s="486" t="inlineStr">
        <is>
          <t>Matemática</t>
        </is>
      </c>
      <c r="D344" s="486" t="n">
        <v>9</v>
      </c>
      <c r="E344" s="486" t="n">
        <v>9.1</v>
      </c>
      <c r="F344" s="486" t="n">
        <v>0.1</v>
      </c>
      <c r="G344" s="486" t="inlineStr">
        <is>
          <t>ERROR</t>
        </is>
      </c>
    </row>
    <row r="345" ht="20" customHeight="1" s="225">
      <c r="A345" s="485" t="inlineStr">
        <is>
          <t>5BV</t>
        </is>
      </c>
      <c r="B345" s="485" t="inlineStr">
        <is>
          <t>SICHIQUE BARRERA ALLISON ADRIANA</t>
        </is>
      </c>
      <c r="C345" s="485" t="inlineStr">
        <is>
          <t>(NÓMINA)</t>
        </is>
      </c>
      <c r="D345" s="485" t="inlineStr">
        <is>
          <t>-</t>
        </is>
      </c>
      <c r="E345" s="485" t="inlineStr">
        <is>
          <t>-</t>
        </is>
      </c>
      <c r="F345" s="485" t="inlineStr">
        <is>
          <t>-</t>
        </is>
      </c>
      <c r="G345" s="485" t="inlineStr">
        <is>
          <t>DESFASE DE NÓMINA</t>
        </is>
      </c>
    </row>
    <row r="346" ht="20" customHeight="1" s="225">
      <c r="A346" s="486" t="inlineStr">
        <is>
          <t>5BV</t>
        </is>
      </c>
      <c r="B346" s="486" t="inlineStr">
        <is>
          <t>SICHIQUE BARRERA ALLISON ADRIANA</t>
        </is>
      </c>
      <c r="C346" s="486" t="inlineStr">
        <is>
          <t>Matemática</t>
        </is>
      </c>
      <c r="D346" s="486" t="n">
        <v>9.06</v>
      </c>
      <c r="E346" s="486" t="n">
        <v>8.24</v>
      </c>
      <c r="F346" s="486" t="n">
        <v>0.82</v>
      </c>
      <c r="G346" s="486" t="inlineStr">
        <is>
          <t>ERROR</t>
        </is>
      </c>
    </row>
    <row r="347" ht="20" customHeight="1" s="225">
      <c r="A347" s="486" t="inlineStr">
        <is>
          <t>5BV</t>
        </is>
      </c>
      <c r="B347" s="486" t="inlineStr">
        <is>
          <t>SICHIQUE BARRERA ALLISON ADRIANA</t>
        </is>
      </c>
      <c r="C347" s="486" t="inlineStr">
        <is>
          <t>Ciencias Naturales</t>
        </is>
      </c>
      <c r="D347" s="486" t="n">
        <v>7.98</v>
      </c>
      <c r="E347" s="486" t="n">
        <v>8.640000000000001</v>
      </c>
      <c r="F347" s="486" t="n">
        <v>0.66</v>
      </c>
      <c r="G347" s="486" t="inlineStr">
        <is>
          <t>ERROR</t>
        </is>
      </c>
    </row>
    <row r="348" ht="20" customHeight="1" s="225">
      <c r="A348" s="486" t="inlineStr">
        <is>
          <t>5BV</t>
        </is>
      </c>
      <c r="B348" s="486" t="inlineStr">
        <is>
          <t>SICHIQUE BARRERA ALLISON ADRIANA</t>
        </is>
      </c>
      <c r="C348" s="486" t="inlineStr">
        <is>
          <t>Promedio Final / P. General</t>
        </is>
      </c>
      <c r="D348" s="486" t="n">
        <v>8.77</v>
      </c>
      <c r="E348" s="486" t="n">
        <v>8.74</v>
      </c>
      <c r="F348" s="486" t="n">
        <v>0.03</v>
      </c>
      <c r="G348" s="486" t="inlineStr">
        <is>
          <t>ERROR</t>
        </is>
      </c>
    </row>
    <row r="349" ht="20" customHeight="1" s="225">
      <c r="A349" s="485" t="inlineStr">
        <is>
          <t>5BV</t>
        </is>
      </c>
      <c r="B349" s="485" t="inlineStr">
        <is>
          <t>SUAREZ PULGARIN AMBAR NAHOMY</t>
        </is>
      </c>
      <c r="C349" s="485" t="inlineStr">
        <is>
          <t>(NÓMINA)</t>
        </is>
      </c>
      <c r="D349" s="485" t="inlineStr">
        <is>
          <t>-</t>
        </is>
      </c>
      <c r="E349" s="485" t="inlineStr">
        <is>
          <t>-</t>
        </is>
      </c>
      <c r="F349" s="485" t="inlineStr">
        <is>
          <t>-</t>
        </is>
      </c>
      <c r="G349" s="485" t="inlineStr">
        <is>
          <t>DESFASE DE NÓMINA</t>
        </is>
      </c>
    </row>
    <row r="350" ht="20" customHeight="1" s="225">
      <c r="A350" s="486" t="inlineStr">
        <is>
          <t>5BV</t>
        </is>
      </c>
      <c r="B350" s="486" t="inlineStr">
        <is>
          <t>SUAREZ PULGARIN AMBAR NAHOMY</t>
        </is>
      </c>
      <c r="C350" s="486" t="inlineStr">
        <is>
          <t>Matemática</t>
        </is>
      </c>
      <c r="D350" s="486" t="n">
        <v>7.83</v>
      </c>
      <c r="E350" s="486" t="n">
        <v>7.59</v>
      </c>
      <c r="F350" s="486" t="n">
        <v>0.24</v>
      </c>
      <c r="G350" s="486" t="inlineStr">
        <is>
          <t>ERROR</t>
        </is>
      </c>
    </row>
    <row r="351" ht="20" customHeight="1" s="225">
      <c r="A351" s="486" t="inlineStr">
        <is>
          <t>5BV</t>
        </is>
      </c>
      <c r="B351" s="486" t="inlineStr">
        <is>
          <t>SUAREZ PULGARIN AMBAR NAHOMY</t>
        </is>
      </c>
      <c r="C351" s="486" t="inlineStr">
        <is>
          <t>Promedio Final / P. General</t>
        </is>
      </c>
      <c r="D351" s="486" t="n">
        <v>8.25</v>
      </c>
      <c r="E351" s="486" t="n">
        <v>8.210000000000001</v>
      </c>
      <c r="F351" s="486" t="n">
        <v>0.04</v>
      </c>
      <c r="G351" s="486" t="inlineStr">
        <is>
          <t>ERROR</t>
        </is>
      </c>
    </row>
    <row r="352" ht="20" customHeight="1" s="225">
      <c r="A352" s="485" t="inlineStr">
        <is>
          <t>5BV</t>
        </is>
      </c>
      <c r="B352" s="485" t="inlineStr">
        <is>
          <t>VALDEZ BENAVIDES HADES EZEQUIEL</t>
        </is>
      </c>
      <c r="C352" s="485" t="inlineStr">
        <is>
          <t>(NÓMINA)</t>
        </is>
      </c>
      <c r="D352" s="485" t="inlineStr">
        <is>
          <t>-</t>
        </is>
      </c>
      <c r="E352" s="485" t="inlineStr">
        <is>
          <t>-</t>
        </is>
      </c>
      <c r="F352" s="485" t="inlineStr">
        <is>
          <t>-</t>
        </is>
      </c>
      <c r="G352" s="485" t="inlineStr">
        <is>
          <t>DESFASE DE NÓMINA</t>
        </is>
      </c>
    </row>
    <row r="353" ht="20" customHeight="1" s="225">
      <c r="A353" s="485" t="inlineStr">
        <is>
          <t>5BV</t>
        </is>
      </c>
      <c r="B353" s="485" t="inlineStr">
        <is>
          <t>VIZHCO CHILLOGALLI MAYRA MARIBEL</t>
        </is>
      </c>
      <c r="C353" s="485" t="inlineStr">
        <is>
          <t>(NÓMINA)</t>
        </is>
      </c>
      <c r="D353" s="485" t="inlineStr">
        <is>
          <t>-</t>
        </is>
      </c>
      <c r="E353" s="485" t="inlineStr">
        <is>
          <t>-</t>
        </is>
      </c>
      <c r="F353" s="485" t="inlineStr">
        <is>
          <t>-</t>
        </is>
      </c>
      <c r="G353" s="485" t="inlineStr">
        <is>
          <t>DESFASE DE NÓMINA</t>
        </is>
      </c>
    </row>
    <row r="354" ht="20" customHeight="1" s="225">
      <c r="A354" s="485" t="inlineStr">
        <is>
          <t>5BV</t>
        </is>
      </c>
      <c r="B354" s="485" t="inlineStr">
        <is>
          <t>YAUSEN LITARDO ANELIZ DEL ROCIO</t>
        </is>
      </c>
      <c r="C354" s="485" t="inlineStr">
        <is>
          <t>(NÓMINA)</t>
        </is>
      </c>
      <c r="D354" s="485" t="inlineStr">
        <is>
          <t>-</t>
        </is>
      </c>
      <c r="E354" s="485" t="inlineStr">
        <is>
          <t>-</t>
        </is>
      </c>
      <c r="F354" s="485" t="inlineStr">
        <is>
          <t>-</t>
        </is>
      </c>
      <c r="G354" s="485" t="inlineStr">
        <is>
          <t>DESFASE DE NÓMINA</t>
        </is>
      </c>
    </row>
    <row r="355" ht="20" customHeight="1" s="225">
      <c r="A355" s="486" t="inlineStr">
        <is>
          <t>5BV</t>
        </is>
      </c>
      <c r="B355" s="486" t="inlineStr">
        <is>
          <t>YAUSEN LITARDO ANELIZ DEL ROCIO</t>
        </is>
      </c>
      <c r="C355" s="486" t="inlineStr">
        <is>
          <t>Ciencias Naturales</t>
        </is>
      </c>
      <c r="D355" s="486" t="n">
        <v>7.44</v>
      </c>
      <c r="E355" s="486" t="n">
        <v>8.1</v>
      </c>
      <c r="F355" s="486" t="n">
        <v>0.66</v>
      </c>
      <c r="G355" s="486" t="inlineStr">
        <is>
          <t>ERROR</t>
        </is>
      </c>
    </row>
    <row r="356" ht="20" customHeight="1" s="225">
      <c r="A356" s="486" t="inlineStr">
        <is>
          <t>5BV</t>
        </is>
      </c>
      <c r="B356" s="486" t="inlineStr">
        <is>
          <t>YAUSEN LITARDO ANELIZ DEL ROCIO</t>
        </is>
      </c>
      <c r="C356" s="486" t="inlineStr">
        <is>
          <t>Promedio Final / P. General</t>
        </is>
      </c>
      <c r="D356" s="486" t="n">
        <v>7.84</v>
      </c>
      <c r="E356" s="486" t="n">
        <v>7.93</v>
      </c>
      <c r="F356" s="486" t="n">
        <v>0.09</v>
      </c>
      <c r="G356" s="486" t="inlineStr">
        <is>
          <t>ERROR</t>
        </is>
      </c>
    </row>
    <row r="357" ht="20" customHeight="1" s="225">
      <c r="A357" s="485" t="inlineStr">
        <is>
          <t>5BV</t>
        </is>
      </c>
      <c r="B357" s="485" t="inlineStr">
        <is>
          <t>YUNGA SOLANO JOSUE MATEO</t>
        </is>
      </c>
      <c r="C357" s="485" t="inlineStr">
        <is>
          <t>(NÓMINA)</t>
        </is>
      </c>
      <c r="D357" s="485" t="inlineStr">
        <is>
          <t>-</t>
        </is>
      </c>
      <c r="E357" s="485" t="inlineStr">
        <is>
          <t>-</t>
        </is>
      </c>
      <c r="F357" s="485" t="inlineStr">
        <is>
          <t>-</t>
        </is>
      </c>
      <c r="G357" s="485" t="inlineStr">
        <is>
          <t>DESFASE DE NÓMINA</t>
        </is>
      </c>
    </row>
    <row r="358" ht="20" customHeight="1" s="225">
      <c r="A358" s="485" t="inlineStr">
        <is>
          <t>5BV</t>
        </is>
      </c>
      <c r="B358" s="485" t="inlineStr">
        <is>
          <t>ORTIZ CACUANGO JOSTIN ALEXANDER</t>
        </is>
      </c>
      <c r="C358" s="485" t="inlineStr">
        <is>
          <t>SOLO EN SISTEMA</t>
        </is>
      </c>
      <c r="D358" s="485" t="inlineStr">
        <is>
          <t>-</t>
        </is>
      </c>
      <c r="E358" s="485" t="inlineStr">
        <is>
          <t>-</t>
        </is>
      </c>
      <c r="F358" s="485" t="inlineStr">
        <is>
          <t>-</t>
        </is>
      </c>
      <c r="G358" s="485" t="inlineStr">
        <is>
          <t>DESFASE DE NÓMINA</t>
        </is>
      </c>
    </row>
    <row r="359" ht="20" customHeight="1" s="225">
      <c r="A359" s="485" t="inlineStr">
        <is>
          <t>6AV</t>
        </is>
      </c>
      <c r="B359" s="485" t="inlineStr">
        <is>
          <t>GUAMAN ZHIRAP CARLOS LUIS</t>
        </is>
      </c>
      <c r="C359" s="485" t="inlineStr">
        <is>
          <t>SOLO EN DOCENTES</t>
        </is>
      </c>
      <c r="D359" s="485" t="inlineStr">
        <is>
          <t>-</t>
        </is>
      </c>
      <c r="E359" s="485" t="inlineStr">
        <is>
          <t>-</t>
        </is>
      </c>
      <c r="F359" s="485" t="inlineStr">
        <is>
          <t>-</t>
        </is>
      </c>
      <c r="G359" s="485" t="inlineStr">
        <is>
          <t>DESFASE DE NÓMINA</t>
        </is>
      </c>
    </row>
    <row r="360" ht="20" customHeight="1" s="225">
      <c r="A360" s="485" t="inlineStr">
        <is>
          <t>6AV</t>
        </is>
      </c>
      <c r="B360" s="485" t="inlineStr">
        <is>
          <t>MACHADO OCHOA MELANIE KATRINA</t>
        </is>
      </c>
      <c r="C360" s="485" t="inlineStr">
        <is>
          <t>SOLO EN DOCENTES</t>
        </is>
      </c>
      <c r="D360" s="485" t="inlineStr">
        <is>
          <t>-</t>
        </is>
      </c>
      <c r="E360" s="485" t="inlineStr">
        <is>
          <t>-</t>
        </is>
      </c>
      <c r="F360" s="485" t="inlineStr">
        <is>
          <t>-</t>
        </is>
      </c>
      <c r="G360" s="485" t="inlineStr">
        <is>
          <t>DESFASE DE NÓMINA</t>
        </is>
      </c>
    </row>
    <row r="361" ht="20" customHeight="1" s="225">
      <c r="A361" s="485" t="inlineStr">
        <is>
          <t>6AV</t>
        </is>
      </c>
      <c r="B361" s="485" t="inlineStr">
        <is>
          <t>QUINDE SARMIENTO MATIAS ALEXANDER</t>
        </is>
      </c>
      <c r="C361" s="485" t="inlineStr">
        <is>
          <t>SOLO EN DOCENTES</t>
        </is>
      </c>
      <c r="D361" s="485" t="inlineStr">
        <is>
          <t>-</t>
        </is>
      </c>
      <c r="E361" s="485" t="inlineStr">
        <is>
          <t>-</t>
        </is>
      </c>
      <c r="F361" s="485" t="inlineStr">
        <is>
          <t>-</t>
        </is>
      </c>
      <c r="G361" s="485" t="inlineStr">
        <is>
          <t>DESFASE DE NÓMINA</t>
        </is>
      </c>
    </row>
    <row r="362" ht="20" customHeight="1" s="225">
      <c r="A362" s="485" t="inlineStr">
        <is>
          <t>6AV</t>
        </is>
      </c>
      <c r="B362" s="485" t="inlineStr">
        <is>
          <t>TENEZACA BERNAL JAMILETH CAMILA</t>
        </is>
      </c>
      <c r="C362" s="485" t="inlineStr">
        <is>
          <t>(NÓMINA)</t>
        </is>
      </c>
      <c r="D362" s="485" t="inlineStr">
        <is>
          <t>-</t>
        </is>
      </c>
      <c r="E362" s="485" t="inlineStr">
        <is>
          <t>-</t>
        </is>
      </c>
      <c r="F362" s="485" t="inlineStr">
        <is>
          <t>-</t>
        </is>
      </c>
      <c r="G362" s="485" t="inlineStr">
        <is>
          <t>DESFASE DE NÓMINA</t>
        </is>
      </c>
    </row>
    <row r="363" ht="20" customHeight="1" s="225">
      <c r="A363" s="486" t="inlineStr">
        <is>
          <t>6AV</t>
        </is>
      </c>
      <c r="B363" s="486" t="inlineStr">
        <is>
          <t>TENEZACA BERNAL JAMILETH CAMILA</t>
        </is>
      </c>
      <c r="C363" s="486" t="inlineStr">
        <is>
          <t>Estudios Sociales</t>
        </is>
      </c>
      <c r="D363" s="486" t="n">
        <v>8.800000000000001</v>
      </c>
      <c r="E363" s="486" t="n">
        <v>9.02</v>
      </c>
      <c r="F363" s="486" t="n">
        <v>0.22</v>
      </c>
      <c r="G363" s="486" t="inlineStr">
        <is>
          <t>ERROR</t>
        </is>
      </c>
    </row>
    <row r="364" ht="20" customHeight="1" s="225">
      <c r="A364" s="485" t="inlineStr">
        <is>
          <t>6AV</t>
        </is>
      </c>
      <c r="B364" s="485" t="inlineStr">
        <is>
          <t>TENESACA JUELA JOSTIN PAUL</t>
        </is>
      </c>
      <c r="C364" s="485" t="inlineStr">
        <is>
          <t>(NÓMINA)</t>
        </is>
      </c>
      <c r="D364" s="485" t="inlineStr">
        <is>
          <t>-</t>
        </is>
      </c>
      <c r="E364" s="485" t="inlineStr">
        <is>
          <t>-</t>
        </is>
      </c>
      <c r="F364" s="485" t="inlineStr">
        <is>
          <t>-</t>
        </is>
      </c>
      <c r="G364" s="485" t="inlineStr">
        <is>
          <t>DESFASE DE NÓMINA</t>
        </is>
      </c>
    </row>
    <row r="365" ht="20" customHeight="1" s="225">
      <c r="A365" s="486" t="inlineStr">
        <is>
          <t>6AV</t>
        </is>
      </c>
      <c r="B365" s="486" t="inlineStr">
        <is>
          <t>UZHCA JUELA ERIKA LILIANA</t>
        </is>
      </c>
      <c r="C365" s="486" t="inlineStr">
        <is>
          <t>Matemática</t>
        </is>
      </c>
      <c r="D365" s="486" t="n">
        <v>7.41</v>
      </c>
      <c r="E365" s="486" t="n">
        <v>7.28</v>
      </c>
      <c r="F365" s="486" t="n">
        <v>0.13</v>
      </c>
      <c r="G365" s="486" t="inlineStr">
        <is>
          <t>ERROR</t>
        </is>
      </c>
    </row>
    <row r="366" ht="20" customHeight="1" s="225">
      <c r="A366" s="485" t="inlineStr">
        <is>
          <t>6AV</t>
        </is>
      </c>
      <c r="B366" s="485" t="inlineStr">
        <is>
          <t>GUAMAN SHIRAP CARLOS LUIS</t>
        </is>
      </c>
      <c r="C366" s="485" t="inlineStr">
        <is>
          <t>SOLO EN SISTEMA</t>
        </is>
      </c>
      <c r="D366" s="485" t="inlineStr">
        <is>
          <t>-</t>
        </is>
      </c>
      <c r="E366" s="485" t="inlineStr">
        <is>
          <t>-</t>
        </is>
      </c>
      <c r="F366" s="485" t="inlineStr">
        <is>
          <t>-</t>
        </is>
      </c>
      <c r="G366" s="485" t="inlineStr">
        <is>
          <t>DESFASE DE NÓMINA</t>
        </is>
      </c>
    </row>
    <row r="367" ht="20" customHeight="1" s="225">
      <c r="A367" s="485" t="inlineStr">
        <is>
          <t>6AV</t>
        </is>
      </c>
      <c r="B367" s="485" t="inlineStr">
        <is>
          <t>MACHADO OCHOA MELANNIE KATRINA</t>
        </is>
      </c>
      <c r="C367" s="485" t="inlineStr">
        <is>
          <t>SOLO EN SISTEMA</t>
        </is>
      </c>
      <c r="D367" s="485" t="inlineStr">
        <is>
          <t>-</t>
        </is>
      </c>
      <c r="E367" s="485" t="inlineStr">
        <is>
          <t>-</t>
        </is>
      </c>
      <c r="F367" s="485" t="inlineStr">
        <is>
          <t>-</t>
        </is>
      </c>
      <c r="G367" s="485" t="inlineStr">
        <is>
          <t>DESFASE DE NÓMINA</t>
        </is>
      </c>
    </row>
    <row r="368" ht="20" customHeight="1" s="225">
      <c r="A368" s="485" t="inlineStr">
        <is>
          <t>6AV</t>
        </is>
      </c>
      <c r="B368" s="485" t="inlineStr">
        <is>
          <t>QUINDE SARMIENTO MATHIAS ALEXANDER</t>
        </is>
      </c>
      <c r="C368" s="485" t="inlineStr">
        <is>
          <t>SOLO EN SISTEMA</t>
        </is>
      </c>
      <c r="D368" s="485" t="inlineStr">
        <is>
          <t>-</t>
        </is>
      </c>
      <c r="E368" s="485" t="inlineStr">
        <is>
          <t>-</t>
        </is>
      </c>
      <c r="F368" s="485" t="inlineStr">
        <is>
          <t>-</t>
        </is>
      </c>
      <c r="G368" s="485" t="inlineStr">
        <is>
          <t>DESFASE DE NÓMINA</t>
        </is>
      </c>
    </row>
    <row r="369" ht="20" customHeight="1" s="225">
      <c r="A369" s="485" t="inlineStr">
        <is>
          <t>6BV</t>
        </is>
      </c>
      <c r="B369" s="485" t="inlineStr">
        <is>
          <t>BARZALLO RUESTAN VICTOR RAFAEL</t>
        </is>
      </c>
      <c r="C369" s="485" t="inlineStr">
        <is>
          <t>SOLO EN DOCENTES</t>
        </is>
      </c>
      <c r="D369" s="485" t="inlineStr">
        <is>
          <t>-</t>
        </is>
      </c>
      <c r="E369" s="485" t="inlineStr">
        <is>
          <t>-</t>
        </is>
      </c>
      <c r="F369" s="485" t="inlineStr">
        <is>
          <t>-</t>
        </is>
      </c>
      <c r="G369" s="485" t="inlineStr">
        <is>
          <t>DESFASE DE NÓMINA</t>
        </is>
      </c>
    </row>
    <row r="370" ht="20" customHeight="1" s="225">
      <c r="A370" s="485" t="inlineStr">
        <is>
          <t>6BV</t>
        </is>
      </c>
      <c r="B370" s="485" t="inlineStr">
        <is>
          <t>JARAMA GUALLAS DANIEL ISMAEL</t>
        </is>
      </c>
      <c r="C370" s="485" t="inlineStr">
        <is>
          <t>SOLO EN DOCENTES</t>
        </is>
      </c>
      <c r="D370" s="485" t="inlineStr">
        <is>
          <t>-</t>
        </is>
      </c>
      <c r="E370" s="485" t="inlineStr">
        <is>
          <t>-</t>
        </is>
      </c>
      <c r="F370" s="485" t="inlineStr">
        <is>
          <t>-</t>
        </is>
      </c>
      <c r="G370" s="485" t="inlineStr">
        <is>
          <t>DESFASE DE NÓMINA</t>
        </is>
      </c>
    </row>
    <row r="371" ht="20" customHeight="1" s="225">
      <c r="A371" s="485" t="inlineStr">
        <is>
          <t>6BV</t>
        </is>
      </c>
      <c r="B371" s="485" t="inlineStr">
        <is>
          <t>MAUREL APONCIO VALERYKS ALEXANDRA</t>
        </is>
      </c>
      <c r="C371" s="485" t="inlineStr">
        <is>
          <t>SOLO EN DOCENTES</t>
        </is>
      </c>
      <c r="D371" s="485" t="inlineStr">
        <is>
          <t>-</t>
        </is>
      </c>
      <c r="E371" s="485" t="inlineStr">
        <is>
          <t>-</t>
        </is>
      </c>
      <c r="F371" s="485" t="inlineStr">
        <is>
          <t>-</t>
        </is>
      </c>
      <c r="G371" s="485" t="inlineStr">
        <is>
          <t>DESFASE DE NÓMINA</t>
        </is>
      </c>
    </row>
    <row r="372" ht="20" customHeight="1" s="225">
      <c r="A372" s="486" t="inlineStr">
        <is>
          <t>6BV</t>
        </is>
      </c>
      <c r="B372" s="486" t="inlineStr">
        <is>
          <t>MENDEZ AVILA MICAELA JAMILETH</t>
        </is>
      </c>
      <c r="C372" s="486" t="inlineStr">
        <is>
          <t>Ciencias Naturales</t>
        </is>
      </c>
      <c r="D372" s="486" t="n">
        <v>9.82</v>
      </c>
      <c r="E372" s="486" t="n">
        <v>9.32</v>
      </c>
      <c r="F372" s="486" t="n">
        <v>0.5</v>
      </c>
      <c r="G372" s="486" t="inlineStr">
        <is>
          <t>ERROR</t>
        </is>
      </c>
    </row>
    <row r="373" ht="20" customHeight="1" s="225">
      <c r="A373" s="486" t="inlineStr">
        <is>
          <t>6BV</t>
        </is>
      </c>
      <c r="B373" s="486" t="inlineStr">
        <is>
          <t>NIEVES VILLA HAITANA VALENTINA</t>
        </is>
      </c>
      <c r="C373" s="486" t="inlineStr">
        <is>
          <t>Estudios Sociales</t>
        </is>
      </c>
      <c r="D373" s="486" t="n">
        <v>8.16</v>
      </c>
      <c r="E373" s="486" t="n">
        <v>8.19</v>
      </c>
      <c r="F373" s="486" t="n">
        <v>0.03</v>
      </c>
      <c r="G373" s="486" t="inlineStr">
        <is>
          <t>ERROR</t>
        </is>
      </c>
    </row>
    <row r="374" ht="20" customHeight="1" s="225">
      <c r="A374" s="486" t="inlineStr">
        <is>
          <t>6BV</t>
        </is>
      </c>
      <c r="B374" s="486" t="inlineStr">
        <is>
          <t>ORDOÑEZ FAJARDO LEONARDO JAVIER</t>
        </is>
      </c>
      <c r="C374" s="486" t="inlineStr">
        <is>
          <t>Estudios Sociales</t>
        </is>
      </c>
      <c r="D374" s="486" t="n">
        <v>7.61</v>
      </c>
      <c r="E374" s="486" t="n">
        <v>7.58</v>
      </c>
      <c r="F374" s="486" t="n">
        <v>0.03</v>
      </c>
      <c r="G374" s="486" t="inlineStr">
        <is>
          <t>ERROR</t>
        </is>
      </c>
    </row>
    <row r="375" ht="20" customHeight="1" s="225">
      <c r="A375" s="486" t="inlineStr">
        <is>
          <t>6BV</t>
        </is>
      </c>
      <c r="B375" s="486" t="inlineStr">
        <is>
          <t>ORDOÑEZ FAJARDO LEONARDO JAVIER</t>
        </is>
      </c>
      <c r="C375" s="486" t="inlineStr">
        <is>
          <t>Educación Cultural y Artística</t>
        </is>
      </c>
      <c r="D375" s="486" t="n">
        <v>7.66</v>
      </c>
      <c r="E375" s="486" t="n">
        <v>8.33</v>
      </c>
      <c r="F375" s="486" t="n">
        <v>0.67</v>
      </c>
      <c r="G375" s="486" t="inlineStr">
        <is>
          <t>ERROR</t>
        </is>
      </c>
    </row>
    <row r="376" ht="20" customHeight="1" s="225">
      <c r="A376" s="486" t="inlineStr">
        <is>
          <t>6BV</t>
        </is>
      </c>
      <c r="B376" s="486" t="inlineStr">
        <is>
          <t>ORDOÑEZ FAJARDO LEONARDO JAVIER</t>
        </is>
      </c>
      <c r="C376" s="486" t="inlineStr">
        <is>
          <t>Promedio Final / P. General</t>
        </is>
      </c>
      <c r="D376" s="486" t="n">
        <v>7.75</v>
      </c>
      <c r="E376" s="486" t="n">
        <v>7.83</v>
      </c>
      <c r="F376" s="486" t="n">
        <v>0.08</v>
      </c>
      <c r="G376" s="486" t="inlineStr">
        <is>
          <t>ERROR</t>
        </is>
      </c>
    </row>
    <row r="377" ht="20" customHeight="1" s="225">
      <c r="A377" s="486" t="inlineStr">
        <is>
          <t>6BV</t>
        </is>
      </c>
      <c r="B377" s="486" t="inlineStr">
        <is>
          <t>PULGARIN SIMBAÑA ASHLEY SALOME</t>
        </is>
      </c>
      <c r="C377" s="486" t="inlineStr">
        <is>
          <t>Estudios Sociales</t>
        </is>
      </c>
      <c r="D377" s="486" t="n">
        <v>9.52</v>
      </c>
      <c r="E377" s="486" t="n">
        <v>9.31</v>
      </c>
      <c r="F377" s="486" t="n">
        <v>0.21</v>
      </c>
      <c r="G377" s="486" t="inlineStr">
        <is>
          <t>ERROR</t>
        </is>
      </c>
    </row>
    <row r="378" ht="20" customHeight="1" s="225">
      <c r="A378" s="486" t="inlineStr">
        <is>
          <t>6BV</t>
        </is>
      </c>
      <c r="B378" s="486" t="inlineStr">
        <is>
          <t>PULGARIN SIMBAÑA ASHLEY SALOME</t>
        </is>
      </c>
      <c r="C378" s="486" t="inlineStr">
        <is>
          <t>Promedio Final / P. General</t>
        </is>
      </c>
      <c r="D378" s="486" t="n">
        <v>9.18</v>
      </c>
      <c r="E378" s="486" t="n">
        <v>9.15</v>
      </c>
      <c r="F378" s="486" t="n">
        <v>0.03</v>
      </c>
      <c r="G378" s="486" t="inlineStr">
        <is>
          <t>ERROR</t>
        </is>
      </c>
    </row>
    <row r="379" ht="20" customHeight="1" s="225">
      <c r="A379" s="486" t="inlineStr">
        <is>
          <t>6BV</t>
        </is>
      </c>
      <c r="B379" s="486" t="inlineStr">
        <is>
          <t>QUITO CABRERA MARJORIE MIKAELA</t>
        </is>
      </c>
      <c r="C379" s="486" t="inlineStr">
        <is>
          <t>Matemática</t>
        </is>
      </c>
      <c r="D379" s="486" t="n">
        <v>8.880000000000001</v>
      </c>
      <c r="E379" s="486" t="n">
        <v>8.789999999999999</v>
      </c>
      <c r="F379" s="486" t="n">
        <v>0.09</v>
      </c>
      <c r="G379" s="486" t="inlineStr">
        <is>
          <t>ERROR</t>
        </is>
      </c>
    </row>
    <row r="380" ht="20" customHeight="1" s="225">
      <c r="A380" s="486" t="inlineStr">
        <is>
          <t>6BV</t>
        </is>
      </c>
      <c r="B380" s="486" t="inlineStr">
        <is>
          <t>QUITO SOLIZ EVELYN DAFNE</t>
        </is>
      </c>
      <c r="C380" s="486" t="inlineStr">
        <is>
          <t>Estudios Sociales</t>
        </is>
      </c>
      <c r="D380" s="486" t="n">
        <v>9</v>
      </c>
      <c r="E380" s="486" t="n">
        <v>8.66</v>
      </c>
      <c r="F380" s="486" t="n">
        <v>0.34</v>
      </c>
      <c r="G380" s="486" t="inlineStr">
        <is>
          <t>ERROR</t>
        </is>
      </c>
    </row>
    <row r="381" ht="20" customHeight="1" s="225">
      <c r="A381" s="486" t="inlineStr">
        <is>
          <t>6BV</t>
        </is>
      </c>
      <c r="B381" s="486" t="inlineStr">
        <is>
          <t>QUITO SOLIZ EVELYN DAFNE</t>
        </is>
      </c>
      <c r="C381" s="486" t="inlineStr">
        <is>
          <t>Inglés</t>
        </is>
      </c>
      <c r="D381" s="486" t="n">
        <v>9.029999999999999</v>
      </c>
      <c r="E381" s="486" t="n">
        <v>9.300000000000001</v>
      </c>
      <c r="F381" s="486" t="n">
        <v>0.27</v>
      </c>
      <c r="G381" s="486" t="inlineStr">
        <is>
          <t>ERROR</t>
        </is>
      </c>
    </row>
    <row r="382" ht="20" customHeight="1" s="225">
      <c r="A382" s="486" t="inlineStr">
        <is>
          <t>6BV</t>
        </is>
      </c>
      <c r="B382" s="486" t="inlineStr">
        <is>
          <t>QUITO SOLIZ EVELYN DAFNE</t>
        </is>
      </c>
      <c r="C382" s="486" t="inlineStr">
        <is>
          <t>Promedio Final / P. General</t>
        </is>
      </c>
      <c r="D382" s="486" t="n">
        <v>8.99</v>
      </c>
      <c r="E382" s="486" t="n">
        <v>8.94</v>
      </c>
      <c r="F382" s="486" t="n">
        <v>0.05</v>
      </c>
      <c r="G382" s="486" t="inlineStr">
        <is>
          <t>ERROR</t>
        </is>
      </c>
    </row>
    <row r="383" ht="20" customHeight="1" s="225">
      <c r="A383" s="486" t="inlineStr">
        <is>
          <t>6BV</t>
        </is>
      </c>
      <c r="B383" s="486" t="inlineStr">
        <is>
          <t>UYAGUARI QUITO BRIGITH GUADALUPE</t>
        </is>
      </c>
      <c r="C383" s="486" t="inlineStr">
        <is>
          <t>Matemática</t>
        </is>
      </c>
      <c r="D383" s="486" t="n">
        <v>7.52</v>
      </c>
      <c r="E383" s="486" t="n">
        <v>8.23</v>
      </c>
      <c r="F383" s="486" t="n">
        <v>0.71</v>
      </c>
      <c r="G383" s="486" t="inlineStr">
        <is>
          <t>ERROR</t>
        </is>
      </c>
    </row>
    <row r="384" ht="20" customHeight="1" s="225">
      <c r="A384" s="486" t="inlineStr">
        <is>
          <t>6BV</t>
        </is>
      </c>
      <c r="B384" s="486" t="inlineStr">
        <is>
          <t>UYAGUARI QUITO BRIGITH GUADALUPE</t>
        </is>
      </c>
      <c r="C384" s="486" t="inlineStr">
        <is>
          <t>Promedio Final / P. General</t>
        </is>
      </c>
      <c r="D384" s="486" t="n">
        <v>7.86</v>
      </c>
      <c r="E384" s="486" t="n">
        <v>7.95</v>
      </c>
      <c r="F384" s="486" t="n">
        <v>0.09</v>
      </c>
      <c r="G384" s="486" t="inlineStr">
        <is>
          <t>ERROR</t>
        </is>
      </c>
    </row>
    <row r="385" ht="20" customHeight="1" s="225">
      <c r="A385" s="486" t="inlineStr">
        <is>
          <t>6BV</t>
        </is>
      </c>
      <c r="B385" s="486" t="inlineStr">
        <is>
          <t>VARGAS BERRONES NAYELI DALILA</t>
        </is>
      </c>
      <c r="C385" s="486" t="inlineStr">
        <is>
          <t>Matemática</t>
        </is>
      </c>
      <c r="D385" s="486" t="n">
        <v>6.92</v>
      </c>
      <c r="E385" s="486" t="n">
        <v>7</v>
      </c>
      <c r="F385" s="486" t="n">
        <v>0.08</v>
      </c>
      <c r="G385" s="486" t="inlineStr">
        <is>
          <t>ERROR</t>
        </is>
      </c>
    </row>
    <row r="386" ht="20" customHeight="1" s="225">
      <c r="A386" s="486" t="inlineStr">
        <is>
          <t>6BV</t>
        </is>
      </c>
      <c r="B386" s="486" t="inlineStr">
        <is>
          <t>VARGAS BERRONES NAYELI DALILA</t>
        </is>
      </c>
      <c r="C386" s="486" t="inlineStr">
        <is>
          <t>Estudios Sociales</t>
        </is>
      </c>
      <c r="D386" s="486" t="n">
        <v>7.09</v>
      </c>
      <c r="E386" s="486" t="n">
        <v>7</v>
      </c>
      <c r="F386" s="486" t="n">
        <v>0.09</v>
      </c>
      <c r="G386" s="486" t="inlineStr">
        <is>
          <t>ERROR</t>
        </is>
      </c>
    </row>
    <row r="387" ht="20" customHeight="1" s="225">
      <c r="A387" s="486" t="inlineStr">
        <is>
          <t>6BV</t>
        </is>
      </c>
      <c r="B387" s="486" t="inlineStr">
        <is>
          <t>VARGAS BERRONES NAYELI DALILA</t>
        </is>
      </c>
      <c r="C387" s="486" t="inlineStr">
        <is>
          <t>Educación Cultural y Artística</t>
        </is>
      </c>
      <c r="D387" s="486" t="n">
        <v>6.94</v>
      </c>
      <c r="E387" s="486" t="n">
        <v>7</v>
      </c>
      <c r="F387" s="486" t="n">
        <v>0.06</v>
      </c>
      <c r="G387" s="486" t="inlineStr">
        <is>
          <t>ERROR</t>
        </is>
      </c>
    </row>
    <row r="388" ht="20" customHeight="1" s="225">
      <c r="A388" s="485" t="inlineStr">
        <is>
          <t>6BV</t>
        </is>
      </c>
      <c r="B388" s="485" t="inlineStr">
        <is>
          <t>BARZALLO BUESTAN VICTOR RAFAEL</t>
        </is>
      </c>
      <c r="C388" s="485" t="inlineStr">
        <is>
          <t>SOLO EN SISTEMA</t>
        </is>
      </c>
      <c r="D388" s="485" t="inlineStr">
        <is>
          <t>-</t>
        </is>
      </c>
      <c r="E388" s="485" t="inlineStr">
        <is>
          <t>-</t>
        </is>
      </c>
      <c r="F388" s="485" t="inlineStr">
        <is>
          <t>-</t>
        </is>
      </c>
      <c r="G388" s="485" t="inlineStr">
        <is>
          <t>DESFASE DE NÓMINA</t>
        </is>
      </c>
    </row>
    <row r="389" ht="20" customHeight="1" s="225">
      <c r="A389" s="485" t="inlineStr">
        <is>
          <t>6BV</t>
        </is>
      </c>
      <c r="B389" s="485" t="inlineStr">
        <is>
          <t>JARAMA GUAILLAS DANIEL ISMAEL</t>
        </is>
      </c>
      <c r="C389" s="485" t="inlineStr">
        <is>
          <t>SOLO EN SISTEMA</t>
        </is>
      </c>
      <c r="D389" s="485" t="inlineStr">
        <is>
          <t>-</t>
        </is>
      </c>
      <c r="E389" s="485" t="inlineStr">
        <is>
          <t>-</t>
        </is>
      </c>
      <c r="F389" s="485" t="inlineStr">
        <is>
          <t>-</t>
        </is>
      </c>
      <c r="G389" s="485" t="inlineStr">
        <is>
          <t>DESFASE DE NÓMINA</t>
        </is>
      </c>
    </row>
    <row r="390" ht="20" customHeight="1" s="225">
      <c r="A390" s="485" t="inlineStr">
        <is>
          <t>6BV</t>
        </is>
      </c>
      <c r="B390" s="485" t="inlineStr">
        <is>
          <t>MAUREL APONCIO VALERYNS ALEXANDRA</t>
        </is>
      </c>
      <c r="C390" s="485" t="inlineStr">
        <is>
          <t>SOLO EN SISTEMA</t>
        </is>
      </c>
      <c r="D390" s="485" t="inlineStr">
        <is>
          <t>-</t>
        </is>
      </c>
      <c r="E390" s="485" t="inlineStr">
        <is>
          <t>-</t>
        </is>
      </c>
      <c r="F390" s="485" t="inlineStr">
        <is>
          <t>-</t>
        </is>
      </c>
      <c r="G390" s="485" t="inlineStr">
        <is>
          <t>DESFASE DE NÓMINA</t>
        </is>
      </c>
    </row>
    <row r="391" ht="20" customHeight="1" s="225">
      <c r="A391" s="486" t="inlineStr">
        <is>
          <t>7AV</t>
        </is>
      </c>
      <c r="B391" s="486" t="inlineStr">
        <is>
          <t>AMPUERO CORONEL BRYAN ELIAS</t>
        </is>
      </c>
      <c r="C391" s="486" t="inlineStr">
        <is>
          <t>Lengua y Literatura</t>
        </is>
      </c>
      <c r="D391" s="486" t="n">
        <v>9.529999999999999</v>
      </c>
      <c r="E391" s="486" t="n">
        <v>9.75</v>
      </c>
      <c r="F391" s="486" t="n">
        <v>0.22</v>
      </c>
      <c r="G391" s="486" t="inlineStr">
        <is>
          <t>ERROR</t>
        </is>
      </c>
    </row>
    <row r="392" ht="20" customHeight="1" s="225">
      <c r="A392" s="486" t="inlineStr">
        <is>
          <t>7AV</t>
        </is>
      </c>
      <c r="B392" s="486" t="inlineStr">
        <is>
          <t>AMPUERO CORONEL BRYAN ELIAS</t>
        </is>
      </c>
      <c r="C392" s="486" t="inlineStr">
        <is>
          <t>Matemática</t>
        </is>
      </c>
      <c r="D392" s="486" t="n">
        <v>9.82</v>
      </c>
      <c r="E392" s="486" t="n">
        <v>9.890000000000001</v>
      </c>
      <c r="F392" s="486" t="n">
        <v>0.07000000000000001</v>
      </c>
      <c r="G392" s="486" t="inlineStr">
        <is>
          <t>ERROR</t>
        </is>
      </c>
    </row>
    <row r="393" ht="20" customHeight="1" s="225">
      <c r="A393" s="486" t="inlineStr">
        <is>
          <t>7AV</t>
        </is>
      </c>
      <c r="B393" s="486" t="inlineStr">
        <is>
          <t>AMPUERO CORONEL BRYAN ELIAS</t>
        </is>
      </c>
      <c r="C393" s="486" t="inlineStr">
        <is>
          <t>Ciencias Naturales</t>
        </is>
      </c>
      <c r="D393" s="486" t="n">
        <v>9.710000000000001</v>
      </c>
      <c r="E393" s="486" t="n">
        <v>9.9</v>
      </c>
      <c r="F393" s="486" t="n">
        <v>0.19</v>
      </c>
      <c r="G393" s="486" t="inlineStr">
        <is>
          <t>ERROR</t>
        </is>
      </c>
    </row>
    <row r="394" ht="20" customHeight="1" s="225">
      <c r="A394" s="486" t="inlineStr">
        <is>
          <t>7AV</t>
        </is>
      </c>
      <c r="B394" s="486" t="inlineStr">
        <is>
          <t>AMPUERO CORONEL BRYAN ELIAS</t>
        </is>
      </c>
      <c r="C394" s="486" t="inlineStr">
        <is>
          <t>Estudios Sociales</t>
        </is>
      </c>
      <c r="D394" s="486" t="n">
        <v>9.210000000000001</v>
      </c>
      <c r="E394" s="486" t="n">
        <v>9.550000000000001</v>
      </c>
      <c r="F394" s="486" t="n">
        <v>0.34</v>
      </c>
      <c r="G394" s="486" t="inlineStr">
        <is>
          <t>ERROR</t>
        </is>
      </c>
    </row>
    <row r="395" ht="20" customHeight="1" s="225">
      <c r="A395" s="486" t="inlineStr">
        <is>
          <t>7AV</t>
        </is>
      </c>
      <c r="B395" s="486" t="inlineStr">
        <is>
          <t>AMPUERO CORONEL BRYAN ELIAS</t>
        </is>
      </c>
      <c r="C395" s="486" t="inlineStr">
        <is>
          <t>Educación Cultural y Artística</t>
        </is>
      </c>
      <c r="D395" s="486" t="n">
        <v>9.869999999999999</v>
      </c>
      <c r="E395" s="486" t="n">
        <v>9.970000000000001</v>
      </c>
      <c r="F395" s="486" t="n">
        <v>0.1</v>
      </c>
      <c r="G395" s="486" t="inlineStr">
        <is>
          <t>ERROR</t>
        </is>
      </c>
    </row>
    <row r="396" ht="20" customHeight="1" s="225">
      <c r="A396" s="486" t="inlineStr">
        <is>
          <t>7AV</t>
        </is>
      </c>
      <c r="B396" s="486" t="inlineStr">
        <is>
          <t>AMPUERO CORONEL BRYAN ELIAS</t>
        </is>
      </c>
      <c r="C396" s="486" t="inlineStr">
        <is>
          <t>Educación Física</t>
        </is>
      </c>
      <c r="D396" s="486" t="n">
        <v>9.23</v>
      </c>
      <c r="E396" s="486" t="n">
        <v>9.42</v>
      </c>
      <c r="F396" s="486" t="n">
        <v>0.19</v>
      </c>
      <c r="G396" s="486" t="inlineStr">
        <is>
          <t>ERROR</t>
        </is>
      </c>
    </row>
    <row r="397" ht="20" customHeight="1" s="225">
      <c r="A397" s="486" t="inlineStr">
        <is>
          <t>7AV</t>
        </is>
      </c>
      <c r="B397" s="486" t="inlineStr">
        <is>
          <t>AMPUERO CORONEL BRYAN ELIAS</t>
        </is>
      </c>
      <c r="C397" s="486" t="inlineStr">
        <is>
          <t>Promedio Final / P. General</t>
        </is>
      </c>
      <c r="D397" s="486" t="n">
        <v>9.34</v>
      </c>
      <c r="E397" s="486" t="n">
        <v>9.5</v>
      </c>
      <c r="F397" s="486" t="n">
        <v>0.16</v>
      </c>
      <c r="G397" s="486" t="inlineStr">
        <is>
          <t>ERROR</t>
        </is>
      </c>
    </row>
    <row r="398" ht="20" customHeight="1" s="225">
      <c r="A398" s="486" t="inlineStr">
        <is>
          <t>7AV</t>
        </is>
      </c>
      <c r="B398" s="486" t="inlineStr">
        <is>
          <t>ARIAS GUIRACOCHA CHRISTOPHER ADONIS</t>
        </is>
      </c>
      <c r="C398" s="486" t="inlineStr">
        <is>
          <t>Educación Física</t>
        </is>
      </c>
      <c r="D398" s="486" t="n">
        <v>8.130000000000001</v>
      </c>
      <c r="E398" s="486" t="n">
        <v>8.73</v>
      </c>
      <c r="F398" s="486" t="n">
        <v>0.6</v>
      </c>
      <c r="G398" s="486" t="inlineStr">
        <is>
          <t>ERROR</t>
        </is>
      </c>
    </row>
    <row r="399" ht="20" customHeight="1" s="225">
      <c r="A399" s="486" t="inlineStr">
        <is>
          <t>7AV</t>
        </is>
      </c>
      <c r="B399" s="486" t="inlineStr">
        <is>
          <t>ARIAS GUIRACOCHA CHRISTOPHER ADONIS</t>
        </is>
      </c>
      <c r="C399" s="486" t="inlineStr">
        <is>
          <t>Promedio Final / P. General</t>
        </is>
      </c>
      <c r="D399" s="486" t="n">
        <v>8.59</v>
      </c>
      <c r="E399" s="486" t="n">
        <v>8.67</v>
      </c>
      <c r="F399" s="486" t="n">
        <v>0.08</v>
      </c>
      <c r="G399" s="486" t="inlineStr">
        <is>
          <t>ERROR</t>
        </is>
      </c>
    </row>
    <row r="400" ht="20" customHeight="1" s="225">
      <c r="A400" s="486" t="inlineStr">
        <is>
          <t>7AV</t>
        </is>
      </c>
      <c r="B400" s="486" t="inlineStr">
        <is>
          <t>ARPI VALDEZ ELVIS PATRICIO</t>
        </is>
      </c>
      <c r="C400" s="486" t="inlineStr">
        <is>
          <t>Educación Física</t>
        </is>
      </c>
      <c r="D400" s="486" t="n">
        <v>8.380000000000001</v>
      </c>
      <c r="E400" s="486" t="n">
        <v>7.78</v>
      </c>
      <c r="F400" s="486" t="n">
        <v>0.6</v>
      </c>
      <c r="G400" s="486" t="inlineStr">
        <is>
          <t>ERROR</t>
        </is>
      </c>
    </row>
    <row r="401" ht="20" customHeight="1" s="225">
      <c r="A401" s="486" t="inlineStr">
        <is>
          <t>7AV</t>
        </is>
      </c>
      <c r="B401" s="486" t="inlineStr">
        <is>
          <t>ARPI VALDEZ ELVIS PATRICIO</t>
        </is>
      </c>
      <c r="C401" s="486" t="inlineStr">
        <is>
          <t>Promedio Final / P. General</t>
        </is>
      </c>
      <c r="D401" s="486" t="n">
        <v>7.64</v>
      </c>
      <c r="E401" s="486" t="n">
        <v>7.55</v>
      </c>
      <c r="F401" s="486" t="n">
        <v>0.09</v>
      </c>
      <c r="G401" s="486" t="inlineStr">
        <is>
          <t>ERROR</t>
        </is>
      </c>
    </row>
    <row r="402" ht="20" customHeight="1" s="225">
      <c r="A402" s="486" t="inlineStr">
        <is>
          <t>7AV</t>
        </is>
      </c>
      <c r="B402" s="486" t="inlineStr">
        <is>
          <t>BARRERA MENDOZA JHON MARIO</t>
        </is>
      </c>
      <c r="C402" s="486" t="inlineStr">
        <is>
          <t>Lengua y Literatura</t>
        </is>
      </c>
      <c r="D402" s="486" t="n">
        <v>8.17</v>
      </c>
      <c r="E402" s="486" t="n">
        <v>8.050000000000001</v>
      </c>
      <c r="F402" s="486" t="n">
        <v>0.12</v>
      </c>
      <c r="G402" s="486" t="inlineStr">
        <is>
          <t>ERROR</t>
        </is>
      </c>
    </row>
    <row r="403" ht="20" customHeight="1" s="225">
      <c r="A403" s="486" t="inlineStr">
        <is>
          <t>7AV</t>
        </is>
      </c>
      <c r="B403" s="486" t="inlineStr">
        <is>
          <t>BARRERA MENDOZA JHON MARIO</t>
        </is>
      </c>
      <c r="C403" s="486" t="inlineStr">
        <is>
          <t>Educación Física</t>
        </is>
      </c>
      <c r="D403" s="486" t="n">
        <v>8.029999999999999</v>
      </c>
      <c r="E403" s="486" t="n">
        <v>7.91</v>
      </c>
      <c r="F403" s="486" t="n">
        <v>0.12</v>
      </c>
      <c r="G403" s="486" t="inlineStr">
        <is>
          <t>ERROR</t>
        </is>
      </c>
    </row>
    <row r="404" ht="20" customHeight="1" s="225">
      <c r="A404" s="486" t="inlineStr">
        <is>
          <t>7AV</t>
        </is>
      </c>
      <c r="B404" s="486" t="inlineStr">
        <is>
          <t>BARRERA MENDOZA JHON MARIO</t>
        </is>
      </c>
      <c r="C404" s="486" t="inlineStr">
        <is>
          <t>Promedio Final / P. General</t>
        </is>
      </c>
      <c r="D404" s="486" t="n">
        <v>8.119999999999999</v>
      </c>
      <c r="E404" s="486" t="n">
        <v>8.08</v>
      </c>
      <c r="F404" s="486" t="n">
        <v>0.04</v>
      </c>
      <c r="G404" s="486" t="inlineStr">
        <is>
          <t>ERROR</t>
        </is>
      </c>
    </row>
    <row r="405" ht="20" customHeight="1" s="225">
      <c r="A405" s="486" t="inlineStr">
        <is>
          <t>7AV</t>
        </is>
      </c>
      <c r="B405" s="486" t="inlineStr">
        <is>
          <t>BARRERA MENDOZA JUAN CARLOS</t>
        </is>
      </c>
      <c r="C405" s="486" t="inlineStr">
        <is>
          <t>Educación Física</t>
        </is>
      </c>
      <c r="D405" s="486" t="n">
        <v>8.449999999999999</v>
      </c>
      <c r="E405" s="486" t="n">
        <v>8.1</v>
      </c>
      <c r="F405" s="486" t="n">
        <v>0.35</v>
      </c>
      <c r="G405" s="486" t="inlineStr">
        <is>
          <t>ERROR</t>
        </is>
      </c>
    </row>
    <row r="406" ht="20" customHeight="1" s="225">
      <c r="A406" s="486" t="inlineStr">
        <is>
          <t>7AV</t>
        </is>
      </c>
      <c r="B406" s="486" t="inlineStr">
        <is>
          <t>BARRERA MENDOZA JUAN CARLOS</t>
        </is>
      </c>
      <c r="C406" s="486" t="inlineStr">
        <is>
          <t>Promedio Final / P. General</t>
        </is>
      </c>
      <c r="D406" s="486" t="n">
        <v>8.48</v>
      </c>
      <c r="E406" s="486" t="n">
        <v>8.42</v>
      </c>
      <c r="F406" s="486" t="n">
        <v>0.06</v>
      </c>
      <c r="G406" s="486" t="inlineStr">
        <is>
          <t>ERROR</t>
        </is>
      </c>
    </row>
    <row r="407" ht="20" customHeight="1" s="225">
      <c r="A407" s="486" t="inlineStr">
        <is>
          <t>7AV</t>
        </is>
      </c>
      <c r="B407" s="486" t="inlineStr">
        <is>
          <t>BARRETO PINTADO ISMAEL SANTIAGO</t>
        </is>
      </c>
      <c r="C407" s="486" t="inlineStr">
        <is>
          <t>Educación Física</t>
        </is>
      </c>
      <c r="D407" s="486" t="n">
        <v>8.5</v>
      </c>
      <c r="E407" s="486" t="n">
        <v>9.09</v>
      </c>
      <c r="F407" s="486" t="n">
        <v>0.59</v>
      </c>
      <c r="G407" s="486" t="inlineStr">
        <is>
          <t>ERROR</t>
        </is>
      </c>
    </row>
    <row r="408" ht="20" customHeight="1" s="225">
      <c r="A408" s="486" t="inlineStr">
        <is>
          <t>7AV</t>
        </is>
      </c>
      <c r="B408" s="486" t="inlineStr">
        <is>
          <t>BARRETO PINTADO ISMAEL SANTIAGO</t>
        </is>
      </c>
      <c r="C408" s="486" t="inlineStr">
        <is>
          <t>Promedio Final / P. General</t>
        </is>
      </c>
      <c r="D408" s="486" t="n">
        <v>8.359999999999999</v>
      </c>
      <c r="E408" s="486" t="n">
        <v>8.44</v>
      </c>
      <c r="F408" s="486" t="n">
        <v>0.08</v>
      </c>
      <c r="G408" s="486" t="inlineStr">
        <is>
          <t>ERROR</t>
        </is>
      </c>
    </row>
    <row r="409" ht="20" customHeight="1" s="225">
      <c r="A409" s="486" t="inlineStr">
        <is>
          <t>7AV</t>
        </is>
      </c>
      <c r="B409" s="486" t="inlineStr">
        <is>
          <t>BERNAL MUÑOZ YURI ALEXANDRA</t>
        </is>
      </c>
      <c r="C409" s="486" t="inlineStr">
        <is>
          <t>Educación Física</t>
        </is>
      </c>
      <c r="D409" s="486" t="n">
        <v>9.529999999999999</v>
      </c>
      <c r="E409" s="486" t="n">
        <v>9.4</v>
      </c>
      <c r="F409" s="486" t="n">
        <v>0.13</v>
      </c>
      <c r="G409" s="486" t="inlineStr">
        <is>
          <t>ERROR</t>
        </is>
      </c>
    </row>
    <row r="410" ht="20" customHeight="1" s="225">
      <c r="A410" s="486" t="inlineStr">
        <is>
          <t>7AV</t>
        </is>
      </c>
      <c r="B410" s="486" t="inlineStr">
        <is>
          <t>BRITO ASTUDILLO RAUL MATEO</t>
        </is>
      </c>
      <c r="C410" s="486" t="inlineStr">
        <is>
          <t>Educación Física</t>
        </is>
      </c>
      <c r="D410" s="486" t="n">
        <v>8.59</v>
      </c>
      <c r="E410" s="486" t="n">
        <v>8.19</v>
      </c>
      <c r="F410" s="486" t="n">
        <v>0.4</v>
      </c>
      <c r="G410" s="486" t="inlineStr">
        <is>
          <t>ERROR</t>
        </is>
      </c>
    </row>
    <row r="411" ht="20" customHeight="1" s="225">
      <c r="A411" s="486" t="inlineStr">
        <is>
          <t>7AV</t>
        </is>
      </c>
      <c r="B411" s="486" t="inlineStr">
        <is>
          <t>BRITO ASTUDILLO RAUL MATEO</t>
        </is>
      </c>
      <c r="C411" s="486" t="inlineStr">
        <is>
          <t>Promedio Final / P. General</t>
        </is>
      </c>
      <c r="D411" s="486" t="n">
        <v>8.289999999999999</v>
      </c>
      <c r="E411" s="486" t="n">
        <v>8.220000000000001</v>
      </c>
      <c r="F411" s="486" t="n">
        <v>0.07000000000000001</v>
      </c>
      <c r="G411" s="486" t="inlineStr">
        <is>
          <t>ERROR</t>
        </is>
      </c>
    </row>
    <row r="412" ht="20" customHeight="1" s="225">
      <c r="A412" s="486" t="inlineStr">
        <is>
          <t>7AV</t>
        </is>
      </c>
      <c r="B412" s="486" t="inlineStr">
        <is>
          <t>CALLE MARTOS MARIA DEL CISNE</t>
        </is>
      </c>
      <c r="C412" s="486" t="inlineStr">
        <is>
          <t>Educación Física</t>
        </is>
      </c>
      <c r="D412" s="486" t="n">
        <v>8.619999999999999</v>
      </c>
      <c r="E412" s="486" t="n">
        <v>9.119999999999999</v>
      </c>
      <c r="F412" s="486" t="n">
        <v>0.5</v>
      </c>
      <c r="G412" s="486" t="inlineStr">
        <is>
          <t>ERROR</t>
        </is>
      </c>
    </row>
    <row r="413" ht="20" customHeight="1" s="225">
      <c r="A413" s="486" t="inlineStr">
        <is>
          <t>7AV</t>
        </is>
      </c>
      <c r="B413" s="486" t="inlineStr">
        <is>
          <t>CALLE MARTOS MARIA DEL CISNE</t>
        </is>
      </c>
      <c r="C413" s="486" t="inlineStr">
        <is>
          <t>Promedio Final / P. General</t>
        </is>
      </c>
      <c r="D413" s="486" t="n">
        <v>9.01</v>
      </c>
      <c r="E413" s="486" t="n">
        <v>9.08</v>
      </c>
      <c r="F413" s="486" t="n">
        <v>0.07000000000000001</v>
      </c>
      <c r="G413" s="486" t="inlineStr">
        <is>
          <t>ERROR</t>
        </is>
      </c>
    </row>
    <row r="414" ht="20" customHeight="1" s="225">
      <c r="A414" s="486" t="inlineStr">
        <is>
          <t>7AV</t>
        </is>
      </c>
      <c r="B414" s="486" t="inlineStr">
        <is>
          <t>CAMPOVERDE VALDEZ JUSTIN JOEL</t>
        </is>
      </c>
      <c r="C414" s="486" t="inlineStr">
        <is>
          <t>Educación Física</t>
        </is>
      </c>
      <c r="D414" s="486" t="n">
        <v>8.1</v>
      </c>
      <c r="E414" s="486" t="n">
        <v>9.199999999999999</v>
      </c>
      <c r="F414" s="486" t="n">
        <v>1.1</v>
      </c>
      <c r="G414" s="486" t="inlineStr">
        <is>
          <t>ERROR</t>
        </is>
      </c>
    </row>
    <row r="415" ht="20" customHeight="1" s="225">
      <c r="A415" s="486" t="inlineStr">
        <is>
          <t>7AV</t>
        </is>
      </c>
      <c r="B415" s="486" t="inlineStr">
        <is>
          <t>CAMPOVERDE VALDEZ JUSTIN JOEL</t>
        </is>
      </c>
      <c r="C415" s="486" t="inlineStr">
        <is>
          <t>Promedio Final / P. General</t>
        </is>
      </c>
      <c r="D415" s="486" t="n">
        <v>8.300000000000001</v>
      </c>
      <c r="E415" s="486" t="n">
        <v>8.449999999999999</v>
      </c>
      <c r="F415" s="486" t="n">
        <v>0.15</v>
      </c>
      <c r="G415" s="486" t="inlineStr">
        <is>
          <t>ERROR</t>
        </is>
      </c>
    </row>
    <row r="416" ht="20" customHeight="1" s="225">
      <c r="A416" s="486" t="inlineStr">
        <is>
          <t>7AV</t>
        </is>
      </c>
      <c r="B416" s="486" t="inlineStr">
        <is>
          <t>CEDEÑO VALENTIN LUCIANA FERNANDA</t>
        </is>
      </c>
      <c r="C416" s="486" t="inlineStr">
        <is>
          <t>Estudios Sociales</t>
        </is>
      </c>
      <c r="D416" s="486" t="n">
        <v>8.44</v>
      </c>
      <c r="E416" s="486" t="n">
        <v>8.779999999999999</v>
      </c>
      <c r="F416" s="486" t="n">
        <v>0.34</v>
      </c>
      <c r="G416" s="486" t="inlineStr">
        <is>
          <t>ERROR</t>
        </is>
      </c>
    </row>
    <row r="417" ht="20" customHeight="1" s="225">
      <c r="A417" s="486" t="inlineStr">
        <is>
          <t>7AV</t>
        </is>
      </c>
      <c r="B417" s="486" t="inlineStr">
        <is>
          <t>CEDEÑO VALENTIN LUCIANA FERNANDA</t>
        </is>
      </c>
      <c r="C417" s="486" t="inlineStr">
        <is>
          <t>Educación Física</t>
        </is>
      </c>
      <c r="D417" s="486" t="n">
        <v>8.5</v>
      </c>
      <c r="E417" s="486" t="n">
        <v>9.58</v>
      </c>
      <c r="F417" s="486" t="n">
        <v>1.08</v>
      </c>
      <c r="G417" s="486" t="inlineStr">
        <is>
          <t>ERROR</t>
        </is>
      </c>
    </row>
    <row r="418" ht="20" customHeight="1" s="225">
      <c r="A418" s="486" t="inlineStr">
        <is>
          <t>7AV</t>
        </is>
      </c>
      <c r="B418" s="486" t="inlineStr">
        <is>
          <t>CEDEÑO VALENTIN LUCIANA FERNANDA</t>
        </is>
      </c>
      <c r="C418" s="486" t="inlineStr">
        <is>
          <t>Promedio Final / P. General</t>
        </is>
      </c>
      <c r="D418" s="486" t="n">
        <v>8.68</v>
      </c>
      <c r="E418" s="486" t="n">
        <v>8.83</v>
      </c>
      <c r="F418" s="486" t="n">
        <v>0.15</v>
      </c>
      <c r="G418" s="486" t="inlineStr">
        <is>
          <t>ERROR</t>
        </is>
      </c>
    </row>
    <row r="419" ht="20" customHeight="1" s="225">
      <c r="A419" s="486" t="inlineStr">
        <is>
          <t>7AV</t>
        </is>
      </c>
      <c r="B419" s="486" t="inlineStr">
        <is>
          <t>CHACA GUACHICHULLCA AMY SOFIA</t>
        </is>
      </c>
      <c r="C419" s="486" t="inlineStr">
        <is>
          <t>Inglés</t>
        </is>
      </c>
      <c r="D419" s="486" t="n">
        <v>8.58</v>
      </c>
      <c r="E419" s="486" t="n">
        <v>8.550000000000001</v>
      </c>
      <c r="F419" s="486" t="n">
        <v>0.03</v>
      </c>
      <c r="G419" s="486" t="inlineStr">
        <is>
          <t>ERROR</t>
        </is>
      </c>
    </row>
    <row r="420" ht="20" customHeight="1" s="225">
      <c r="A420" s="486" t="inlineStr">
        <is>
          <t>7AV</t>
        </is>
      </c>
      <c r="B420" s="486" t="inlineStr">
        <is>
          <t>CHACA GUACHICHULLCA AMY SOFIA</t>
        </is>
      </c>
      <c r="C420" s="486" t="inlineStr">
        <is>
          <t>Educación Física</t>
        </is>
      </c>
      <c r="D420" s="486" t="n">
        <v>9.44</v>
      </c>
      <c r="E420" s="486" t="n">
        <v>9.619999999999999</v>
      </c>
      <c r="F420" s="486" t="n">
        <v>0.18</v>
      </c>
      <c r="G420" s="486" t="inlineStr">
        <is>
          <t>ERROR</t>
        </is>
      </c>
    </row>
    <row r="421" ht="20" customHeight="1" s="225">
      <c r="A421" s="485" t="inlineStr">
        <is>
          <t>7AV</t>
        </is>
      </c>
      <c r="B421" s="485" t="inlineStr">
        <is>
          <t>CUERO MAZA RANDY MANUEL</t>
        </is>
      </c>
      <c r="C421" s="485" t="inlineStr">
        <is>
          <t>(NÓMINA)</t>
        </is>
      </c>
      <c r="D421" s="485" t="inlineStr">
        <is>
          <t>-</t>
        </is>
      </c>
      <c r="E421" s="485" t="inlineStr">
        <is>
          <t>-</t>
        </is>
      </c>
      <c r="F421" s="485" t="inlineStr">
        <is>
          <t>-</t>
        </is>
      </c>
      <c r="G421" s="485" t="inlineStr">
        <is>
          <t>DESFASE DE NÓMINA</t>
        </is>
      </c>
    </row>
    <row r="422" ht="20" customHeight="1" s="225">
      <c r="A422" s="486" t="inlineStr">
        <is>
          <t>7AV</t>
        </is>
      </c>
      <c r="B422" s="486" t="inlineStr">
        <is>
          <t>CUERO MAZA RANDY MANUEL</t>
        </is>
      </c>
      <c r="C422" s="486" t="inlineStr">
        <is>
          <t>Matemática</t>
        </is>
      </c>
      <c r="D422" s="486" t="n">
        <v>8.4</v>
      </c>
      <c r="E422" s="486" t="n">
        <v>8.68</v>
      </c>
      <c r="F422" s="486" t="n">
        <v>0.28</v>
      </c>
      <c r="G422" s="486" t="inlineStr">
        <is>
          <t>ERROR</t>
        </is>
      </c>
    </row>
    <row r="423" ht="20" customHeight="1" s="225">
      <c r="A423" s="486" t="inlineStr">
        <is>
          <t>7AV</t>
        </is>
      </c>
      <c r="B423" s="486" t="inlineStr">
        <is>
          <t>CUERO MAZA RANDY MANUEL</t>
        </is>
      </c>
      <c r="C423" s="486" t="inlineStr">
        <is>
          <t>Ciencias Naturales</t>
        </is>
      </c>
      <c r="D423" s="486" t="n">
        <v>8.1</v>
      </c>
      <c r="E423" s="486" t="n">
        <v>8.300000000000001</v>
      </c>
      <c r="F423" s="486" t="n">
        <v>0.2</v>
      </c>
      <c r="G423" s="486" t="inlineStr">
        <is>
          <t>ERROR</t>
        </is>
      </c>
    </row>
    <row r="424" ht="20" customHeight="1" s="225">
      <c r="A424" s="486" t="inlineStr">
        <is>
          <t>7AV</t>
        </is>
      </c>
      <c r="B424" s="486" t="inlineStr">
        <is>
          <t>CUERO MAZA RANDY MANUEL</t>
        </is>
      </c>
      <c r="C424" s="486" t="inlineStr">
        <is>
          <t>Estudios Sociales</t>
        </is>
      </c>
      <c r="D424" s="486" t="n">
        <v>8.5</v>
      </c>
      <c r="E424" s="486" t="n">
        <v>8.720000000000001</v>
      </c>
      <c r="F424" s="486" t="n">
        <v>0.22</v>
      </c>
      <c r="G424" s="486" t="inlineStr">
        <is>
          <t>ERROR</t>
        </is>
      </c>
    </row>
    <row r="425" ht="20" customHeight="1" s="225">
      <c r="A425" s="486" t="inlineStr">
        <is>
          <t>7AV</t>
        </is>
      </c>
      <c r="B425" s="486" t="inlineStr">
        <is>
          <t>CUERO MAZA RANDY MANUEL</t>
        </is>
      </c>
      <c r="C425" s="486" t="inlineStr">
        <is>
          <t>Inglés</t>
        </is>
      </c>
      <c r="D425" s="486" t="n">
        <v>7.28</v>
      </c>
      <c r="E425" s="486" t="n">
        <v>7.24</v>
      </c>
      <c r="F425" s="486" t="n">
        <v>0.04</v>
      </c>
      <c r="G425" s="486" t="inlineStr">
        <is>
          <t>ERROR</t>
        </is>
      </c>
    </row>
    <row r="426" ht="20" customHeight="1" s="225">
      <c r="A426" s="486" t="inlineStr">
        <is>
          <t>7AV</t>
        </is>
      </c>
      <c r="B426" s="486" t="inlineStr">
        <is>
          <t>CUERO MAZA RANDY MANUEL</t>
        </is>
      </c>
      <c r="C426" s="486" t="inlineStr">
        <is>
          <t>Educación Cultural y Artística</t>
        </is>
      </c>
      <c r="D426" s="486" t="n">
        <v>8.779999999999999</v>
      </c>
      <c r="E426" s="486" t="n">
        <v>8.92</v>
      </c>
      <c r="F426" s="486" t="n">
        <v>0.14</v>
      </c>
      <c r="G426" s="486" t="inlineStr">
        <is>
          <t>ERROR</t>
        </is>
      </c>
    </row>
    <row r="427" ht="20" customHeight="1" s="225">
      <c r="A427" s="486" t="inlineStr">
        <is>
          <t>7AV</t>
        </is>
      </c>
      <c r="B427" s="486" t="inlineStr">
        <is>
          <t>CUERO MAZA RANDY MANUEL</t>
        </is>
      </c>
      <c r="C427" s="486" t="inlineStr">
        <is>
          <t>Educación Física</t>
        </is>
      </c>
      <c r="D427" s="486" t="n">
        <v>7.96</v>
      </c>
      <c r="E427" s="486" t="n">
        <v>8.359999999999999</v>
      </c>
      <c r="F427" s="486" t="n">
        <v>0.4</v>
      </c>
      <c r="G427" s="486" t="inlineStr">
        <is>
          <t>ERROR</t>
        </is>
      </c>
    </row>
    <row r="428" ht="20" customHeight="1" s="225">
      <c r="A428" s="486" t="inlineStr">
        <is>
          <t>7AV</t>
        </is>
      </c>
      <c r="B428" s="486" t="inlineStr">
        <is>
          <t>CUERO MAZA RANDY MANUEL</t>
        </is>
      </c>
      <c r="C428" s="486" t="inlineStr">
        <is>
          <t>Promedio Final / P. General</t>
        </is>
      </c>
      <c r="D428" s="486" t="n">
        <v>8.17</v>
      </c>
      <c r="E428" s="486" t="n">
        <v>8.33</v>
      </c>
      <c r="F428" s="486" t="n">
        <v>0.16</v>
      </c>
      <c r="G428" s="486" t="inlineStr">
        <is>
          <t>ERROR</t>
        </is>
      </c>
    </row>
    <row r="429" ht="20" customHeight="1" s="225">
      <c r="A429" s="485" t="inlineStr">
        <is>
          <t>7AV</t>
        </is>
      </c>
      <c r="B429" s="485" t="inlineStr">
        <is>
          <t>CRUZ TORRES DANIEL FERNANDO</t>
        </is>
      </c>
      <c r="C429" s="485" t="inlineStr">
        <is>
          <t>(NÓMINA)</t>
        </is>
      </c>
      <c r="D429" s="485" t="inlineStr">
        <is>
          <t>-</t>
        </is>
      </c>
      <c r="E429" s="485" t="inlineStr">
        <is>
          <t>-</t>
        </is>
      </c>
      <c r="F429" s="485" t="inlineStr">
        <is>
          <t>-</t>
        </is>
      </c>
      <c r="G429" s="485" t="inlineStr">
        <is>
          <t>DESFASE DE NÓMINA</t>
        </is>
      </c>
    </row>
    <row r="430" ht="20" customHeight="1" s="225">
      <c r="A430" s="486" t="inlineStr">
        <is>
          <t>7AV</t>
        </is>
      </c>
      <c r="B430" s="486" t="inlineStr">
        <is>
          <t>CRUZ TORRES DANIEL FERNANDO</t>
        </is>
      </c>
      <c r="C430" s="486" t="inlineStr">
        <is>
          <t>Matemática</t>
        </is>
      </c>
      <c r="D430" s="486" t="n">
        <v>8.390000000000001</v>
      </c>
      <c r="E430" s="486" t="n">
        <v>8.109999999999999</v>
      </c>
      <c r="F430" s="486" t="n">
        <v>0.28</v>
      </c>
      <c r="G430" s="486" t="inlineStr">
        <is>
          <t>ERROR</t>
        </is>
      </c>
    </row>
    <row r="431" ht="20" customHeight="1" s="225">
      <c r="A431" s="486" t="inlineStr">
        <is>
          <t>7AV</t>
        </is>
      </c>
      <c r="B431" s="486" t="inlineStr">
        <is>
          <t>CRUZ TORRES DANIEL FERNANDO</t>
        </is>
      </c>
      <c r="C431" s="486" t="inlineStr">
        <is>
          <t>Ciencias Naturales</t>
        </is>
      </c>
      <c r="D431" s="486" t="n">
        <v>8.23</v>
      </c>
      <c r="E431" s="486" t="n">
        <v>8.02</v>
      </c>
      <c r="F431" s="486" t="n">
        <v>0.21</v>
      </c>
      <c r="G431" s="486" t="inlineStr">
        <is>
          <t>ERROR</t>
        </is>
      </c>
    </row>
    <row r="432" ht="20" customHeight="1" s="225">
      <c r="A432" s="486" t="inlineStr">
        <is>
          <t>7AV</t>
        </is>
      </c>
      <c r="B432" s="486" t="inlineStr">
        <is>
          <t>CRUZ TORRES DANIEL FERNANDO</t>
        </is>
      </c>
      <c r="C432" s="486" t="inlineStr">
        <is>
          <t>Estudios Sociales</t>
        </is>
      </c>
      <c r="D432" s="486" t="n">
        <v>8.869999999999999</v>
      </c>
      <c r="E432" s="486" t="n">
        <v>8.640000000000001</v>
      </c>
      <c r="F432" s="486" t="n">
        <v>0.23</v>
      </c>
      <c r="G432" s="486" t="inlineStr">
        <is>
          <t>ERROR</t>
        </is>
      </c>
    </row>
    <row r="433" ht="20" customHeight="1" s="225">
      <c r="A433" s="486" t="inlineStr">
        <is>
          <t>7AV</t>
        </is>
      </c>
      <c r="B433" s="486" t="inlineStr">
        <is>
          <t>CRUZ TORRES DANIEL FERNANDO</t>
        </is>
      </c>
      <c r="C433" s="486" t="inlineStr">
        <is>
          <t>Educación Cultural y Artística</t>
        </is>
      </c>
      <c r="D433" s="486" t="n">
        <v>8.85</v>
      </c>
      <c r="E433" s="486" t="n">
        <v>8.69</v>
      </c>
      <c r="F433" s="486" t="n">
        <v>0.16</v>
      </c>
      <c r="G433" s="486" t="inlineStr">
        <is>
          <t>ERROR</t>
        </is>
      </c>
    </row>
    <row r="434" ht="20" customHeight="1" s="225">
      <c r="A434" s="486" t="inlineStr">
        <is>
          <t>7AV</t>
        </is>
      </c>
      <c r="B434" s="486" t="inlineStr">
        <is>
          <t>CRUZ TORRES DANIEL FERNANDO</t>
        </is>
      </c>
      <c r="C434" s="486" t="inlineStr">
        <is>
          <t>Educación Física</t>
        </is>
      </c>
      <c r="D434" s="486" t="n">
        <v>8.210000000000001</v>
      </c>
      <c r="E434" s="486" t="n">
        <v>8.48</v>
      </c>
      <c r="F434" s="486" t="n">
        <v>0.27</v>
      </c>
      <c r="G434" s="486" t="inlineStr">
        <is>
          <t>ERROR</t>
        </is>
      </c>
    </row>
    <row r="435" ht="20" customHeight="1" s="225">
      <c r="A435" s="486" t="inlineStr">
        <is>
          <t>7AV</t>
        </is>
      </c>
      <c r="B435" s="486" t="inlineStr">
        <is>
          <t>CRUZ TORRES DANIEL FERNANDO</t>
        </is>
      </c>
      <c r="C435" s="486" t="inlineStr">
        <is>
          <t>Promedio Final / P. General</t>
        </is>
      </c>
      <c r="D435" s="486" t="n">
        <v>8.460000000000001</v>
      </c>
      <c r="E435" s="486" t="n">
        <v>8.369999999999999</v>
      </c>
      <c r="F435" s="486" t="n">
        <v>0.09</v>
      </c>
      <c r="G435" s="486" t="inlineStr">
        <is>
          <t>ERROR</t>
        </is>
      </c>
    </row>
    <row r="436" ht="20" customHeight="1" s="225">
      <c r="A436" s="486" t="inlineStr">
        <is>
          <t>7AV</t>
        </is>
      </c>
      <c r="B436" s="486" t="inlineStr">
        <is>
          <t>DELGADO PARRA VALENTINA ABIGAIL</t>
        </is>
      </c>
      <c r="C436" s="486" t="inlineStr">
        <is>
          <t>Educación Física</t>
        </is>
      </c>
      <c r="D436" s="486" t="n">
        <v>9.81</v>
      </c>
      <c r="E436" s="486" t="n">
        <v>9.84</v>
      </c>
      <c r="F436" s="486" t="n">
        <v>0.03</v>
      </c>
      <c r="G436" s="486" t="inlineStr">
        <is>
          <t>ERROR</t>
        </is>
      </c>
    </row>
    <row r="437" ht="20" customHeight="1" s="225">
      <c r="A437" s="486" t="inlineStr">
        <is>
          <t>7AV</t>
        </is>
      </c>
      <c r="B437" s="486" t="inlineStr">
        <is>
          <t>DELGADO SALTOS ANDREA GEOVANNA</t>
        </is>
      </c>
      <c r="C437" s="486" t="inlineStr">
        <is>
          <t>Estudios Sociales</t>
        </is>
      </c>
      <c r="D437" s="486" t="n">
        <v>9.710000000000001</v>
      </c>
      <c r="E437" s="486" t="n">
        <v>9.890000000000001</v>
      </c>
      <c r="F437" s="486" t="n">
        <v>0.18</v>
      </c>
      <c r="G437" s="486" t="inlineStr">
        <is>
          <t>ERROR</t>
        </is>
      </c>
    </row>
    <row r="438" ht="20" customHeight="1" s="225">
      <c r="A438" s="486" t="inlineStr">
        <is>
          <t>7AV</t>
        </is>
      </c>
      <c r="B438" s="486" t="inlineStr">
        <is>
          <t>DELGADO SALTOS ANDREA GEOVANNA</t>
        </is>
      </c>
      <c r="C438" s="486" t="inlineStr">
        <is>
          <t>Educación Física</t>
        </is>
      </c>
      <c r="D438" s="486" t="n">
        <v>9.300000000000001</v>
      </c>
      <c r="E438" s="486" t="n">
        <v>9.76</v>
      </c>
      <c r="F438" s="486" t="n">
        <v>0.46</v>
      </c>
      <c r="G438" s="486" t="inlineStr">
        <is>
          <t>ERROR</t>
        </is>
      </c>
    </row>
    <row r="439" ht="20" customHeight="1" s="225">
      <c r="A439" s="486" t="inlineStr">
        <is>
          <t>7AV</t>
        </is>
      </c>
      <c r="B439" s="486" t="inlineStr">
        <is>
          <t>DELGADO SALTOS ANDREA GEOVANNA</t>
        </is>
      </c>
      <c r="C439" s="486" t="inlineStr">
        <is>
          <t>Promedio Final / P. General</t>
        </is>
      </c>
      <c r="D439" s="486" t="n">
        <v>9.66</v>
      </c>
      <c r="E439" s="486" t="n">
        <v>9.74</v>
      </c>
      <c r="F439" s="486" t="n">
        <v>0.08</v>
      </c>
      <c r="G439" s="486" t="inlineStr">
        <is>
          <t>ERROR</t>
        </is>
      </c>
    </row>
    <row r="440" ht="20" customHeight="1" s="225">
      <c r="A440" s="486" t="inlineStr">
        <is>
          <t>7AV</t>
        </is>
      </c>
      <c r="B440" s="486" t="inlineStr">
        <is>
          <t>GUAMAN SHIRAP MIESHA LEONOR</t>
        </is>
      </c>
      <c r="C440" s="486" t="inlineStr">
        <is>
          <t>Educación Física</t>
        </is>
      </c>
      <c r="D440" s="486" t="n">
        <v>9.289999999999999</v>
      </c>
      <c r="E440" s="486" t="n">
        <v>8.69</v>
      </c>
      <c r="F440" s="486" t="n">
        <v>0.6</v>
      </c>
      <c r="G440" s="486" t="inlineStr">
        <is>
          <t>ERROR</t>
        </is>
      </c>
    </row>
    <row r="441" ht="20" customHeight="1" s="225">
      <c r="A441" s="486" t="inlineStr">
        <is>
          <t>7AV</t>
        </is>
      </c>
      <c r="B441" s="486" t="inlineStr">
        <is>
          <t>GUAMAN SHIRAP MIESHA LEONOR</t>
        </is>
      </c>
      <c r="C441" s="486" t="inlineStr">
        <is>
          <t>Promedio Final / P. General</t>
        </is>
      </c>
      <c r="D441" s="486" t="n">
        <v>9.02</v>
      </c>
      <c r="E441" s="486" t="n">
        <v>8.93</v>
      </c>
      <c r="F441" s="486" t="n">
        <v>0.09</v>
      </c>
      <c r="G441" s="486" t="inlineStr">
        <is>
          <t>ERROR</t>
        </is>
      </c>
    </row>
    <row r="442" ht="20" customHeight="1" s="225">
      <c r="A442" s="486" t="inlineStr">
        <is>
          <t>7AV</t>
        </is>
      </c>
      <c r="B442" s="486" t="inlineStr">
        <is>
          <t>GUAYCHA CHUQUIMARCA BRITTANY NAOMY</t>
        </is>
      </c>
      <c r="C442" s="486" t="inlineStr">
        <is>
          <t>Educación Física</t>
        </is>
      </c>
      <c r="D442" s="486" t="n">
        <v>8.99</v>
      </c>
      <c r="E442" s="486" t="n">
        <v>9.51</v>
      </c>
      <c r="F442" s="486" t="n">
        <v>0.52</v>
      </c>
      <c r="G442" s="486" t="inlineStr">
        <is>
          <t>ERROR</t>
        </is>
      </c>
    </row>
    <row r="443" ht="20" customHeight="1" s="225">
      <c r="A443" s="486" t="inlineStr">
        <is>
          <t>7AV</t>
        </is>
      </c>
      <c r="B443" s="486" t="inlineStr">
        <is>
          <t>GUAYCHA CHUQUIMARCA BRITTANY NAOMY</t>
        </is>
      </c>
      <c r="C443" s="486" t="inlineStr">
        <is>
          <t>Promedio Final / P. General</t>
        </is>
      </c>
      <c r="D443" s="486" t="n">
        <v>9.300000000000001</v>
      </c>
      <c r="E443" s="486" t="n">
        <v>9.369999999999999</v>
      </c>
      <c r="F443" s="486" t="n">
        <v>0.07000000000000001</v>
      </c>
      <c r="G443" s="486" t="inlineStr">
        <is>
          <t>ERROR</t>
        </is>
      </c>
    </row>
    <row r="444" ht="20" customHeight="1" s="225">
      <c r="A444" s="486" t="inlineStr">
        <is>
          <t>7AV</t>
        </is>
      </c>
      <c r="B444" s="486" t="inlineStr">
        <is>
          <t>GUZHÑAY PINEDA KASANDRA DOMENICA</t>
        </is>
      </c>
      <c r="C444" s="486" t="inlineStr">
        <is>
          <t>Educación Física</t>
        </is>
      </c>
      <c r="D444" s="486" t="n">
        <v>8.880000000000001</v>
      </c>
      <c r="E444" s="486" t="n">
        <v>8.699999999999999</v>
      </c>
      <c r="F444" s="486" t="n">
        <v>0.18</v>
      </c>
      <c r="G444" s="486" t="inlineStr">
        <is>
          <t>ERROR</t>
        </is>
      </c>
    </row>
    <row r="445" ht="20" customHeight="1" s="225">
      <c r="A445" s="486" t="inlineStr">
        <is>
          <t>7AV</t>
        </is>
      </c>
      <c r="B445" s="486" t="inlineStr">
        <is>
          <t>GUZHÑAY PINEDA KASANDRA DOMENICA</t>
        </is>
      </c>
      <c r="C445" s="486" t="inlineStr">
        <is>
          <t>Promedio Final / P. General</t>
        </is>
      </c>
      <c r="D445" s="486" t="n">
        <v>8.880000000000001</v>
      </c>
      <c r="E445" s="486" t="n">
        <v>8.85</v>
      </c>
      <c r="F445" s="486" t="n">
        <v>0.03</v>
      </c>
      <c r="G445" s="486" t="inlineStr">
        <is>
          <t>ERROR</t>
        </is>
      </c>
    </row>
    <row r="446" ht="20" customHeight="1" s="225">
      <c r="A446" s="486" t="inlineStr">
        <is>
          <t>7AV</t>
        </is>
      </c>
      <c r="B446" s="486" t="inlineStr">
        <is>
          <t>LEMA SANISACA DOMENICA MONSERRATH</t>
        </is>
      </c>
      <c r="C446" s="486" t="inlineStr">
        <is>
          <t>Educación Física</t>
        </is>
      </c>
      <c r="D446" s="486" t="n">
        <v>8.960000000000001</v>
      </c>
      <c r="E446" s="486" t="n">
        <v>9.550000000000001</v>
      </c>
      <c r="F446" s="486" t="n">
        <v>0.59</v>
      </c>
      <c r="G446" s="486" t="inlineStr">
        <is>
          <t>ERROR</t>
        </is>
      </c>
    </row>
    <row r="447" ht="20" customHeight="1" s="225">
      <c r="A447" s="486" t="inlineStr">
        <is>
          <t>7AV</t>
        </is>
      </c>
      <c r="B447" s="486" t="inlineStr">
        <is>
          <t>LEMA SANISACA DOMENICA MONSERRATH</t>
        </is>
      </c>
      <c r="C447" s="486" t="inlineStr">
        <is>
          <t>Promedio Final / P. General</t>
        </is>
      </c>
      <c r="D447" s="486" t="n">
        <v>9.130000000000001</v>
      </c>
      <c r="E447" s="486" t="n">
        <v>9.210000000000001</v>
      </c>
      <c r="F447" s="486" t="n">
        <v>0.08</v>
      </c>
      <c r="G447" s="486" t="inlineStr">
        <is>
          <t>ERROR</t>
        </is>
      </c>
    </row>
    <row r="448" ht="20" customHeight="1" s="225">
      <c r="A448" s="486" t="inlineStr">
        <is>
          <t>7AV</t>
        </is>
      </c>
      <c r="B448" s="486" t="inlineStr">
        <is>
          <t>LLIVICHUZHCA MENDOZA JHESICA SKARLETH</t>
        </is>
      </c>
      <c r="C448" s="486" t="inlineStr">
        <is>
          <t>Educación Física</t>
        </is>
      </c>
      <c r="D448" s="486" t="n">
        <v>9.41</v>
      </c>
      <c r="E448" s="486" t="n">
        <v>8.890000000000001</v>
      </c>
      <c r="F448" s="486" t="n">
        <v>0.52</v>
      </c>
      <c r="G448" s="486" t="inlineStr">
        <is>
          <t>ERROR</t>
        </is>
      </c>
    </row>
    <row r="449" ht="20" customHeight="1" s="225">
      <c r="A449" s="486" t="inlineStr">
        <is>
          <t>7AV</t>
        </is>
      </c>
      <c r="B449" s="486" t="inlineStr">
        <is>
          <t>LLIVICHUZHCA MENDOZA JHESICA SKARLETH</t>
        </is>
      </c>
      <c r="C449" s="486" t="inlineStr">
        <is>
          <t>Promedio Final / P. General</t>
        </is>
      </c>
      <c r="D449" s="486" t="n">
        <v>9.44</v>
      </c>
      <c r="E449" s="486" t="n">
        <v>9.359999999999999</v>
      </c>
      <c r="F449" s="486" t="n">
        <v>0.08</v>
      </c>
      <c r="G449" s="486" t="inlineStr">
        <is>
          <t>ERROR</t>
        </is>
      </c>
    </row>
    <row r="450" ht="20" customHeight="1" s="225">
      <c r="A450" s="486" t="inlineStr">
        <is>
          <t>7AV</t>
        </is>
      </c>
      <c r="B450" s="486" t="inlineStr">
        <is>
          <t>LOOR CRUZ RUTH ANAHI</t>
        </is>
      </c>
      <c r="C450" s="486" t="inlineStr">
        <is>
          <t>Ciencias Naturales</t>
        </is>
      </c>
      <c r="D450" s="486" t="n">
        <v>8.09</v>
      </c>
      <c r="E450" s="486" t="n">
        <v>8.48</v>
      </c>
      <c r="F450" s="486" t="n">
        <v>0.39</v>
      </c>
      <c r="G450" s="486" t="inlineStr">
        <is>
          <t>ERROR</t>
        </is>
      </c>
    </row>
    <row r="451" ht="20" customHeight="1" s="225">
      <c r="A451" s="486" t="inlineStr">
        <is>
          <t>7AV</t>
        </is>
      </c>
      <c r="B451" s="486" t="inlineStr">
        <is>
          <t>LOOR CRUZ RUTH ANAHI</t>
        </is>
      </c>
      <c r="C451" s="486" t="inlineStr">
        <is>
          <t>Inglés</t>
        </is>
      </c>
      <c r="D451" s="486" t="n">
        <v>9.039999999999999</v>
      </c>
      <c r="E451" s="486" t="n">
        <v>9.08</v>
      </c>
      <c r="F451" s="486" t="n">
        <v>0.04</v>
      </c>
      <c r="G451" s="486" t="inlineStr">
        <is>
          <t>ERROR</t>
        </is>
      </c>
    </row>
    <row r="452" ht="20" customHeight="1" s="225">
      <c r="A452" s="486" t="inlineStr">
        <is>
          <t>7AV</t>
        </is>
      </c>
      <c r="B452" s="486" t="inlineStr">
        <is>
          <t>LOOR CRUZ RUTH ANAHI</t>
        </is>
      </c>
      <c r="C452" s="486" t="inlineStr">
        <is>
          <t>Educación Física</t>
        </is>
      </c>
      <c r="D452" s="486" t="n">
        <v>9.300000000000001</v>
      </c>
      <c r="E452" s="486" t="n">
        <v>9.06</v>
      </c>
      <c r="F452" s="486" t="n">
        <v>0.24</v>
      </c>
      <c r="G452" s="486" t="inlineStr">
        <is>
          <t>ERROR</t>
        </is>
      </c>
    </row>
    <row r="453" ht="20" customHeight="1" s="225">
      <c r="A453" s="486" t="inlineStr">
        <is>
          <t>7AV</t>
        </is>
      </c>
      <c r="B453" s="486" t="inlineStr">
        <is>
          <t>LOOR CRUZ RUTH ANAHI</t>
        </is>
      </c>
      <c r="C453" s="486" t="inlineStr">
        <is>
          <t>Promedio Final / P. General</t>
        </is>
      </c>
      <c r="D453" s="486" t="n">
        <v>8.699999999999999</v>
      </c>
      <c r="E453" s="486" t="n">
        <v>8.66</v>
      </c>
      <c r="F453" s="486" t="n">
        <v>0.04</v>
      </c>
      <c r="G453" s="486" t="inlineStr">
        <is>
          <t>ERROR</t>
        </is>
      </c>
    </row>
    <row r="454" ht="20" customHeight="1" s="225">
      <c r="A454" s="485" t="inlineStr">
        <is>
          <t>7AV</t>
        </is>
      </c>
      <c r="B454" s="485" t="inlineStr">
        <is>
          <t>MALLA OCHOA ERICK ANIBAL</t>
        </is>
      </c>
      <c r="C454" s="485" t="inlineStr">
        <is>
          <t>SOLO EN DOCENTES</t>
        </is>
      </c>
      <c r="D454" s="485" t="inlineStr">
        <is>
          <t>-</t>
        </is>
      </c>
      <c r="E454" s="485" t="inlineStr">
        <is>
          <t>-</t>
        </is>
      </c>
      <c r="F454" s="485" t="inlineStr">
        <is>
          <t>-</t>
        </is>
      </c>
      <c r="G454" s="485" t="inlineStr">
        <is>
          <t>DESFASE DE NÓMINA</t>
        </is>
      </c>
    </row>
    <row r="455" ht="20" customHeight="1" s="225">
      <c r="A455" s="486" t="inlineStr">
        <is>
          <t>7AV</t>
        </is>
      </c>
      <c r="B455" s="486" t="inlineStr">
        <is>
          <t>MAZA FERNANDEZ NAYELI ESTEFANIA</t>
        </is>
      </c>
      <c r="C455" s="486" t="inlineStr">
        <is>
          <t>Educación Física</t>
        </is>
      </c>
      <c r="D455" s="486" t="n">
        <v>8.68</v>
      </c>
      <c r="E455" s="486" t="n">
        <v>8.869999999999999</v>
      </c>
      <c r="F455" s="486" t="n">
        <v>0.19</v>
      </c>
      <c r="G455" s="486" t="inlineStr">
        <is>
          <t>ERROR</t>
        </is>
      </c>
    </row>
    <row r="456" ht="20" customHeight="1" s="225">
      <c r="A456" s="486" t="inlineStr">
        <is>
          <t>7AV</t>
        </is>
      </c>
      <c r="B456" s="486" t="inlineStr">
        <is>
          <t>MOROCHO MALLA GABRIELA JHOMARA</t>
        </is>
      </c>
      <c r="C456" s="486" t="inlineStr">
        <is>
          <t>Inglés</t>
        </is>
      </c>
      <c r="D456" s="486" t="n">
        <v>8.43</v>
      </c>
      <c r="E456" s="486" t="n">
        <v>8.4</v>
      </c>
      <c r="F456" s="486" t="n">
        <v>0.03</v>
      </c>
      <c r="G456" s="486" t="inlineStr">
        <is>
          <t>ERROR</t>
        </is>
      </c>
    </row>
    <row r="457" ht="20" customHeight="1" s="225">
      <c r="A457" s="486" t="inlineStr">
        <is>
          <t>7AV</t>
        </is>
      </c>
      <c r="B457" s="486" t="inlineStr">
        <is>
          <t>MOROCHO MALLA GABRIELA JHOMARA</t>
        </is>
      </c>
      <c r="C457" s="486" t="inlineStr">
        <is>
          <t>Educación Física</t>
        </is>
      </c>
      <c r="D457" s="486" t="n">
        <v>8.91</v>
      </c>
      <c r="E457" s="486" t="n">
        <v>9.42</v>
      </c>
      <c r="F457" s="486" t="n">
        <v>0.51</v>
      </c>
      <c r="G457" s="486" t="inlineStr">
        <is>
          <t>ERROR</t>
        </is>
      </c>
    </row>
    <row r="458" ht="20" customHeight="1" s="225">
      <c r="A458" s="486" t="inlineStr">
        <is>
          <t>7AV</t>
        </is>
      </c>
      <c r="B458" s="486" t="inlineStr">
        <is>
          <t>MOROCHO MALLA GABRIELA JHOMARA</t>
        </is>
      </c>
      <c r="C458" s="486" t="inlineStr">
        <is>
          <t>Promedio Final / P. General</t>
        </is>
      </c>
      <c r="D458" s="486" t="n">
        <v>8.85</v>
      </c>
      <c r="E458" s="486" t="n">
        <v>8.91</v>
      </c>
      <c r="F458" s="486" t="n">
        <v>0.06</v>
      </c>
      <c r="G458" s="486" t="inlineStr">
        <is>
          <t>ERROR</t>
        </is>
      </c>
    </row>
    <row r="459" ht="20" customHeight="1" s="225">
      <c r="A459" s="486" t="inlineStr">
        <is>
          <t>7AV</t>
        </is>
      </c>
      <c r="B459" s="486" t="inlineStr">
        <is>
          <t>PINEDA CAMPOVERDE IRIS GUADALUPE</t>
        </is>
      </c>
      <c r="C459" s="486" t="inlineStr">
        <is>
          <t>Inglés</t>
        </is>
      </c>
      <c r="D459" s="486" t="n">
        <v>9.779999999999999</v>
      </c>
      <c r="E459" s="486" t="n">
        <v>9.75</v>
      </c>
      <c r="F459" s="486" t="n">
        <v>0.03</v>
      </c>
      <c r="G459" s="486" t="inlineStr">
        <is>
          <t>ERROR</t>
        </is>
      </c>
    </row>
    <row r="460" ht="20" customHeight="1" s="225">
      <c r="A460" s="486" t="inlineStr">
        <is>
          <t>7AV</t>
        </is>
      </c>
      <c r="B460" s="486" t="inlineStr">
        <is>
          <t>PINEDA CAMPOVERDE IRIS GUADALUPE</t>
        </is>
      </c>
      <c r="C460" s="486" t="inlineStr">
        <is>
          <t>Educación Física</t>
        </is>
      </c>
      <c r="D460" s="486" t="n">
        <v>9.699999999999999</v>
      </c>
      <c r="E460" s="486" t="n">
        <v>9.130000000000001</v>
      </c>
      <c r="F460" s="486" t="n">
        <v>0.57</v>
      </c>
      <c r="G460" s="486" t="inlineStr">
        <is>
          <t>ERROR</t>
        </is>
      </c>
    </row>
    <row r="461" ht="20" customHeight="1" s="225">
      <c r="A461" s="486" t="inlineStr">
        <is>
          <t>7AV</t>
        </is>
      </c>
      <c r="B461" s="486" t="inlineStr">
        <is>
          <t>PINEDA CAMPOVERDE IRIS GUADALUPE</t>
        </is>
      </c>
      <c r="C461" s="486" t="inlineStr">
        <is>
          <t>Promedio Final / P. General</t>
        </is>
      </c>
      <c r="D461" s="486" t="n">
        <v>9.630000000000001</v>
      </c>
      <c r="E461" s="486" t="n">
        <v>9.539999999999999</v>
      </c>
      <c r="F461" s="486" t="n">
        <v>0.09</v>
      </c>
      <c r="G461" s="486" t="inlineStr">
        <is>
          <t>ERROR</t>
        </is>
      </c>
    </row>
    <row r="462" ht="20" customHeight="1" s="225">
      <c r="A462" s="486" t="inlineStr">
        <is>
          <t>7AV</t>
        </is>
      </c>
      <c r="B462" s="486" t="inlineStr">
        <is>
          <t>PINTA VASQUEZ MAYLI XIOMARA</t>
        </is>
      </c>
      <c r="C462" s="486" t="inlineStr">
        <is>
          <t>Educación Física</t>
        </is>
      </c>
      <c r="D462" s="486" t="n">
        <v>9.300000000000001</v>
      </c>
      <c r="E462" s="486" t="n">
        <v>9.380000000000001</v>
      </c>
      <c r="F462" s="486" t="n">
        <v>0.08</v>
      </c>
      <c r="G462" s="486" t="inlineStr">
        <is>
          <t>ERROR</t>
        </is>
      </c>
    </row>
    <row r="463" ht="20" customHeight="1" s="225">
      <c r="A463" s="486" t="inlineStr">
        <is>
          <t>7AV</t>
        </is>
      </c>
      <c r="B463" s="486" t="inlineStr">
        <is>
          <t>PUIN GUALLPA ADRIANA NICOLE</t>
        </is>
      </c>
      <c r="C463" s="486" t="inlineStr">
        <is>
          <t>Educación Física</t>
        </is>
      </c>
      <c r="D463" s="486" t="n">
        <v>8.76</v>
      </c>
      <c r="E463" s="486" t="n">
        <v>8.69</v>
      </c>
      <c r="F463" s="486" t="n">
        <v>0.07000000000000001</v>
      </c>
      <c r="G463" s="486" t="inlineStr">
        <is>
          <t>ERROR</t>
        </is>
      </c>
    </row>
    <row r="464" ht="20" customHeight="1" s="225">
      <c r="A464" s="485" t="inlineStr">
        <is>
          <t>7AV</t>
        </is>
      </c>
      <c r="B464" s="485" t="inlineStr">
        <is>
          <t>PULLGARIN SACA AZUCENA MILENA</t>
        </is>
      </c>
      <c r="C464" s="485" t="inlineStr">
        <is>
          <t>SOLO EN DOCENTES</t>
        </is>
      </c>
      <c r="D464" s="485" t="inlineStr">
        <is>
          <t>-</t>
        </is>
      </c>
      <c r="E464" s="485" t="inlineStr">
        <is>
          <t>-</t>
        </is>
      </c>
      <c r="F464" s="485" t="inlineStr">
        <is>
          <t>-</t>
        </is>
      </c>
      <c r="G464" s="485" t="inlineStr">
        <is>
          <t>DESFASE DE NÓMINA</t>
        </is>
      </c>
    </row>
    <row r="465" ht="20" customHeight="1" s="225">
      <c r="A465" s="486" t="inlineStr">
        <is>
          <t>7AV</t>
        </is>
      </c>
      <c r="B465" s="486" t="inlineStr">
        <is>
          <t>QUITO CAGUANA JULIAN ALEXANDER</t>
        </is>
      </c>
      <c r="C465" s="486" t="inlineStr">
        <is>
          <t>Inglés</t>
        </is>
      </c>
      <c r="D465" s="486" t="n">
        <v>8.279999999999999</v>
      </c>
      <c r="E465" s="486" t="n">
        <v>8.25</v>
      </c>
      <c r="F465" s="486" t="n">
        <v>0.03</v>
      </c>
      <c r="G465" s="486" t="inlineStr">
        <is>
          <t>ERROR</t>
        </is>
      </c>
    </row>
    <row r="466" ht="20" customHeight="1" s="225">
      <c r="A466" s="486" t="inlineStr">
        <is>
          <t>7AV</t>
        </is>
      </c>
      <c r="B466" s="486" t="inlineStr">
        <is>
          <t>QUITO CAGUANA JULIAN ALEXANDER</t>
        </is>
      </c>
      <c r="C466" s="486" t="inlineStr">
        <is>
          <t>Educación Física</t>
        </is>
      </c>
      <c r="D466" s="486" t="n">
        <v>8.9</v>
      </c>
      <c r="E466" s="486" t="n">
        <v>9.09</v>
      </c>
      <c r="F466" s="486" t="n">
        <v>0.19</v>
      </c>
      <c r="G466" s="486" t="inlineStr">
        <is>
          <t>ERROR</t>
        </is>
      </c>
    </row>
    <row r="467" ht="20" customHeight="1" s="225">
      <c r="A467" s="486" t="inlineStr">
        <is>
          <t>7AV</t>
        </is>
      </c>
      <c r="B467" s="486" t="inlineStr">
        <is>
          <t>QUIZHPI SANCHEZ EVELYN BELINDA</t>
        </is>
      </c>
      <c r="C467" s="486" t="inlineStr">
        <is>
          <t>Educación Física</t>
        </is>
      </c>
      <c r="D467" s="486" t="n">
        <v>9.130000000000001</v>
      </c>
      <c r="E467" s="486" t="n">
        <v>9.529999999999999</v>
      </c>
      <c r="F467" s="486" t="n">
        <v>0.4</v>
      </c>
      <c r="G467" s="486" t="inlineStr">
        <is>
          <t>ERROR</t>
        </is>
      </c>
    </row>
    <row r="468" ht="20" customHeight="1" s="225">
      <c r="A468" s="486" t="inlineStr">
        <is>
          <t>7AV</t>
        </is>
      </c>
      <c r="B468" s="486" t="inlineStr">
        <is>
          <t>QUIZHPI SANCHEZ EVELYN BELINDA</t>
        </is>
      </c>
      <c r="C468" s="486" t="inlineStr">
        <is>
          <t>Promedio Final / P. General</t>
        </is>
      </c>
      <c r="D468" s="486" t="n">
        <v>9.279999999999999</v>
      </c>
      <c r="E468" s="486" t="n">
        <v>9.33</v>
      </c>
      <c r="F468" s="486" t="n">
        <v>0.05</v>
      </c>
      <c r="G468" s="486" t="inlineStr">
        <is>
          <t>ERROR</t>
        </is>
      </c>
    </row>
    <row r="469" ht="20" customHeight="1" s="225">
      <c r="A469" s="486" t="inlineStr">
        <is>
          <t>7AV</t>
        </is>
      </c>
      <c r="B469" s="486" t="inlineStr">
        <is>
          <t>SAMANIEGO CABRERA LEONEL MATIAS</t>
        </is>
      </c>
      <c r="C469" s="486" t="inlineStr">
        <is>
          <t>Educación Física</t>
        </is>
      </c>
      <c r="D469" s="486" t="n">
        <v>8.699999999999999</v>
      </c>
      <c r="E469" s="486" t="n">
        <v>8.26</v>
      </c>
      <c r="F469" s="486" t="n">
        <v>0.44</v>
      </c>
      <c r="G469" s="486" t="inlineStr">
        <is>
          <t>ERROR</t>
        </is>
      </c>
    </row>
    <row r="470" ht="20" customHeight="1" s="225">
      <c r="A470" s="486" t="inlineStr">
        <is>
          <t>7AV</t>
        </is>
      </c>
      <c r="B470" s="486" t="inlineStr">
        <is>
          <t>SAMANIEGO CABRERA LEONEL MATIAS</t>
        </is>
      </c>
      <c r="C470" s="486" t="inlineStr">
        <is>
          <t>Promedio Final / P. General</t>
        </is>
      </c>
      <c r="D470" s="486" t="n">
        <v>8.75</v>
      </c>
      <c r="E470" s="486" t="n">
        <v>8.68</v>
      </c>
      <c r="F470" s="486" t="n">
        <v>0.07000000000000001</v>
      </c>
      <c r="G470" s="486" t="inlineStr">
        <is>
          <t>ERROR</t>
        </is>
      </c>
    </row>
    <row r="471" ht="20" customHeight="1" s="225">
      <c r="A471" s="486" t="inlineStr">
        <is>
          <t>7AV</t>
        </is>
      </c>
      <c r="B471" s="486" t="inlineStr">
        <is>
          <t>TENESACA TENESACA MATEO SEBASTIAN</t>
        </is>
      </c>
      <c r="C471" s="486" t="inlineStr">
        <is>
          <t>Educación Física</t>
        </is>
      </c>
      <c r="D471" s="486" t="n">
        <v>9.369999999999999</v>
      </c>
      <c r="E471" s="486" t="n">
        <v>9.5</v>
      </c>
      <c r="F471" s="486" t="n">
        <v>0.13</v>
      </c>
      <c r="G471" s="486" t="inlineStr">
        <is>
          <t>ERROR</t>
        </is>
      </c>
    </row>
    <row r="472" ht="20" customHeight="1" s="225">
      <c r="A472" s="485" t="inlineStr">
        <is>
          <t>7AV</t>
        </is>
      </c>
      <c r="B472" s="485" t="inlineStr">
        <is>
          <t>MALLA OCHOA ERICK ANIVAL</t>
        </is>
      </c>
      <c r="C472" s="485" t="inlineStr">
        <is>
          <t>SOLO EN SISTEMA</t>
        </is>
      </c>
      <c r="D472" s="485" t="inlineStr">
        <is>
          <t>-</t>
        </is>
      </c>
      <c r="E472" s="485" t="inlineStr">
        <is>
          <t>-</t>
        </is>
      </c>
      <c r="F472" s="485" t="inlineStr">
        <is>
          <t>-</t>
        </is>
      </c>
      <c r="G472" s="485" t="inlineStr">
        <is>
          <t>DESFASE DE NÓMINA</t>
        </is>
      </c>
    </row>
    <row r="473" ht="20" customHeight="1" s="225">
      <c r="A473" s="485" t="inlineStr">
        <is>
          <t>7AV</t>
        </is>
      </c>
      <c r="B473" s="485" t="inlineStr">
        <is>
          <t>PULGARIN SACA AZUCENA MILENA</t>
        </is>
      </c>
      <c r="C473" s="485" t="inlineStr">
        <is>
          <t>SOLO EN SISTEMA</t>
        </is>
      </c>
      <c r="D473" s="485" t="inlineStr">
        <is>
          <t>-</t>
        </is>
      </c>
      <c r="E473" s="485" t="inlineStr">
        <is>
          <t>-</t>
        </is>
      </c>
      <c r="F473" s="485" t="inlineStr">
        <is>
          <t>-</t>
        </is>
      </c>
      <c r="G473" s="485" t="inlineStr">
        <is>
          <t>DESFASE DE NÓMINA</t>
        </is>
      </c>
    </row>
    <row r="474" ht="20" customHeight="1" s="225">
      <c r="A474" s="485" t="inlineStr">
        <is>
          <t>7BV</t>
        </is>
      </c>
      <c r="B474" s="485" t="inlineStr">
        <is>
          <t>CHILLOGALLI BARRERA ADAMARIS</t>
        </is>
      </c>
      <c r="C474" s="485" t="inlineStr">
        <is>
          <t>SOLO EN DOCENTES</t>
        </is>
      </c>
      <c r="D474" s="485" t="inlineStr">
        <is>
          <t>-</t>
        </is>
      </c>
      <c r="E474" s="485" t="inlineStr">
        <is>
          <t>-</t>
        </is>
      </c>
      <c r="F474" s="485" t="inlineStr">
        <is>
          <t>-</t>
        </is>
      </c>
      <c r="G474" s="485" t="inlineStr">
        <is>
          <t>DESFASE DE NÓMINA</t>
        </is>
      </c>
    </row>
    <row r="475" ht="20" customHeight="1" s="225">
      <c r="A475" s="485" t="inlineStr">
        <is>
          <t>7BV</t>
        </is>
      </c>
      <c r="B475" s="485" t="inlineStr">
        <is>
          <t>GUACHICHULLCA SIAVICHAY MATIAS</t>
        </is>
      </c>
      <c r="C475" s="485" t="inlineStr">
        <is>
          <t>SOLO EN DOCENTES</t>
        </is>
      </c>
      <c r="D475" s="485" t="inlineStr">
        <is>
          <t>-</t>
        </is>
      </c>
      <c r="E475" s="485" t="inlineStr">
        <is>
          <t>-</t>
        </is>
      </c>
      <c r="F475" s="485" t="inlineStr">
        <is>
          <t>-</t>
        </is>
      </c>
      <c r="G475" s="485" t="inlineStr">
        <is>
          <t>DESFASE DE NÓMINA</t>
        </is>
      </c>
    </row>
    <row r="476" ht="20" customHeight="1" s="225">
      <c r="A476" s="485" t="inlineStr">
        <is>
          <t>7BV</t>
        </is>
      </c>
      <c r="B476" s="485" t="inlineStr">
        <is>
          <t>JIMBO QUISCUALTUD RUBY JULEXY</t>
        </is>
      </c>
      <c r="C476" s="485" t="inlineStr">
        <is>
          <t>SOLO EN DOCENTES</t>
        </is>
      </c>
      <c r="D476" s="485" t="inlineStr">
        <is>
          <t>-</t>
        </is>
      </c>
      <c r="E476" s="485" t="inlineStr">
        <is>
          <t>-</t>
        </is>
      </c>
      <c r="F476" s="485" t="inlineStr">
        <is>
          <t>-</t>
        </is>
      </c>
      <c r="G476" s="485" t="inlineStr">
        <is>
          <t>DESFASE DE NÓMINA</t>
        </is>
      </c>
    </row>
    <row r="477" ht="20" customHeight="1" s="225">
      <c r="A477" s="485" t="inlineStr">
        <is>
          <t>7BV</t>
        </is>
      </c>
      <c r="B477" s="485" t="inlineStr">
        <is>
          <t>PALMA RODRIGUEZ VICTORIA ANAHI</t>
        </is>
      </c>
      <c r="C477" s="485" t="inlineStr">
        <is>
          <t>SOLO EN DOCENTES</t>
        </is>
      </c>
      <c r="D477" s="485" t="inlineStr">
        <is>
          <t>-</t>
        </is>
      </c>
      <c r="E477" s="485" t="inlineStr">
        <is>
          <t>-</t>
        </is>
      </c>
      <c r="F477" s="485" t="inlineStr">
        <is>
          <t>-</t>
        </is>
      </c>
      <c r="G477" s="485" t="inlineStr">
        <is>
          <t>DESFASE DE NÓMINA</t>
        </is>
      </c>
    </row>
    <row r="478" ht="20" customHeight="1" s="225">
      <c r="A478" s="485" t="inlineStr">
        <is>
          <t>7BV</t>
        </is>
      </c>
      <c r="B478" s="485" t="inlineStr">
        <is>
          <t>TONGOMBOL CARCHIPULLA MARIA</t>
        </is>
      </c>
      <c r="C478" s="485" t="inlineStr">
        <is>
          <t>SOLO EN DOCENTES</t>
        </is>
      </c>
      <c r="D478" s="485" t="inlineStr">
        <is>
          <t>-</t>
        </is>
      </c>
      <c r="E478" s="485" t="inlineStr">
        <is>
          <t>-</t>
        </is>
      </c>
      <c r="F478" s="485" t="inlineStr">
        <is>
          <t>-</t>
        </is>
      </c>
      <c r="G478" s="485" t="inlineStr">
        <is>
          <t>DESFASE DE NÓMINA</t>
        </is>
      </c>
    </row>
    <row r="479" ht="20" customHeight="1" s="225">
      <c r="A479" s="485" t="inlineStr">
        <is>
          <t>7BV</t>
        </is>
      </c>
      <c r="B479" s="485" t="inlineStr">
        <is>
          <t>CHILLOGALLI BARRERA ADAMARIS LISHET</t>
        </is>
      </c>
      <c r="C479" s="485" t="inlineStr">
        <is>
          <t>SOLO EN SISTEMA</t>
        </is>
      </c>
      <c r="D479" s="485" t="inlineStr">
        <is>
          <t>-</t>
        </is>
      </c>
      <c r="E479" s="485" t="inlineStr">
        <is>
          <t>-</t>
        </is>
      </c>
      <c r="F479" s="485" t="inlineStr">
        <is>
          <t>-</t>
        </is>
      </c>
      <c r="G479" s="485" t="inlineStr">
        <is>
          <t>DESFASE DE NÓMINA</t>
        </is>
      </c>
    </row>
    <row r="480" ht="20" customHeight="1" s="225">
      <c r="A480" s="485" t="inlineStr">
        <is>
          <t>7BV</t>
        </is>
      </c>
      <c r="B480" s="485" t="inlineStr">
        <is>
          <t>GUACHICHULLCA SIAVICHAY MATEO SEBASTIAN</t>
        </is>
      </c>
      <c r="C480" s="485" t="inlineStr">
        <is>
          <t>SOLO EN SISTEMA</t>
        </is>
      </c>
      <c r="D480" s="485" t="inlineStr">
        <is>
          <t>-</t>
        </is>
      </c>
      <c r="E480" s="485" t="inlineStr">
        <is>
          <t>-</t>
        </is>
      </c>
      <c r="F480" s="485" t="inlineStr">
        <is>
          <t>-</t>
        </is>
      </c>
      <c r="G480" s="485" t="inlineStr">
        <is>
          <t>DESFASE DE NÓMINA</t>
        </is>
      </c>
    </row>
    <row r="481" ht="20" customHeight="1" s="225">
      <c r="A481" s="485" t="inlineStr">
        <is>
          <t>7BV</t>
        </is>
      </c>
      <c r="B481" s="485" t="inlineStr">
        <is>
          <t>JIMBO QUISCUALTUD RUBY JULEIDY</t>
        </is>
      </c>
      <c r="C481" s="485" t="inlineStr">
        <is>
          <t>SOLO EN SISTEMA</t>
        </is>
      </c>
      <c r="D481" s="485" t="inlineStr">
        <is>
          <t>-</t>
        </is>
      </c>
      <c r="E481" s="485" t="inlineStr">
        <is>
          <t>-</t>
        </is>
      </c>
      <c r="F481" s="485" t="inlineStr">
        <is>
          <t>-</t>
        </is>
      </c>
      <c r="G481" s="485" t="inlineStr">
        <is>
          <t>DESFASE DE NÓMINA</t>
        </is>
      </c>
    </row>
    <row r="482" ht="20" customHeight="1" s="225">
      <c r="A482" s="485" t="inlineStr">
        <is>
          <t>7BV</t>
        </is>
      </c>
      <c r="B482" s="485" t="inlineStr">
        <is>
          <t>PALMA RODRIGUEZ VICTORIA ANABEL</t>
        </is>
      </c>
      <c r="C482" s="485" t="inlineStr">
        <is>
          <t>SOLO EN SISTEMA</t>
        </is>
      </c>
      <c r="D482" s="485" t="inlineStr">
        <is>
          <t>-</t>
        </is>
      </c>
      <c r="E482" s="485" t="inlineStr">
        <is>
          <t>-</t>
        </is>
      </c>
      <c r="F482" s="485" t="inlineStr">
        <is>
          <t>-</t>
        </is>
      </c>
      <c r="G482" s="485" t="inlineStr">
        <is>
          <t>DESFASE DE NÓMINA</t>
        </is>
      </c>
    </row>
    <row r="483" ht="20" customHeight="1" s="225">
      <c r="A483" s="485" t="inlineStr">
        <is>
          <t>7BV</t>
        </is>
      </c>
      <c r="B483" s="485" t="inlineStr">
        <is>
          <t>TONGOMBOL CARCHIPULLA MARIA ELISA</t>
        </is>
      </c>
      <c r="C483" s="485" t="inlineStr">
        <is>
          <t>SOLO EN SISTEMA</t>
        </is>
      </c>
      <c r="D483" s="485" t="inlineStr">
        <is>
          <t>-</t>
        </is>
      </c>
      <c r="E483" s="485" t="inlineStr">
        <is>
          <t>-</t>
        </is>
      </c>
      <c r="F483" s="485" t="inlineStr">
        <is>
          <t>-</t>
        </is>
      </c>
      <c r="G483" s="485" t="inlineStr">
        <is>
          <t>DESFASE DE NÓMINA</t>
        </is>
      </c>
    </row>
    <row r="484" ht="20" customHeight="1" s="225">
      <c r="A484" s="486" t="inlineStr">
        <is>
          <t>8AV</t>
        </is>
      </c>
      <c r="B484" s="486" t="inlineStr">
        <is>
          <t>ARIAS PACHECO MARIBEL FATIMA</t>
        </is>
      </c>
      <c r="C484" s="486" t="inlineStr">
        <is>
          <t>Estudios Sociales</t>
        </is>
      </c>
      <c r="D484" s="486" t="n">
        <v>8.82</v>
      </c>
      <c r="E484" s="486" t="n">
        <v>9.550000000000001</v>
      </c>
      <c r="F484" s="486" t="n">
        <v>0.73</v>
      </c>
      <c r="G484" s="486" t="inlineStr">
        <is>
          <t>ERROR</t>
        </is>
      </c>
    </row>
    <row r="485" ht="20" customHeight="1" s="225">
      <c r="A485" s="486" t="inlineStr">
        <is>
          <t>8AV</t>
        </is>
      </c>
      <c r="B485" s="486" t="inlineStr">
        <is>
          <t>ARIAS PACHECO MARIBEL FATIMA</t>
        </is>
      </c>
      <c r="C485" s="486" t="inlineStr">
        <is>
          <t>Promedio Final / P. General</t>
        </is>
      </c>
      <c r="D485" s="486" t="n">
        <v>8.949999999999999</v>
      </c>
      <c r="E485" s="486" t="n">
        <v>9.050000000000001</v>
      </c>
      <c r="F485" s="486" t="n">
        <v>0.1</v>
      </c>
      <c r="G485" s="486" t="inlineStr">
        <is>
          <t>ERROR</t>
        </is>
      </c>
    </row>
    <row r="486" ht="20" customHeight="1" s="225">
      <c r="A486" s="486" t="inlineStr">
        <is>
          <t>8AV</t>
        </is>
      </c>
      <c r="B486" s="486" t="inlineStr">
        <is>
          <t>CAMPOVERDE VALDEZ DAYANNA BELEN</t>
        </is>
      </c>
      <c r="C486" s="486" t="inlineStr">
        <is>
          <t>Estudios Sociales</t>
        </is>
      </c>
      <c r="D486" s="486" t="n">
        <v>8.640000000000001</v>
      </c>
      <c r="E486" s="486" t="n">
        <v>9.050000000000001</v>
      </c>
      <c r="F486" s="486" t="n">
        <v>0.41</v>
      </c>
      <c r="G486" s="486" t="inlineStr">
        <is>
          <t>ERROR</t>
        </is>
      </c>
    </row>
    <row r="487" ht="20" customHeight="1" s="225">
      <c r="A487" s="486" t="inlineStr">
        <is>
          <t>8AV</t>
        </is>
      </c>
      <c r="B487" s="486" t="inlineStr">
        <is>
          <t>CAMPOVERDE VALDEZ DAYANNA BELEN</t>
        </is>
      </c>
      <c r="C487" s="486" t="inlineStr">
        <is>
          <t>Promedio Final / P. General</t>
        </is>
      </c>
      <c r="D487" s="486" t="n">
        <v>8.33</v>
      </c>
      <c r="E487" s="486" t="n">
        <v>8.390000000000001</v>
      </c>
      <c r="F487" s="486" t="n">
        <v>0.06</v>
      </c>
      <c r="G487" s="486" t="inlineStr">
        <is>
          <t>ERROR</t>
        </is>
      </c>
    </row>
    <row r="488" ht="20" customHeight="1" s="225">
      <c r="A488" s="486" t="inlineStr">
        <is>
          <t>8AV</t>
        </is>
      </c>
      <c r="B488" s="486" t="inlineStr">
        <is>
          <t>CORONEL CARRASCO BAYOLET BELEN</t>
        </is>
      </c>
      <c r="C488" s="486" t="inlineStr">
        <is>
          <t>Lengua y Literatura</t>
        </is>
      </c>
      <c r="D488" s="486" t="n">
        <v>9.06</v>
      </c>
      <c r="E488" s="486" t="n">
        <v>7.85</v>
      </c>
      <c r="F488" s="486" t="n">
        <v>1.21</v>
      </c>
      <c r="G488" s="486" t="inlineStr">
        <is>
          <t>ERROR</t>
        </is>
      </c>
    </row>
    <row r="489" ht="20" customHeight="1" s="225">
      <c r="A489" s="486" t="inlineStr">
        <is>
          <t>8AV</t>
        </is>
      </c>
      <c r="B489" s="486" t="inlineStr">
        <is>
          <t>CORONEL CARRASCO BAYOLET BELEN</t>
        </is>
      </c>
      <c r="C489" s="486" t="inlineStr">
        <is>
          <t>Promedio Final / P. General</t>
        </is>
      </c>
      <c r="D489" s="486" t="n">
        <v>8.07</v>
      </c>
      <c r="E489" s="486" t="n">
        <v>7.9</v>
      </c>
      <c r="F489" s="486" t="n">
        <v>0.17</v>
      </c>
      <c r="G489" s="486" t="inlineStr">
        <is>
          <t>ERROR</t>
        </is>
      </c>
    </row>
    <row r="490" ht="20" customHeight="1" s="225">
      <c r="A490" s="486" t="inlineStr">
        <is>
          <t>8AV</t>
        </is>
      </c>
      <c r="B490" s="486" t="inlineStr">
        <is>
          <t>CRIOLLO LEON NAYELI NICOLE</t>
        </is>
      </c>
      <c r="C490" s="486" t="inlineStr">
        <is>
          <t>Lengua y Literatura</t>
        </is>
      </c>
      <c r="D490" s="486" t="n">
        <v>7.85</v>
      </c>
      <c r="E490" s="486" t="n">
        <v>7.88</v>
      </c>
      <c r="F490" s="486" t="n">
        <v>0.03</v>
      </c>
      <c r="G490" s="486" t="inlineStr">
        <is>
          <t>ERROR</t>
        </is>
      </c>
    </row>
    <row r="491" ht="20" customHeight="1" s="225">
      <c r="A491" s="486" t="inlineStr">
        <is>
          <t>8AV</t>
        </is>
      </c>
      <c r="B491" s="486" t="inlineStr">
        <is>
          <t>CUMBE JIMENEZ CAMILA PATRICIA</t>
        </is>
      </c>
      <c r="C491" s="486" t="inlineStr">
        <is>
          <t>Lengua y Literatura</t>
        </is>
      </c>
      <c r="D491" s="486" t="n">
        <v>7.88</v>
      </c>
      <c r="E491" s="486" t="n">
        <v>7.44</v>
      </c>
      <c r="F491" s="486" t="n">
        <v>0.44</v>
      </c>
      <c r="G491" s="486" t="inlineStr">
        <is>
          <t>ERROR</t>
        </is>
      </c>
    </row>
    <row r="492" ht="20" customHeight="1" s="225">
      <c r="A492" s="486" t="inlineStr">
        <is>
          <t>8AV</t>
        </is>
      </c>
      <c r="B492" s="486" t="inlineStr">
        <is>
          <t>CUMBE JIMENEZ CAMILA PATRICIA</t>
        </is>
      </c>
      <c r="C492" s="486" t="inlineStr">
        <is>
          <t>Ciencias Naturales</t>
        </is>
      </c>
      <c r="D492" s="486" t="n">
        <v>5.14</v>
      </c>
      <c r="E492" s="486" t="n">
        <v>6.23</v>
      </c>
      <c r="F492" s="486" t="n">
        <v>1.09</v>
      </c>
      <c r="G492" s="486" t="inlineStr">
        <is>
          <t>ERROR</t>
        </is>
      </c>
    </row>
    <row r="493" ht="20" customHeight="1" s="225">
      <c r="A493" s="486" t="inlineStr">
        <is>
          <t>8AV</t>
        </is>
      </c>
      <c r="B493" s="486" t="inlineStr">
        <is>
          <t>CUMBE JIMENEZ CAMILA PATRICIA</t>
        </is>
      </c>
      <c r="C493" s="486" t="inlineStr">
        <is>
          <t>Promedio Final / P. General</t>
        </is>
      </c>
      <c r="D493" s="486" t="n">
        <v>7.42</v>
      </c>
      <c r="E493" s="486" t="n">
        <v>7.51</v>
      </c>
      <c r="F493" s="486" t="n">
        <v>0.09</v>
      </c>
      <c r="G493" s="486" t="inlineStr">
        <is>
          <t>ERROR</t>
        </is>
      </c>
    </row>
    <row r="494" ht="20" customHeight="1" s="225">
      <c r="A494" s="486" t="inlineStr">
        <is>
          <t>8AV</t>
        </is>
      </c>
      <c r="B494" s="486" t="inlineStr">
        <is>
          <t>ESPINOSA GUAZHA SANTIAGO EFRAIN</t>
        </is>
      </c>
      <c r="C494" s="486" t="inlineStr">
        <is>
          <t>Lengua y Literatura</t>
        </is>
      </c>
      <c r="D494" s="486" t="n">
        <v>7.44</v>
      </c>
      <c r="E494" s="486" t="n">
        <v>8.59</v>
      </c>
      <c r="F494" s="486" t="n">
        <v>1.15</v>
      </c>
      <c r="G494" s="486" t="inlineStr">
        <is>
          <t>ERROR</t>
        </is>
      </c>
    </row>
    <row r="495" ht="20" customHeight="1" s="225">
      <c r="A495" s="486" t="inlineStr">
        <is>
          <t>8AV</t>
        </is>
      </c>
      <c r="B495" s="486" t="inlineStr">
        <is>
          <t>ESPINOSA GUAZHA SANTIAGO EFRAIN</t>
        </is>
      </c>
      <c r="C495" s="486" t="inlineStr">
        <is>
          <t>Estudios Sociales</t>
        </is>
      </c>
      <c r="D495" s="486" t="n">
        <v>8.81</v>
      </c>
      <c r="E495" s="486" t="n">
        <v>8.85</v>
      </c>
      <c r="F495" s="486" t="n">
        <v>0.04</v>
      </c>
      <c r="G495" s="486" t="inlineStr">
        <is>
          <t>ERROR</t>
        </is>
      </c>
    </row>
    <row r="496" ht="20" customHeight="1" s="225">
      <c r="A496" s="486" t="inlineStr">
        <is>
          <t>8AV</t>
        </is>
      </c>
      <c r="B496" s="486" t="inlineStr">
        <is>
          <t>ESPINOSA GUAZHA SANTIAGO EFRAIN</t>
        </is>
      </c>
      <c r="C496" s="486" t="inlineStr">
        <is>
          <t>Promedio Final / P. General</t>
        </is>
      </c>
      <c r="D496" s="486" t="n">
        <v>8.44</v>
      </c>
      <c r="E496" s="486" t="n">
        <v>8.609999999999999</v>
      </c>
      <c r="F496" s="486" t="n">
        <v>0.17</v>
      </c>
      <c r="G496" s="486" t="inlineStr">
        <is>
          <t>ERROR</t>
        </is>
      </c>
    </row>
    <row r="497" ht="20" customHeight="1" s="225">
      <c r="A497" s="486" t="inlineStr">
        <is>
          <t>8AV</t>
        </is>
      </c>
      <c r="B497" s="486" t="inlineStr">
        <is>
          <t>ESPINOZA POMA DOMENICA DEL CISNE</t>
        </is>
      </c>
      <c r="C497" s="486" t="inlineStr">
        <is>
          <t>Lengua y Literatura</t>
        </is>
      </c>
      <c r="D497" s="486" t="n">
        <v>8.59</v>
      </c>
      <c r="E497" s="486" t="n">
        <v>9.15</v>
      </c>
      <c r="F497" s="486" t="n">
        <v>0.5600000000000001</v>
      </c>
      <c r="G497" s="486" t="inlineStr">
        <is>
          <t>ERROR</t>
        </is>
      </c>
    </row>
    <row r="498" ht="20" customHeight="1" s="225">
      <c r="A498" s="486" t="inlineStr">
        <is>
          <t>8AV</t>
        </is>
      </c>
      <c r="B498" s="486" t="inlineStr">
        <is>
          <t>ESPINOZA POMA DOMENICA DEL CISNE</t>
        </is>
      </c>
      <c r="C498" s="486" t="inlineStr">
        <is>
          <t>Estudios Sociales</t>
        </is>
      </c>
      <c r="D498" s="486" t="n">
        <v>8.76</v>
      </c>
      <c r="E498" s="486" t="n">
        <v>8.390000000000001</v>
      </c>
      <c r="F498" s="486" t="n">
        <v>0.37</v>
      </c>
      <c r="G498" s="486" t="inlineStr">
        <is>
          <t>ERROR</t>
        </is>
      </c>
    </row>
    <row r="499" ht="20" customHeight="1" s="225">
      <c r="A499" s="486" t="inlineStr">
        <is>
          <t>8AV</t>
        </is>
      </c>
      <c r="B499" s="486" t="inlineStr">
        <is>
          <t>ESPINOZA POMA DOMENICA DEL CISNE</t>
        </is>
      </c>
      <c r="C499" s="486" t="inlineStr">
        <is>
          <t>Promedio Final / P. General</t>
        </is>
      </c>
      <c r="D499" s="486" t="n">
        <v>8.76</v>
      </c>
      <c r="E499" s="486" t="n">
        <v>8.789999999999999</v>
      </c>
      <c r="F499" s="486" t="n">
        <v>0.03</v>
      </c>
      <c r="G499" s="486" t="inlineStr">
        <is>
          <t>ERROR</t>
        </is>
      </c>
    </row>
    <row r="500" ht="20" customHeight="1" s="225">
      <c r="A500" s="486" t="inlineStr">
        <is>
          <t>8AV</t>
        </is>
      </c>
      <c r="B500" s="486" t="inlineStr">
        <is>
          <t>GUAMAN SHIRAP DASHA ABIGAIL</t>
        </is>
      </c>
      <c r="C500" s="486" t="inlineStr">
        <is>
          <t>Lengua y Literatura</t>
        </is>
      </c>
      <c r="D500" s="486" t="n">
        <v>9.15</v>
      </c>
      <c r="E500" s="486" t="n">
        <v>7.53</v>
      </c>
      <c r="F500" s="486" t="n">
        <v>1.62</v>
      </c>
      <c r="G500" s="486" t="inlineStr">
        <is>
          <t>ERROR</t>
        </is>
      </c>
    </row>
    <row r="501" ht="20" customHeight="1" s="225">
      <c r="A501" s="486" t="inlineStr">
        <is>
          <t>8AV</t>
        </is>
      </c>
      <c r="B501" s="486" t="inlineStr">
        <is>
          <t>GUAMAN SHIRAP DASHA ABIGAIL</t>
        </is>
      </c>
      <c r="C501" s="486" t="inlineStr">
        <is>
          <t>Matemática</t>
        </is>
      </c>
      <c r="D501" s="486" t="n">
        <v>5.5</v>
      </c>
      <c r="E501" s="486" t="n">
        <v>7.66</v>
      </c>
      <c r="F501" s="486" t="n">
        <v>2.16</v>
      </c>
      <c r="G501" s="486" t="inlineStr">
        <is>
          <t>ERROR</t>
        </is>
      </c>
    </row>
    <row r="502" ht="20" customHeight="1" s="225">
      <c r="A502" s="486" t="inlineStr">
        <is>
          <t>8AV</t>
        </is>
      </c>
      <c r="B502" s="486" t="inlineStr">
        <is>
          <t>GUAMAN SHIRAP DASHA ABIGAIL</t>
        </is>
      </c>
      <c r="C502" s="486" t="inlineStr">
        <is>
          <t>Ciencias Naturales</t>
        </is>
      </c>
      <c r="D502" s="486" t="n">
        <v>6.5</v>
      </c>
      <c r="E502" s="486" t="n">
        <v>6.86</v>
      </c>
      <c r="F502" s="486" t="n">
        <v>0.36</v>
      </c>
      <c r="G502" s="486" t="inlineStr">
        <is>
          <t>ERROR</t>
        </is>
      </c>
    </row>
    <row r="503" ht="20" customHeight="1" s="225">
      <c r="A503" s="486" t="inlineStr">
        <is>
          <t>8AV</t>
        </is>
      </c>
      <c r="B503" s="486" t="inlineStr">
        <is>
          <t>GUAMAN SHIRAP DASHA ABIGAIL</t>
        </is>
      </c>
      <c r="C503" s="486" t="inlineStr">
        <is>
          <t>Estudios Sociales</t>
        </is>
      </c>
      <c r="D503" s="486" t="n">
        <v>7.9</v>
      </c>
      <c r="E503" s="486" t="n">
        <v>8.199999999999999</v>
      </c>
      <c r="F503" s="486" t="n">
        <v>0.3</v>
      </c>
      <c r="G503" s="486" t="inlineStr">
        <is>
          <t>ERROR</t>
        </is>
      </c>
    </row>
    <row r="504" ht="20" customHeight="1" s="225">
      <c r="A504" s="486" t="inlineStr">
        <is>
          <t>8AV</t>
        </is>
      </c>
      <c r="B504" s="486" t="inlineStr">
        <is>
          <t>GUAMAN SHIRAP DASHA ABIGAIL</t>
        </is>
      </c>
      <c r="C504" s="486" t="inlineStr">
        <is>
          <t>Promedio Final / P. General</t>
        </is>
      </c>
      <c r="D504" s="486" t="n">
        <v>7.55</v>
      </c>
      <c r="E504" s="486" t="n">
        <v>6.63</v>
      </c>
      <c r="F504" s="486" t="n">
        <v>0.92</v>
      </c>
      <c r="G504" s="486" t="inlineStr">
        <is>
          <t>ERROR</t>
        </is>
      </c>
    </row>
    <row r="505" ht="20" customHeight="1" s="225">
      <c r="A505" s="486" t="inlineStr">
        <is>
          <t>8AV</t>
        </is>
      </c>
      <c r="B505" s="486" t="inlineStr">
        <is>
          <t>JARAMILLO LOAIZA RUTH NOEMI</t>
        </is>
      </c>
      <c r="C505" s="486" t="inlineStr">
        <is>
          <t>Lengua y Literatura</t>
        </is>
      </c>
      <c r="D505" s="486" t="n">
        <v>7.53</v>
      </c>
      <c r="E505" s="486" t="n">
        <v>8.210000000000001</v>
      </c>
      <c r="F505" s="486" t="n">
        <v>0.68</v>
      </c>
      <c r="G505" s="486" t="inlineStr">
        <is>
          <t>ERROR</t>
        </is>
      </c>
    </row>
    <row r="506" ht="20" customHeight="1" s="225">
      <c r="A506" s="486" t="inlineStr">
        <is>
          <t>8AV</t>
        </is>
      </c>
      <c r="B506" s="486" t="inlineStr">
        <is>
          <t>JARAMILLO LOAIZA RUTH NOEMI</t>
        </is>
      </c>
      <c r="C506" s="486" t="inlineStr">
        <is>
          <t>Estudios Sociales</t>
        </is>
      </c>
      <c r="D506" s="486" t="n">
        <v>8.56</v>
      </c>
      <c r="E506" s="486" t="n">
        <v>8.35</v>
      </c>
      <c r="F506" s="486" t="n">
        <v>0.21</v>
      </c>
      <c r="G506" s="486" t="inlineStr">
        <is>
          <t>ERROR</t>
        </is>
      </c>
    </row>
    <row r="507" ht="20" customHeight="1" s="225">
      <c r="A507" s="486" t="inlineStr">
        <is>
          <t>8AV</t>
        </is>
      </c>
      <c r="B507" s="486" t="inlineStr">
        <is>
          <t>JARAMILLO LOAIZA RUTH NOEMI</t>
        </is>
      </c>
      <c r="C507" s="486" t="inlineStr">
        <is>
          <t>Promedio Final / P. General</t>
        </is>
      </c>
      <c r="D507" s="486" t="n">
        <v>8.289999999999999</v>
      </c>
      <c r="E507" s="486" t="n">
        <v>8.359999999999999</v>
      </c>
      <c r="F507" s="486" t="n">
        <v>0.07000000000000001</v>
      </c>
      <c r="G507" s="486" t="inlineStr">
        <is>
          <t>ERROR</t>
        </is>
      </c>
    </row>
    <row r="508" ht="20" customHeight="1" s="225">
      <c r="A508" s="486" t="inlineStr">
        <is>
          <t>8AV</t>
        </is>
      </c>
      <c r="B508" s="486" t="inlineStr">
        <is>
          <t>LLATAS MALLA KAREN JHINET</t>
        </is>
      </c>
      <c r="C508" s="486" t="inlineStr">
        <is>
          <t>Lengua y Literatura</t>
        </is>
      </c>
      <c r="D508" s="486" t="n">
        <v>8.210000000000001</v>
      </c>
      <c r="E508" s="486" t="n">
        <v>9</v>
      </c>
      <c r="F508" s="486" t="n">
        <v>0.79</v>
      </c>
      <c r="G508" s="486" t="inlineStr">
        <is>
          <t>ERROR</t>
        </is>
      </c>
    </row>
    <row r="509" ht="20" customHeight="1" s="225">
      <c r="A509" s="486" t="inlineStr">
        <is>
          <t>8AV</t>
        </is>
      </c>
      <c r="B509" s="486" t="inlineStr">
        <is>
          <t>LLATAS MALLA KAREN JHINET</t>
        </is>
      </c>
      <c r="C509" s="486" t="inlineStr">
        <is>
          <t>Estudios Sociales</t>
        </is>
      </c>
      <c r="D509" s="486" t="n">
        <v>7.98</v>
      </c>
      <c r="E509" s="486" t="n">
        <v>8.130000000000001</v>
      </c>
      <c r="F509" s="486" t="n">
        <v>0.15</v>
      </c>
      <c r="G509" s="486" t="inlineStr">
        <is>
          <t>ERROR</t>
        </is>
      </c>
    </row>
    <row r="510" ht="20" customHeight="1" s="225">
      <c r="A510" s="486" t="inlineStr">
        <is>
          <t>8AV</t>
        </is>
      </c>
      <c r="B510" s="486" t="inlineStr">
        <is>
          <t>LLATAS MALLA KAREN JHINET</t>
        </is>
      </c>
      <c r="C510" s="486" t="inlineStr">
        <is>
          <t>Promedio Final / P. General</t>
        </is>
      </c>
      <c r="D510" s="486" t="n">
        <v>8.16</v>
      </c>
      <c r="E510" s="486" t="n">
        <v>8.300000000000001</v>
      </c>
      <c r="F510" s="486" t="n">
        <v>0.14</v>
      </c>
      <c r="G510" s="486" t="inlineStr">
        <is>
          <t>ERROR</t>
        </is>
      </c>
    </row>
    <row r="511" ht="20" customHeight="1" s="225">
      <c r="A511" s="486" t="inlineStr">
        <is>
          <t>8AV</t>
        </is>
      </c>
      <c r="B511" s="486" t="inlineStr">
        <is>
          <t>MARCA PULGARIN ANTONY MATEO</t>
        </is>
      </c>
      <c r="C511" s="486" t="inlineStr">
        <is>
          <t>Lengua y Literatura</t>
        </is>
      </c>
      <c r="D511" s="486" t="n">
        <v>9</v>
      </c>
      <c r="E511" s="486" t="n">
        <v>7.53</v>
      </c>
      <c r="F511" s="486" t="n">
        <v>1.47</v>
      </c>
      <c r="G511" s="486" t="inlineStr">
        <is>
          <t>ERROR</t>
        </is>
      </c>
    </row>
    <row r="512" ht="20" customHeight="1" s="225">
      <c r="A512" s="486" t="inlineStr">
        <is>
          <t>8AV</t>
        </is>
      </c>
      <c r="B512" s="486" t="inlineStr">
        <is>
          <t>MARCA PULGARIN ANTONY MATEO</t>
        </is>
      </c>
      <c r="C512" s="486" t="inlineStr">
        <is>
          <t>Estudios Sociales</t>
        </is>
      </c>
      <c r="D512" s="486" t="n">
        <v>8.33</v>
      </c>
      <c r="E512" s="486" t="n">
        <v>8.65</v>
      </c>
      <c r="F512" s="486" t="n">
        <v>0.32</v>
      </c>
      <c r="G512" s="486" t="inlineStr">
        <is>
          <t>ERROR</t>
        </is>
      </c>
    </row>
    <row r="513" ht="20" customHeight="1" s="225">
      <c r="A513" s="486" t="inlineStr">
        <is>
          <t>8AV</t>
        </is>
      </c>
      <c r="B513" s="486" t="inlineStr">
        <is>
          <t>MARCA PULGARIN ANTONY MATEO</t>
        </is>
      </c>
      <c r="C513" s="486" t="inlineStr">
        <is>
          <t>Promedio Final / P. General</t>
        </is>
      </c>
      <c r="D513" s="486" t="n">
        <v>7.93</v>
      </c>
      <c r="E513" s="486" t="n">
        <v>7.77</v>
      </c>
      <c r="F513" s="486" t="n">
        <v>0.16</v>
      </c>
      <c r="G513" s="486" t="inlineStr">
        <is>
          <t>ERROR</t>
        </is>
      </c>
    </row>
    <row r="514" ht="20" customHeight="1" s="225">
      <c r="A514" s="486" t="inlineStr">
        <is>
          <t>8AV</t>
        </is>
      </c>
      <c r="B514" s="486" t="inlineStr">
        <is>
          <t>MENDEZ AVILA DAYANA LIZBETH</t>
        </is>
      </c>
      <c r="C514" s="486" t="inlineStr">
        <is>
          <t>Lengua y Literatura</t>
        </is>
      </c>
      <c r="D514" s="486" t="n">
        <v>7.53</v>
      </c>
      <c r="E514" s="486" t="n">
        <v>7.98</v>
      </c>
      <c r="F514" s="486" t="n">
        <v>0.45</v>
      </c>
      <c r="G514" s="486" t="inlineStr">
        <is>
          <t>ERROR</t>
        </is>
      </c>
    </row>
    <row r="515" ht="20" customHeight="1" s="225">
      <c r="A515" s="486" t="inlineStr">
        <is>
          <t>8AV</t>
        </is>
      </c>
      <c r="B515" s="486" t="inlineStr">
        <is>
          <t>MENDEZ AVILA DAYANA LIZBETH</t>
        </is>
      </c>
      <c r="C515" s="486" t="inlineStr">
        <is>
          <t>Estudios Sociales</t>
        </is>
      </c>
      <c r="D515" s="486" t="n">
        <v>8.800000000000001</v>
      </c>
      <c r="E515" s="486" t="n">
        <v>8.23</v>
      </c>
      <c r="F515" s="486" t="n">
        <v>0.57</v>
      </c>
      <c r="G515" s="486" t="inlineStr">
        <is>
          <t>ERROR</t>
        </is>
      </c>
    </row>
    <row r="516" ht="20" customHeight="1" s="225">
      <c r="A516" s="486" t="inlineStr">
        <is>
          <t>8AV</t>
        </is>
      </c>
      <c r="B516" s="486" t="inlineStr">
        <is>
          <t>MIZHQUIRI CABRERA MIA ANALIA</t>
        </is>
      </c>
      <c r="C516" s="486" t="inlineStr">
        <is>
          <t>Lengua y Literatura</t>
        </is>
      </c>
      <c r="D516" s="486" t="n">
        <v>7.98</v>
      </c>
      <c r="E516" s="486" t="n">
        <v>8.710000000000001</v>
      </c>
      <c r="F516" s="486" t="n">
        <v>0.73</v>
      </c>
      <c r="G516" s="486" t="inlineStr">
        <is>
          <t>ERROR</t>
        </is>
      </c>
    </row>
    <row r="517" ht="20" customHeight="1" s="225">
      <c r="A517" s="486" t="inlineStr">
        <is>
          <t>8AV</t>
        </is>
      </c>
      <c r="B517" s="486" t="inlineStr">
        <is>
          <t>MIZHQUIRI CABRERA MIA ANALIA</t>
        </is>
      </c>
      <c r="C517" s="486" t="inlineStr">
        <is>
          <t>Estudios Sociales</t>
        </is>
      </c>
      <c r="D517" s="486" t="n">
        <v>8.83</v>
      </c>
      <c r="E517" s="486" t="n">
        <v>8.76</v>
      </c>
      <c r="F517" s="486" t="n">
        <v>0.07000000000000001</v>
      </c>
      <c r="G517" s="486" t="inlineStr">
        <is>
          <t>ERROR</t>
        </is>
      </c>
    </row>
    <row r="518" ht="20" customHeight="1" s="225">
      <c r="A518" s="486" t="inlineStr">
        <is>
          <t>8AV</t>
        </is>
      </c>
      <c r="B518" s="486" t="inlineStr">
        <is>
          <t>MIZHQUIRI CABRERA MIA ANALIA</t>
        </is>
      </c>
      <c r="C518" s="486" t="inlineStr">
        <is>
          <t>Promedio Final / P. General</t>
        </is>
      </c>
      <c r="D518" s="486" t="n">
        <v>8.220000000000001</v>
      </c>
      <c r="E518" s="486" t="n">
        <v>8.31</v>
      </c>
      <c r="F518" s="486" t="n">
        <v>0.09</v>
      </c>
      <c r="G518" s="486" t="inlineStr">
        <is>
          <t>ERROR</t>
        </is>
      </c>
    </row>
    <row r="519" ht="20" customHeight="1" s="225">
      <c r="A519" s="486" t="inlineStr">
        <is>
          <t>8AV</t>
        </is>
      </c>
      <c r="B519" s="486" t="inlineStr">
        <is>
          <t>MONTECE NARVAEZ YHULEXI PRICILA</t>
        </is>
      </c>
      <c r="C519" s="486" t="inlineStr">
        <is>
          <t>Lengua y Literatura</t>
        </is>
      </c>
      <c r="D519" s="486" t="n">
        <v>8.710000000000001</v>
      </c>
      <c r="E519" s="486" t="n">
        <v>7.54</v>
      </c>
      <c r="F519" s="486" t="n">
        <v>1.17</v>
      </c>
      <c r="G519" s="486" t="inlineStr">
        <is>
          <t>ERROR</t>
        </is>
      </c>
    </row>
    <row r="520" ht="20" customHeight="1" s="225">
      <c r="A520" s="486" t="inlineStr">
        <is>
          <t>8AV</t>
        </is>
      </c>
      <c r="B520" s="486" t="inlineStr">
        <is>
          <t>MONTECE NARVAEZ YHULEXI PRICILA</t>
        </is>
      </c>
      <c r="C520" s="486" t="inlineStr">
        <is>
          <t>Promedio Final / P. General</t>
        </is>
      </c>
      <c r="D520" s="486" t="n">
        <v>7.64</v>
      </c>
      <c r="E520" s="486" t="n">
        <v>7.48</v>
      </c>
      <c r="F520" s="486" t="n">
        <v>0.16</v>
      </c>
      <c r="G520" s="486" t="inlineStr">
        <is>
          <t>ERROR</t>
        </is>
      </c>
    </row>
    <row r="521" ht="20" customHeight="1" s="225">
      <c r="A521" s="486" t="inlineStr">
        <is>
          <t>8AV</t>
        </is>
      </c>
      <c r="B521" s="486" t="inlineStr">
        <is>
          <t>MORA SIGUENZA MARTHA GUADALUPE</t>
        </is>
      </c>
      <c r="C521" s="486" t="inlineStr">
        <is>
          <t>Lengua y Literatura</t>
        </is>
      </c>
      <c r="D521" s="486" t="n">
        <v>7.54</v>
      </c>
      <c r="E521" s="486" t="n">
        <v>7.96</v>
      </c>
      <c r="F521" s="486" t="n">
        <v>0.42</v>
      </c>
      <c r="G521" s="486" t="inlineStr">
        <is>
          <t>ERROR</t>
        </is>
      </c>
    </row>
    <row r="522" ht="20" customHeight="1" s="225">
      <c r="A522" s="486" t="inlineStr">
        <is>
          <t>8AV</t>
        </is>
      </c>
      <c r="B522" s="486" t="inlineStr">
        <is>
          <t>MORA SIGUENZA MARTHA GUADALUPE</t>
        </is>
      </c>
      <c r="C522" s="486" t="inlineStr">
        <is>
          <t>Promedio Final / P. General</t>
        </is>
      </c>
      <c r="D522" s="486" t="n">
        <v>7.46</v>
      </c>
      <c r="E522" s="486" t="n">
        <v>7.52</v>
      </c>
      <c r="F522" s="486" t="n">
        <v>0.06</v>
      </c>
      <c r="G522" s="486" t="inlineStr">
        <is>
          <t>ERROR</t>
        </is>
      </c>
    </row>
    <row r="523" ht="20" customHeight="1" s="225">
      <c r="A523" s="486" t="inlineStr">
        <is>
          <t>8AV</t>
        </is>
      </c>
      <c r="B523" s="486" t="inlineStr">
        <is>
          <t>MORALES LOZANO MATEO ARIEL</t>
        </is>
      </c>
      <c r="C523" s="486" t="inlineStr">
        <is>
          <t>Lengua y Literatura</t>
        </is>
      </c>
      <c r="D523" s="486" t="n">
        <v>7.96</v>
      </c>
      <c r="E523" s="486" t="n">
        <v>7.7</v>
      </c>
      <c r="F523" s="486" t="n">
        <v>0.26</v>
      </c>
      <c r="G523" s="486" t="inlineStr">
        <is>
          <t>ERROR</t>
        </is>
      </c>
    </row>
    <row r="524" ht="20" customHeight="1" s="225">
      <c r="A524" s="486" t="inlineStr">
        <is>
          <t>8AV</t>
        </is>
      </c>
      <c r="B524" s="486" t="inlineStr">
        <is>
          <t>MORALES LOZANO MATEO ARIEL</t>
        </is>
      </c>
      <c r="C524" s="486" t="inlineStr">
        <is>
          <t>Promedio Final / P. General</t>
        </is>
      </c>
      <c r="D524" s="486" t="n">
        <v>8</v>
      </c>
      <c r="E524" s="486" t="n">
        <v>7.96</v>
      </c>
      <c r="F524" s="486" t="n">
        <v>0.04</v>
      </c>
      <c r="G524" s="486" t="inlineStr">
        <is>
          <t>ERROR</t>
        </is>
      </c>
    </row>
    <row r="525" ht="20" customHeight="1" s="225">
      <c r="A525" s="486" t="inlineStr">
        <is>
          <t>8AV</t>
        </is>
      </c>
      <c r="B525" s="486" t="inlineStr">
        <is>
          <t>MUÑOZ ORELLANA NUBE NICOLE</t>
        </is>
      </c>
      <c r="C525" s="486" t="inlineStr">
        <is>
          <t>Lengua y Literatura</t>
        </is>
      </c>
      <c r="D525" s="486" t="n">
        <v>7.7</v>
      </c>
      <c r="E525" s="486" t="n">
        <v>9.24</v>
      </c>
      <c r="F525" s="486" t="n">
        <v>1.54</v>
      </c>
      <c r="G525" s="486" t="inlineStr">
        <is>
          <t>ERROR</t>
        </is>
      </c>
    </row>
    <row r="526" ht="20" customHeight="1" s="225">
      <c r="A526" s="486" t="inlineStr">
        <is>
          <t>8AV</t>
        </is>
      </c>
      <c r="B526" s="486" t="inlineStr">
        <is>
          <t>MUÑOZ ORELLANA NUBE NICOLE</t>
        </is>
      </c>
      <c r="C526" s="486" t="inlineStr">
        <is>
          <t>Estudios Sociales</t>
        </is>
      </c>
      <c r="D526" s="486" t="n">
        <v>9.02</v>
      </c>
      <c r="E526" s="486" t="n">
        <v>9.31</v>
      </c>
      <c r="F526" s="486" t="n">
        <v>0.29</v>
      </c>
      <c r="G526" s="486" t="inlineStr">
        <is>
          <t>ERROR</t>
        </is>
      </c>
    </row>
    <row r="527" ht="20" customHeight="1" s="225">
      <c r="A527" s="486" t="inlineStr">
        <is>
          <t>8AV</t>
        </is>
      </c>
      <c r="B527" s="486" t="inlineStr">
        <is>
          <t>MUÑOZ ORELLANA NUBE NICOLE</t>
        </is>
      </c>
      <c r="C527" s="486" t="inlineStr">
        <is>
          <t>Promedio Final / P. General</t>
        </is>
      </c>
      <c r="D527" s="486" t="n">
        <v>8.630000000000001</v>
      </c>
      <c r="E527" s="486" t="n">
        <v>8.890000000000001</v>
      </c>
      <c r="F527" s="486" t="n">
        <v>0.26</v>
      </c>
      <c r="G527" s="486" t="inlineStr">
        <is>
          <t>ERROR</t>
        </is>
      </c>
    </row>
    <row r="528" ht="20" customHeight="1" s="225">
      <c r="A528" s="486" t="inlineStr">
        <is>
          <t>8AV</t>
        </is>
      </c>
      <c r="B528" s="486" t="inlineStr">
        <is>
          <t>MUÑOZ VIÑANZACA ESCARLEN GUADALUPE</t>
        </is>
      </c>
      <c r="C528" s="486" t="inlineStr">
        <is>
          <t>Lengua y Literatura</t>
        </is>
      </c>
      <c r="D528" s="486" t="n">
        <v>9.24</v>
      </c>
      <c r="E528" s="486" t="n">
        <v>8.67</v>
      </c>
      <c r="F528" s="486" t="n">
        <v>0.57</v>
      </c>
      <c r="G528" s="486" t="inlineStr">
        <is>
          <t>ERROR</t>
        </is>
      </c>
    </row>
    <row r="529" ht="20" customHeight="1" s="225">
      <c r="A529" s="486" t="inlineStr">
        <is>
          <t>8AV</t>
        </is>
      </c>
      <c r="B529" s="486" t="inlineStr">
        <is>
          <t>MUÑOZ VIÑANZACA ESCARLEN GUADALUPE</t>
        </is>
      </c>
      <c r="C529" s="486" t="inlineStr">
        <is>
          <t>Estudios Sociales</t>
        </is>
      </c>
      <c r="D529" s="486" t="n">
        <v>8.199999999999999</v>
      </c>
      <c r="E529" s="486" t="n">
        <v>8.73</v>
      </c>
      <c r="F529" s="486" t="n">
        <v>0.53</v>
      </c>
      <c r="G529" s="486" t="inlineStr">
        <is>
          <t>ERROR</t>
        </is>
      </c>
    </row>
    <row r="530" ht="20" customHeight="1" s="225">
      <c r="A530" s="486" t="inlineStr">
        <is>
          <t>8AV</t>
        </is>
      </c>
      <c r="B530" s="486" t="inlineStr">
        <is>
          <t>OCHOA CALLE CAMILA ESTHEFANIA</t>
        </is>
      </c>
      <c r="C530" s="486" t="inlineStr">
        <is>
          <t>Lengua y Literatura</t>
        </is>
      </c>
      <c r="D530" s="486" t="n">
        <v>8.67</v>
      </c>
      <c r="E530" s="486" t="n">
        <v>7.86</v>
      </c>
      <c r="F530" s="486" t="n">
        <v>0.8100000000000001</v>
      </c>
      <c r="G530" s="486" t="inlineStr">
        <is>
          <t>ERROR</t>
        </is>
      </c>
    </row>
    <row r="531" ht="20" customHeight="1" s="225">
      <c r="A531" s="486" t="inlineStr">
        <is>
          <t>8AV</t>
        </is>
      </c>
      <c r="B531" s="486" t="inlineStr">
        <is>
          <t>OCHOA CALLE CAMILA ESTHEFANIA</t>
        </is>
      </c>
      <c r="C531" s="486" t="inlineStr">
        <is>
          <t>Estudios Sociales</t>
        </is>
      </c>
      <c r="D531" s="486" t="n">
        <v>8.48</v>
      </c>
      <c r="E531" s="486" t="n">
        <v>8.18</v>
      </c>
      <c r="F531" s="486" t="n">
        <v>0.3</v>
      </c>
      <c r="G531" s="486" t="inlineStr">
        <is>
          <t>ERROR</t>
        </is>
      </c>
    </row>
    <row r="532" ht="20" customHeight="1" s="225">
      <c r="A532" s="486" t="inlineStr">
        <is>
          <t>8AV</t>
        </is>
      </c>
      <c r="B532" s="486" t="inlineStr">
        <is>
          <t>OCHOA CALLE CAMILA ESTHEFANIA</t>
        </is>
      </c>
      <c r="C532" s="486" t="inlineStr">
        <is>
          <t>Promedio Final / P. General</t>
        </is>
      </c>
      <c r="D532" s="486" t="n">
        <v>8.369999999999999</v>
      </c>
      <c r="E532" s="486" t="n">
        <v>8.210000000000001</v>
      </c>
      <c r="F532" s="486" t="n">
        <v>0.16</v>
      </c>
      <c r="G532" s="486" t="inlineStr">
        <is>
          <t>ERROR</t>
        </is>
      </c>
    </row>
    <row r="533" ht="20" customHeight="1" s="225">
      <c r="A533" s="486" t="inlineStr">
        <is>
          <t>8AV</t>
        </is>
      </c>
      <c r="B533" s="486" t="inlineStr">
        <is>
          <t>ORTIZ JIMENEZ CRISTHOFER LEONARDO</t>
        </is>
      </c>
      <c r="C533" s="486" t="inlineStr">
        <is>
          <t>Lengua y Literatura</t>
        </is>
      </c>
      <c r="D533" s="486" t="n">
        <v>7.86</v>
      </c>
      <c r="E533" s="486" t="n">
        <v>8.210000000000001</v>
      </c>
      <c r="F533" s="486" t="n">
        <v>0.35</v>
      </c>
      <c r="G533" s="486" t="inlineStr">
        <is>
          <t>ERROR</t>
        </is>
      </c>
    </row>
    <row r="534" ht="20" customHeight="1" s="225">
      <c r="A534" s="486" t="inlineStr">
        <is>
          <t>8AV</t>
        </is>
      </c>
      <c r="B534" s="486" t="inlineStr">
        <is>
          <t>ORTIZ JIMENEZ CRISTHOFER LEONARDO</t>
        </is>
      </c>
      <c r="C534" s="486" t="inlineStr">
        <is>
          <t>Estudios Sociales</t>
        </is>
      </c>
      <c r="D534" s="486" t="n">
        <v>7.94</v>
      </c>
      <c r="E534" s="486" t="n">
        <v>7.9</v>
      </c>
      <c r="F534" s="486" t="n">
        <v>0.04</v>
      </c>
      <c r="G534" s="486" t="inlineStr">
        <is>
          <t>ERROR</t>
        </is>
      </c>
    </row>
    <row r="535" ht="20" customHeight="1" s="225">
      <c r="A535" s="486" t="inlineStr">
        <is>
          <t>8AV</t>
        </is>
      </c>
      <c r="B535" s="486" t="inlineStr">
        <is>
          <t>ORTIZ JIMENEZ CRISTHOFER LEONARDO</t>
        </is>
      </c>
      <c r="C535" s="486" t="inlineStr">
        <is>
          <t>Promedio Final / P. General</t>
        </is>
      </c>
      <c r="D535" s="486" t="n">
        <v>8.26</v>
      </c>
      <c r="E535" s="486" t="n">
        <v>8.31</v>
      </c>
      <c r="F535" s="486" t="n">
        <v>0.05</v>
      </c>
      <c r="G535" s="486" t="inlineStr">
        <is>
          <t>ERROR</t>
        </is>
      </c>
    </row>
    <row r="536" ht="20" customHeight="1" s="225">
      <c r="A536" s="486" t="inlineStr">
        <is>
          <t>8AV</t>
        </is>
      </c>
      <c r="B536" s="486" t="inlineStr">
        <is>
          <t>PANDO CARVAJAL JUAN JOSE</t>
        </is>
      </c>
      <c r="C536" s="486" t="inlineStr">
        <is>
          <t>Lengua y Literatura</t>
        </is>
      </c>
      <c r="D536" s="486" t="n">
        <v>8.210000000000001</v>
      </c>
      <c r="E536" s="486" t="n">
        <v>7.05</v>
      </c>
      <c r="F536" s="486" t="n">
        <v>1.16</v>
      </c>
      <c r="G536" s="486" t="inlineStr">
        <is>
          <t>ERROR</t>
        </is>
      </c>
    </row>
    <row r="537" ht="20" customHeight="1" s="225">
      <c r="A537" s="486" t="inlineStr">
        <is>
          <t>8AV</t>
        </is>
      </c>
      <c r="B537" s="486" t="inlineStr">
        <is>
          <t>PANDO CARVAJAL JUAN JOSE</t>
        </is>
      </c>
      <c r="C537" s="486" t="inlineStr">
        <is>
          <t>Estudios Sociales</t>
        </is>
      </c>
      <c r="D537" s="486" t="n">
        <v>7.76</v>
      </c>
      <c r="E537" s="486" t="n">
        <v>8.06</v>
      </c>
      <c r="F537" s="486" t="n">
        <v>0.3</v>
      </c>
      <c r="G537" s="486" t="inlineStr">
        <is>
          <t>ERROR</t>
        </is>
      </c>
    </row>
    <row r="538" ht="20" customHeight="1" s="225">
      <c r="A538" s="486" t="inlineStr">
        <is>
          <t>8AV</t>
        </is>
      </c>
      <c r="B538" s="486" t="inlineStr">
        <is>
          <t>PANDO CARVAJAL JUAN JOSE</t>
        </is>
      </c>
      <c r="C538" s="486" t="inlineStr">
        <is>
          <t>Promedio Final / P. General</t>
        </is>
      </c>
      <c r="D538" s="486" t="n">
        <v>7.85</v>
      </c>
      <c r="E538" s="486" t="n">
        <v>7.72</v>
      </c>
      <c r="F538" s="486" t="n">
        <v>0.13</v>
      </c>
      <c r="G538" s="486" t="inlineStr">
        <is>
          <t>ERROR</t>
        </is>
      </c>
    </row>
    <row r="539" ht="20" customHeight="1" s="225">
      <c r="A539" s="486" t="inlineStr">
        <is>
          <t>8AV</t>
        </is>
      </c>
      <c r="B539" s="486" t="inlineStr">
        <is>
          <t>PARRA AGUILAR DEIVID ALEXANDER</t>
        </is>
      </c>
      <c r="C539" s="486" t="inlineStr">
        <is>
          <t>Lengua y Literatura</t>
        </is>
      </c>
      <c r="D539" s="486" t="n">
        <v>7.05</v>
      </c>
      <c r="E539" s="486" t="n">
        <v>8.09</v>
      </c>
      <c r="F539" s="486" t="n">
        <v>1.04</v>
      </c>
      <c r="G539" s="486" t="inlineStr">
        <is>
          <t>ERROR</t>
        </is>
      </c>
    </row>
    <row r="540" ht="20" customHeight="1" s="225">
      <c r="A540" s="486" t="inlineStr">
        <is>
          <t>8AV</t>
        </is>
      </c>
      <c r="B540" s="486" t="inlineStr">
        <is>
          <t>PARRA AGUILAR DEIVID ALEXANDER</t>
        </is>
      </c>
      <c r="C540" s="486" t="inlineStr">
        <is>
          <t>Estudios Sociales</t>
        </is>
      </c>
      <c r="D540" s="486" t="n">
        <v>7.96</v>
      </c>
      <c r="E540" s="486" t="n">
        <v>7.65</v>
      </c>
      <c r="F540" s="486" t="n">
        <v>0.31</v>
      </c>
      <c r="G540" s="486" t="inlineStr">
        <is>
          <t>ERROR</t>
        </is>
      </c>
    </row>
    <row r="541" ht="20" customHeight="1" s="225">
      <c r="A541" s="486" t="inlineStr">
        <is>
          <t>8AV</t>
        </is>
      </c>
      <c r="B541" s="486" t="inlineStr">
        <is>
          <t>PARRA AGUILAR DEIVID ALEXANDER</t>
        </is>
      </c>
      <c r="C541" s="486" t="inlineStr">
        <is>
          <t>Promedio Final / P. General</t>
        </is>
      </c>
      <c r="D541" s="486" t="n">
        <v>8.19</v>
      </c>
      <c r="E541" s="486" t="n">
        <v>8.289999999999999</v>
      </c>
      <c r="F541" s="486" t="n">
        <v>0.1</v>
      </c>
      <c r="G541" s="486" t="inlineStr">
        <is>
          <t>ERROR</t>
        </is>
      </c>
    </row>
    <row r="542" ht="20" customHeight="1" s="225">
      <c r="A542" s="486" t="inlineStr">
        <is>
          <t>8AV</t>
        </is>
      </c>
      <c r="B542" s="486" t="inlineStr">
        <is>
          <t>PATIÑO MINCHALA VALENTINA GALILEA</t>
        </is>
      </c>
      <c r="C542" s="486" t="inlineStr">
        <is>
          <t>Lengua y Literatura</t>
        </is>
      </c>
      <c r="D542" s="486" t="n">
        <v>8.09</v>
      </c>
      <c r="E542" s="486" t="n">
        <v>9.32</v>
      </c>
      <c r="F542" s="486" t="n">
        <v>1.23</v>
      </c>
      <c r="G542" s="486" t="inlineStr">
        <is>
          <t>ERROR</t>
        </is>
      </c>
    </row>
    <row r="543" ht="20" customHeight="1" s="225">
      <c r="A543" s="486" t="inlineStr">
        <is>
          <t>8AV</t>
        </is>
      </c>
      <c r="B543" s="486" t="inlineStr">
        <is>
          <t>PATIÑO MINCHALA VALENTINA GALILEA</t>
        </is>
      </c>
      <c r="C543" s="486" t="inlineStr">
        <is>
          <t>Estudios Sociales</t>
        </is>
      </c>
      <c r="D543" s="486" t="n">
        <v>9.15</v>
      </c>
      <c r="E543" s="486" t="n">
        <v>9.1</v>
      </c>
      <c r="F543" s="486" t="n">
        <v>0.05</v>
      </c>
      <c r="G543" s="486" t="inlineStr">
        <is>
          <t>ERROR</t>
        </is>
      </c>
    </row>
    <row r="544" ht="20" customHeight="1" s="225">
      <c r="A544" s="486" t="inlineStr">
        <is>
          <t>8AV</t>
        </is>
      </c>
      <c r="B544" s="486" t="inlineStr">
        <is>
          <t>PATIÑO MINCHALA VALENTINA GALILEA</t>
        </is>
      </c>
      <c r="C544" s="486" t="inlineStr">
        <is>
          <t>Promedio Final / P. General</t>
        </is>
      </c>
      <c r="D544" s="486" t="n">
        <v>8.67</v>
      </c>
      <c r="E544" s="486" t="n">
        <v>8.84</v>
      </c>
      <c r="F544" s="486" t="n">
        <v>0.17</v>
      </c>
      <c r="G544" s="486" t="inlineStr">
        <is>
          <t>ERROR</t>
        </is>
      </c>
    </row>
    <row r="545" ht="20" customHeight="1" s="225">
      <c r="A545" s="486" t="inlineStr">
        <is>
          <t>8AV</t>
        </is>
      </c>
      <c r="B545" s="486" t="inlineStr">
        <is>
          <t>QUINDE SARMIENTO BRITTANY NICOLE</t>
        </is>
      </c>
      <c r="C545" s="486" t="inlineStr">
        <is>
          <t>Lengua y Literatura</t>
        </is>
      </c>
      <c r="D545" s="486" t="n">
        <v>9.32</v>
      </c>
      <c r="E545" s="486" t="n">
        <v>7.54</v>
      </c>
      <c r="F545" s="486" t="n">
        <v>1.78</v>
      </c>
      <c r="G545" s="486" t="inlineStr">
        <is>
          <t>ERROR</t>
        </is>
      </c>
    </row>
    <row r="546" ht="20" customHeight="1" s="225">
      <c r="A546" s="486" t="inlineStr">
        <is>
          <t>8AV</t>
        </is>
      </c>
      <c r="B546" s="486" t="inlineStr">
        <is>
          <t>QUINDE SARMIENTO BRITTANY NICOLE</t>
        </is>
      </c>
      <c r="C546" s="486" t="inlineStr">
        <is>
          <t>Estudios Sociales</t>
        </is>
      </c>
      <c r="D546" s="486" t="n">
        <v>8.18</v>
      </c>
      <c r="E546" s="486" t="n">
        <v>8.380000000000001</v>
      </c>
      <c r="F546" s="486" t="n">
        <v>0.2</v>
      </c>
      <c r="G546" s="486" t="inlineStr">
        <is>
          <t>ERROR</t>
        </is>
      </c>
    </row>
    <row r="547" ht="20" customHeight="1" s="225">
      <c r="A547" s="486" t="inlineStr">
        <is>
          <t>8AV</t>
        </is>
      </c>
      <c r="B547" s="486" t="inlineStr">
        <is>
          <t>QUINDE SARMIENTO BRITTANY NICOLE</t>
        </is>
      </c>
      <c r="C547" s="486" t="inlineStr">
        <is>
          <t>Promedio Final / P. General</t>
        </is>
      </c>
      <c r="D547" s="486" t="n">
        <v>8.08</v>
      </c>
      <c r="E547" s="486" t="n">
        <v>7.86</v>
      </c>
      <c r="F547" s="486" t="n">
        <v>0.22</v>
      </c>
      <c r="G547" s="486" t="inlineStr">
        <is>
          <t>ERROR</t>
        </is>
      </c>
    </row>
    <row r="548" ht="20" customHeight="1" s="225">
      <c r="A548" s="486" t="inlineStr">
        <is>
          <t>8AV</t>
        </is>
      </c>
      <c r="B548" s="486" t="inlineStr">
        <is>
          <t>ROMERO MIRANDA BIANCA MAYERLI</t>
        </is>
      </c>
      <c r="C548" s="486" t="inlineStr">
        <is>
          <t>Lengua y Literatura</t>
        </is>
      </c>
      <c r="D548" s="486" t="n">
        <v>7.54</v>
      </c>
      <c r="E548" s="486" t="n">
        <v>9.289999999999999</v>
      </c>
      <c r="F548" s="486" t="n">
        <v>1.75</v>
      </c>
      <c r="G548" s="486" t="inlineStr">
        <is>
          <t>ERROR</t>
        </is>
      </c>
    </row>
    <row r="549" ht="20" customHeight="1" s="225">
      <c r="A549" s="486" t="inlineStr">
        <is>
          <t>8AV</t>
        </is>
      </c>
      <c r="B549" s="486" t="inlineStr">
        <is>
          <t>ROMERO MIRANDA BIANCA MAYERLI</t>
        </is>
      </c>
      <c r="C549" s="486" t="inlineStr">
        <is>
          <t>Estudios Sociales</t>
        </is>
      </c>
      <c r="D549" s="486" t="n">
        <v>8.77</v>
      </c>
      <c r="E549" s="486" t="n">
        <v>8.6</v>
      </c>
      <c r="F549" s="486" t="n">
        <v>0.17</v>
      </c>
      <c r="G549" s="486" t="inlineStr">
        <is>
          <t>ERROR</t>
        </is>
      </c>
    </row>
    <row r="550" ht="20" customHeight="1" s="225">
      <c r="A550" s="486" t="inlineStr">
        <is>
          <t>8AV</t>
        </is>
      </c>
      <c r="B550" s="486" t="inlineStr">
        <is>
          <t>ROMERO MIRANDA BIANCA MAYERLI</t>
        </is>
      </c>
      <c r="C550" s="486" t="inlineStr">
        <is>
          <t>Promedio Final / P. General</t>
        </is>
      </c>
      <c r="D550" s="486" t="n">
        <v>8.6</v>
      </c>
      <c r="E550" s="486" t="n">
        <v>8.82</v>
      </c>
      <c r="F550" s="486" t="n">
        <v>0.22</v>
      </c>
      <c r="G550" s="486" t="inlineStr">
        <is>
          <t>ERROR</t>
        </is>
      </c>
    </row>
    <row r="551" ht="20" customHeight="1" s="225">
      <c r="A551" s="486" t="inlineStr">
        <is>
          <t>8AV</t>
        </is>
      </c>
      <c r="B551" s="486" t="inlineStr">
        <is>
          <t>SANCHEZ URGILES KEVIN ALEXANDER</t>
        </is>
      </c>
      <c r="C551" s="486" t="inlineStr">
        <is>
          <t>Lengua y Literatura</t>
        </is>
      </c>
      <c r="D551" s="486" t="n">
        <v>9.289999999999999</v>
      </c>
      <c r="E551" s="486" t="n">
        <v>7.64</v>
      </c>
      <c r="F551" s="486" t="n">
        <v>1.65</v>
      </c>
      <c r="G551" s="486" t="inlineStr">
        <is>
          <t>ERROR</t>
        </is>
      </c>
    </row>
    <row r="552" ht="20" customHeight="1" s="225">
      <c r="A552" s="486" t="inlineStr">
        <is>
          <t>8AV</t>
        </is>
      </c>
      <c r="B552" s="486" t="inlineStr">
        <is>
          <t>SANCHEZ URGILES KEVIN ALEXANDER</t>
        </is>
      </c>
      <c r="C552" s="486" t="inlineStr">
        <is>
          <t>Estudios Sociales</t>
        </is>
      </c>
      <c r="D552" s="486" t="n">
        <v>7.49</v>
      </c>
      <c r="E552" s="486" t="n">
        <v>7.55</v>
      </c>
      <c r="F552" s="486" t="n">
        <v>0.06</v>
      </c>
      <c r="G552" s="486" t="inlineStr">
        <is>
          <t>ERROR</t>
        </is>
      </c>
    </row>
    <row r="553" ht="20" customHeight="1" s="225">
      <c r="A553" s="486" t="inlineStr">
        <is>
          <t>8AV</t>
        </is>
      </c>
      <c r="B553" s="486" t="inlineStr">
        <is>
          <t>SANCHEZ URGILES KEVIN ALEXANDER</t>
        </is>
      </c>
      <c r="C553" s="486" t="inlineStr">
        <is>
          <t>Promedio Final / P. General</t>
        </is>
      </c>
      <c r="D553" s="486" t="n">
        <v>7.73</v>
      </c>
      <c r="E553" s="486" t="n">
        <v>7.5</v>
      </c>
      <c r="F553" s="486" t="n">
        <v>0.23</v>
      </c>
      <c r="G553" s="486" t="inlineStr">
        <is>
          <t>ERROR</t>
        </is>
      </c>
    </row>
    <row r="554" ht="20" customHeight="1" s="225">
      <c r="A554" s="486" t="inlineStr">
        <is>
          <t>8AV</t>
        </is>
      </c>
      <c r="B554" s="486" t="inlineStr">
        <is>
          <t>SAUCE PEREZ MICHAEL ALEXANDER</t>
        </is>
      </c>
      <c r="C554" s="486" t="inlineStr">
        <is>
          <t>Lengua y Literatura</t>
        </is>
      </c>
      <c r="D554" s="486" t="n">
        <v>7.64</v>
      </c>
      <c r="E554" s="486" t="n">
        <v>9.01</v>
      </c>
      <c r="F554" s="486" t="n">
        <v>1.37</v>
      </c>
      <c r="G554" s="486" t="inlineStr">
        <is>
          <t>ERROR</t>
        </is>
      </c>
    </row>
    <row r="555" ht="20" customHeight="1" s="225">
      <c r="A555" s="486" t="inlineStr">
        <is>
          <t>8AV</t>
        </is>
      </c>
      <c r="B555" s="486" t="inlineStr">
        <is>
          <t>SAUCE PEREZ MICHAEL ALEXANDER</t>
        </is>
      </c>
      <c r="C555" s="486" t="inlineStr">
        <is>
          <t>Estudios Sociales</t>
        </is>
      </c>
      <c r="D555" s="486" t="n">
        <v>8.140000000000001</v>
      </c>
      <c r="E555" s="486" t="n">
        <v>8.19</v>
      </c>
      <c r="F555" s="486" t="n">
        <v>0.05</v>
      </c>
      <c r="G555" s="486" t="inlineStr">
        <is>
          <t>ERROR</t>
        </is>
      </c>
    </row>
    <row r="556" ht="20" customHeight="1" s="225">
      <c r="A556" s="486" t="inlineStr">
        <is>
          <t>8AV</t>
        </is>
      </c>
      <c r="B556" s="486" t="inlineStr">
        <is>
          <t>SAUCE PEREZ MICHAEL ALEXANDER</t>
        </is>
      </c>
      <c r="C556" s="486" t="inlineStr">
        <is>
          <t>Promedio Final / P. General</t>
        </is>
      </c>
      <c r="D556" s="486" t="n">
        <v>8.359999999999999</v>
      </c>
      <c r="E556" s="486" t="n">
        <v>8.57</v>
      </c>
      <c r="F556" s="486" t="n">
        <v>0.21</v>
      </c>
      <c r="G556" s="486" t="inlineStr">
        <is>
          <t>ERROR</t>
        </is>
      </c>
    </row>
    <row r="557" ht="20" customHeight="1" s="225">
      <c r="A557" s="486" t="inlineStr">
        <is>
          <t>8AV</t>
        </is>
      </c>
      <c r="B557" s="486" t="inlineStr">
        <is>
          <t>SIMBAÑA CABRERA NICOLE VALENTINA</t>
        </is>
      </c>
      <c r="C557" s="486" t="inlineStr">
        <is>
          <t>Lengua y Literatura</t>
        </is>
      </c>
      <c r="D557" s="486" t="n">
        <v>9.01</v>
      </c>
      <c r="E557" s="486" t="n">
        <v>7.54</v>
      </c>
      <c r="F557" s="486" t="n">
        <v>1.47</v>
      </c>
      <c r="G557" s="486" t="inlineStr">
        <is>
          <t>ERROR</t>
        </is>
      </c>
    </row>
    <row r="558" ht="20" customHeight="1" s="225">
      <c r="A558" s="486" t="inlineStr">
        <is>
          <t>8AV</t>
        </is>
      </c>
      <c r="B558" s="486" t="inlineStr">
        <is>
          <t>SIMBAÑA CABRERA NICOLE VALENTINA</t>
        </is>
      </c>
      <c r="C558" s="486" t="inlineStr">
        <is>
          <t>Estudios Sociales</t>
        </is>
      </c>
      <c r="D558" s="486" t="n">
        <v>8.779999999999999</v>
      </c>
      <c r="E558" s="486" t="n">
        <v>8.699999999999999</v>
      </c>
      <c r="F558" s="486" t="n">
        <v>0.08</v>
      </c>
      <c r="G558" s="486" t="inlineStr">
        <is>
          <t>ERROR</t>
        </is>
      </c>
    </row>
    <row r="559" ht="20" customHeight="1" s="225">
      <c r="A559" s="486" t="inlineStr">
        <is>
          <t>8AV</t>
        </is>
      </c>
      <c r="B559" s="486" t="inlineStr">
        <is>
          <t>SIMBAÑA CABRERA NICOLE VALENTINA</t>
        </is>
      </c>
      <c r="C559" s="486" t="inlineStr">
        <is>
          <t>Promedio Final / P. General</t>
        </is>
      </c>
      <c r="D559" s="486" t="n">
        <v>8.33</v>
      </c>
      <c r="E559" s="486" t="n">
        <v>8.109999999999999</v>
      </c>
      <c r="F559" s="486" t="n">
        <v>0.22</v>
      </c>
      <c r="G559" s="486" t="inlineStr">
        <is>
          <t>ERROR</t>
        </is>
      </c>
    </row>
    <row r="560" ht="20" customHeight="1" s="225">
      <c r="A560" s="486" t="inlineStr">
        <is>
          <t>8AV</t>
        </is>
      </c>
      <c r="B560" s="486" t="inlineStr">
        <is>
          <t>SINCHI CRIOLLO JEREMY ANDRES</t>
        </is>
      </c>
      <c r="C560" s="486" t="inlineStr">
        <is>
          <t>Lengua y Literatura</t>
        </is>
      </c>
      <c r="D560" s="486" t="n">
        <v>7.54</v>
      </c>
      <c r="E560" s="486" t="n">
        <v>7.83</v>
      </c>
      <c r="F560" s="486" t="n">
        <v>0.29</v>
      </c>
      <c r="G560" s="486" t="inlineStr">
        <is>
          <t>ERROR</t>
        </is>
      </c>
    </row>
    <row r="561" ht="20" customHeight="1" s="225">
      <c r="A561" s="486" t="inlineStr">
        <is>
          <t>8AV</t>
        </is>
      </c>
      <c r="B561" s="486" t="inlineStr">
        <is>
          <t>SINCHI CRIOLLO JEREMY ANDRES</t>
        </is>
      </c>
      <c r="C561" s="486" t="inlineStr">
        <is>
          <t>Promedio Final / P. General</t>
        </is>
      </c>
      <c r="D561" s="486" t="n">
        <v>7.64</v>
      </c>
      <c r="E561" s="486" t="n">
        <v>7.69</v>
      </c>
      <c r="F561" s="486" t="n">
        <v>0.05</v>
      </c>
      <c r="G561" s="486" t="inlineStr">
        <is>
          <t>ERROR</t>
        </is>
      </c>
    </row>
    <row r="562" ht="20" customHeight="1" s="225">
      <c r="A562" s="486" t="inlineStr">
        <is>
          <t>8AV</t>
        </is>
      </c>
      <c r="B562" s="486" t="inlineStr">
        <is>
          <t>TAPIA YANZA DANIELA ALEXANDRA</t>
        </is>
      </c>
      <c r="C562" s="486" t="inlineStr">
        <is>
          <t>Lengua y Literatura</t>
        </is>
      </c>
      <c r="D562" s="486" t="n">
        <v>7.83</v>
      </c>
      <c r="E562" s="486" t="n">
        <v>9.27</v>
      </c>
      <c r="F562" s="486" t="n">
        <v>1.44</v>
      </c>
      <c r="G562" s="486" t="inlineStr">
        <is>
          <t>ERROR</t>
        </is>
      </c>
    </row>
    <row r="563" ht="20" customHeight="1" s="225">
      <c r="A563" s="486" t="inlineStr">
        <is>
          <t>8AV</t>
        </is>
      </c>
      <c r="B563" s="486" t="inlineStr">
        <is>
          <t>TAPIA YANZA DANIELA ALEXANDRA</t>
        </is>
      </c>
      <c r="C563" s="486" t="inlineStr">
        <is>
          <t>Promedio Final / P. General</t>
        </is>
      </c>
      <c r="D563" s="486" t="n">
        <v>8.779999999999999</v>
      </c>
      <c r="E563" s="486" t="n">
        <v>8.99</v>
      </c>
      <c r="F563" s="486" t="n">
        <v>0.21</v>
      </c>
      <c r="G563" s="486" t="inlineStr">
        <is>
          <t>ERROR</t>
        </is>
      </c>
    </row>
    <row r="564" ht="20" customHeight="1" s="225">
      <c r="A564" s="486" t="inlineStr">
        <is>
          <t>8AV</t>
        </is>
      </c>
      <c r="B564" s="486" t="inlineStr">
        <is>
          <t>TROYA CUEVA MARIO FABIAN</t>
        </is>
      </c>
      <c r="C564" s="486" t="inlineStr">
        <is>
          <t>Lengua y Literatura</t>
        </is>
      </c>
      <c r="D564" s="486" t="n">
        <v>9.27</v>
      </c>
      <c r="E564" s="486" t="n">
        <v>7.66</v>
      </c>
      <c r="F564" s="486" t="n">
        <v>1.61</v>
      </c>
      <c r="G564" s="486" t="inlineStr">
        <is>
          <t>ERROR</t>
        </is>
      </c>
    </row>
    <row r="565" ht="20" customHeight="1" s="225">
      <c r="A565" s="486" t="inlineStr">
        <is>
          <t>8AV</t>
        </is>
      </c>
      <c r="B565" s="486" t="inlineStr">
        <is>
          <t>TROYA CUEVA MARIO FABIAN</t>
        </is>
      </c>
      <c r="C565" s="486" t="inlineStr">
        <is>
          <t>Promedio Final / P. General</t>
        </is>
      </c>
      <c r="D565" s="486" t="n">
        <v>8.119999999999999</v>
      </c>
      <c r="E565" s="486" t="n">
        <v>7.89</v>
      </c>
      <c r="F565" s="486" t="n">
        <v>0.23</v>
      </c>
      <c r="G565" s="486" t="inlineStr">
        <is>
          <t>ERROR</t>
        </is>
      </c>
    </row>
    <row r="566" ht="20" customHeight="1" s="225">
      <c r="A566" s="486" t="inlineStr">
        <is>
          <t>8AV</t>
        </is>
      </c>
      <c r="B566" s="486" t="inlineStr">
        <is>
          <t>ZHINGRI AREVALO KAREN LISSBET</t>
        </is>
      </c>
      <c r="C566" s="486" t="inlineStr">
        <is>
          <t>Lengua y Literatura</t>
        </is>
      </c>
      <c r="D566" s="486" t="n">
        <v>7.66</v>
      </c>
      <c r="E566" s="486" t="n">
        <v>7.1</v>
      </c>
      <c r="F566" s="486" t="n">
        <v>0.5600000000000001</v>
      </c>
      <c r="G566" s="486" t="inlineStr">
        <is>
          <t>ERROR</t>
        </is>
      </c>
    </row>
    <row r="567" ht="20" customHeight="1" s="225">
      <c r="A567" s="486" t="inlineStr">
        <is>
          <t>8AV</t>
        </is>
      </c>
      <c r="B567" s="486" t="inlineStr">
        <is>
          <t>ZHINGRI AREVALO KAREN LISSBET</t>
        </is>
      </c>
      <c r="C567" s="486" t="inlineStr">
        <is>
          <t>Matemática</t>
        </is>
      </c>
      <c r="D567" s="486" t="n">
        <v>5.5</v>
      </c>
      <c r="E567" s="486" t="n">
        <v>6.91</v>
      </c>
      <c r="F567" s="486" t="n">
        <v>1.41</v>
      </c>
      <c r="G567" s="486" t="inlineStr">
        <is>
          <t>ERROR</t>
        </is>
      </c>
    </row>
    <row r="568" ht="20" customHeight="1" s="225">
      <c r="A568" s="486" t="inlineStr">
        <is>
          <t>8AV</t>
        </is>
      </c>
      <c r="B568" s="486" t="inlineStr">
        <is>
          <t>ZHINGRI AREVALO KAREN LISSBET</t>
        </is>
      </c>
      <c r="C568" s="486" t="inlineStr">
        <is>
          <t>Promedio Final / P. General</t>
        </is>
      </c>
      <c r="D568" s="486" t="n">
        <v>7.37</v>
      </c>
      <c r="E568" s="486" t="n">
        <v>7.49</v>
      </c>
      <c r="F568" s="486" t="n">
        <v>0.12</v>
      </c>
      <c r="G568" s="486" t="inlineStr">
        <is>
          <t>ERROR</t>
        </is>
      </c>
    </row>
    <row r="569" ht="20" customHeight="1" s="225">
      <c r="A569" s="486" t="inlineStr">
        <is>
          <t>8AV</t>
        </is>
      </c>
      <c r="B569" s="486" t="inlineStr">
        <is>
          <t>ZHININ CORAYZACA ALISON VALENTINA</t>
        </is>
      </c>
      <c r="C569" s="486" t="inlineStr">
        <is>
          <t>Lengua y Literatura</t>
        </is>
      </c>
      <c r="D569" s="486" t="n">
        <v>7.1</v>
      </c>
      <c r="E569" s="486" t="n">
        <v>8.43</v>
      </c>
      <c r="F569" s="486" t="n">
        <v>1.33</v>
      </c>
      <c r="G569" s="486" t="inlineStr">
        <is>
          <t>ERROR</t>
        </is>
      </c>
    </row>
    <row r="570" ht="20" customHeight="1" s="225">
      <c r="A570" s="486" t="inlineStr">
        <is>
          <t>8AV</t>
        </is>
      </c>
      <c r="B570" s="486" t="inlineStr">
        <is>
          <t>ZHININ CORAYZACA ALISON VALENTINA</t>
        </is>
      </c>
      <c r="C570" s="486" t="inlineStr">
        <is>
          <t>Promedio Final / P. General</t>
        </is>
      </c>
      <c r="D570" s="486" t="n">
        <v>7.88</v>
      </c>
      <c r="E570" s="486" t="n">
        <v>8.07</v>
      </c>
      <c r="F570" s="486" t="n">
        <v>0.19</v>
      </c>
      <c r="G570" s="486" t="inlineStr">
        <is>
          <t>ERROR</t>
        </is>
      </c>
    </row>
    <row r="571" ht="20" customHeight="1" s="225">
      <c r="A571" s="486" t="inlineStr">
        <is>
          <t>8BV</t>
        </is>
      </c>
      <c r="B571" s="486" t="inlineStr">
        <is>
          <t>BERNAL JARA MATIUS NICOLAS</t>
        </is>
      </c>
      <c r="C571" s="486" t="inlineStr">
        <is>
          <t>Estudios Sociales</t>
        </is>
      </c>
      <c r="D571" s="486" t="n">
        <v>8.460000000000001</v>
      </c>
      <c r="E571" s="486" t="n">
        <v>8.94</v>
      </c>
      <c r="F571" s="486" t="n">
        <v>0.48</v>
      </c>
      <c r="G571" s="486" t="inlineStr">
        <is>
          <t>ERROR</t>
        </is>
      </c>
    </row>
    <row r="572" ht="20" customHeight="1" s="225">
      <c r="A572" s="486" t="inlineStr">
        <is>
          <t>8BV</t>
        </is>
      </c>
      <c r="B572" s="486" t="inlineStr">
        <is>
          <t>BERNAL JARA MATIUS NICOLAS</t>
        </is>
      </c>
      <c r="C572" s="486" t="inlineStr">
        <is>
          <t>Promedio Final / P. General</t>
        </is>
      </c>
      <c r="D572" s="486" t="n">
        <v>8.99</v>
      </c>
      <c r="E572" s="486" t="n">
        <v>9.06</v>
      </c>
      <c r="F572" s="486" t="n">
        <v>0.07000000000000001</v>
      </c>
      <c r="G572" s="486" t="inlineStr">
        <is>
          <t>ERROR</t>
        </is>
      </c>
    </row>
    <row r="573" ht="20" customHeight="1" s="225">
      <c r="A573" s="486" t="inlineStr">
        <is>
          <t>8BV</t>
        </is>
      </c>
      <c r="B573" s="486" t="inlineStr">
        <is>
          <t>BUENO GUALLPA MARÍA FERNANDA</t>
        </is>
      </c>
      <c r="C573" s="486" t="inlineStr">
        <is>
          <t>Ciencias Naturales</t>
        </is>
      </c>
      <c r="D573" s="486" t="n">
        <v>7.12</v>
      </c>
      <c r="E573" s="486" t="n">
        <v>7.08</v>
      </c>
      <c r="F573" s="486" t="n">
        <v>0.04</v>
      </c>
      <c r="G573" s="486" t="inlineStr">
        <is>
          <t>ERROR</t>
        </is>
      </c>
    </row>
    <row r="574" ht="20" customHeight="1" s="225">
      <c r="A574" s="486" t="inlineStr">
        <is>
          <t>8BV</t>
        </is>
      </c>
      <c r="B574" s="486" t="inlineStr">
        <is>
          <t>BUENO GUALLPA MARÍA FERNANDA</t>
        </is>
      </c>
      <c r="C574" s="486" t="inlineStr">
        <is>
          <t>Estudios Sociales</t>
        </is>
      </c>
      <c r="D574" s="486" t="n">
        <v>8.890000000000001</v>
      </c>
      <c r="E574" s="486" t="n">
        <v>8.08</v>
      </c>
      <c r="F574" s="486" t="n">
        <v>0.8100000000000001</v>
      </c>
      <c r="G574" s="486" t="inlineStr">
        <is>
          <t>ERROR</t>
        </is>
      </c>
    </row>
    <row r="575" ht="20" customHeight="1" s="225">
      <c r="A575" s="486" t="inlineStr">
        <is>
          <t>8BV</t>
        </is>
      </c>
      <c r="B575" s="486" t="inlineStr">
        <is>
          <t>BUENO GUALLPA MARÍA FERNANDA</t>
        </is>
      </c>
      <c r="C575" s="486" t="inlineStr">
        <is>
          <t>Promedio Final / P. General</t>
        </is>
      </c>
      <c r="D575" s="486" t="n">
        <v>8.19</v>
      </c>
      <c r="E575" s="486" t="n">
        <v>8.07</v>
      </c>
      <c r="F575" s="486" t="n">
        <v>0.12</v>
      </c>
      <c r="G575" s="486" t="inlineStr">
        <is>
          <t>ERROR</t>
        </is>
      </c>
    </row>
    <row r="576" ht="20" customHeight="1" s="225">
      <c r="A576" s="486" t="inlineStr">
        <is>
          <t>8BV</t>
        </is>
      </c>
      <c r="B576" s="486" t="inlineStr">
        <is>
          <t>CALLE HEREDIA JHANDY ROBERTO</t>
        </is>
      </c>
      <c r="C576" s="486" t="inlineStr">
        <is>
          <t>Estudios Sociales</t>
        </is>
      </c>
      <c r="D576" s="486" t="n">
        <v>8.41</v>
      </c>
      <c r="E576" s="486" t="n">
        <v>7.68</v>
      </c>
      <c r="F576" s="486" t="n">
        <v>0.73</v>
      </c>
      <c r="G576" s="486" t="inlineStr">
        <is>
          <t>ERROR</t>
        </is>
      </c>
    </row>
    <row r="577" ht="20" customHeight="1" s="225">
      <c r="A577" s="486" t="inlineStr">
        <is>
          <t>8BV</t>
        </is>
      </c>
      <c r="B577" s="486" t="inlineStr">
        <is>
          <t>CALLE HEREDIA JHANDY ROBERTO</t>
        </is>
      </c>
      <c r="C577" s="486" t="inlineStr">
        <is>
          <t>Promedio Final / P. General</t>
        </is>
      </c>
      <c r="D577" s="486" t="n">
        <v>8.26</v>
      </c>
      <c r="E577" s="486" t="n">
        <v>8.16</v>
      </c>
      <c r="F577" s="486" t="n">
        <v>0.1</v>
      </c>
      <c r="G577" s="486" t="inlineStr">
        <is>
          <t>ERROR</t>
        </is>
      </c>
    </row>
    <row r="578" ht="20" customHeight="1" s="225">
      <c r="A578" s="486" t="inlineStr">
        <is>
          <t>8BV</t>
        </is>
      </c>
      <c r="B578" s="486" t="inlineStr">
        <is>
          <t>CAMPOS PANDO FRANCISCO ANDRES</t>
        </is>
      </c>
      <c r="C578" s="486" t="inlineStr">
        <is>
          <t>Estudios Sociales</t>
        </is>
      </c>
      <c r="D578" s="486" t="n">
        <v>10</v>
      </c>
      <c r="E578" s="486" t="n">
        <v>9.949999999999999</v>
      </c>
      <c r="F578" s="486" t="n">
        <v>0.05</v>
      </c>
      <c r="G578" s="486" t="inlineStr">
        <is>
          <t>ERROR</t>
        </is>
      </c>
    </row>
    <row r="579" ht="20" customHeight="1" s="225">
      <c r="A579" s="486" t="inlineStr">
        <is>
          <t>8BV</t>
        </is>
      </c>
      <c r="B579" s="486" t="inlineStr">
        <is>
          <t>CANDELARIO CARRERA JONATHAN JOSUE</t>
        </is>
      </c>
      <c r="C579" s="486" t="inlineStr">
        <is>
          <t>Lengua y Literatura</t>
        </is>
      </c>
      <c r="D579" s="486" t="n">
        <v>7.62</v>
      </c>
      <c r="E579" s="486" t="n">
        <v>9.06</v>
      </c>
      <c r="F579" s="486" t="n">
        <v>1.44</v>
      </c>
      <c r="G579" s="486" t="inlineStr">
        <is>
          <t>ERROR</t>
        </is>
      </c>
    </row>
    <row r="580" ht="20" customHeight="1" s="225">
      <c r="A580" s="486" t="inlineStr">
        <is>
          <t>8BV</t>
        </is>
      </c>
      <c r="B580" s="486" t="inlineStr">
        <is>
          <t>CANDELARIO CARRERA JONATHAN JOSUE</t>
        </is>
      </c>
      <c r="C580" s="486" t="inlineStr">
        <is>
          <t>Estudios Sociales</t>
        </is>
      </c>
      <c r="D580" s="486" t="n">
        <v>8.609999999999999</v>
      </c>
      <c r="E580" s="486" t="n">
        <v>9.279999999999999</v>
      </c>
      <c r="F580" s="486" t="n">
        <v>0.67</v>
      </c>
      <c r="G580" s="486" t="inlineStr">
        <is>
          <t>ERROR</t>
        </is>
      </c>
    </row>
    <row r="581" ht="20" customHeight="1" s="225">
      <c r="A581" s="486" t="inlineStr">
        <is>
          <t>8BV</t>
        </is>
      </c>
      <c r="B581" s="486" t="inlineStr">
        <is>
          <t>CANDELARIO CARRERA JONATHAN JOSUE</t>
        </is>
      </c>
      <c r="C581" s="486" t="inlineStr">
        <is>
          <t>Educación Física</t>
        </is>
      </c>
      <c r="D581" s="486" t="n">
        <v>9.01</v>
      </c>
      <c r="E581" s="486" t="n">
        <v>9.19</v>
      </c>
      <c r="F581" s="486" t="n">
        <v>0.18</v>
      </c>
      <c r="G581" s="486" t="inlineStr">
        <is>
          <t>ERROR</t>
        </is>
      </c>
    </row>
    <row r="582" ht="20" customHeight="1" s="225">
      <c r="A582" s="486" t="inlineStr">
        <is>
          <t>8BV</t>
        </is>
      </c>
      <c r="B582" s="486" t="inlineStr">
        <is>
          <t>CANDELARIO CARRERA JONATHAN JOSUE</t>
        </is>
      </c>
      <c r="C582" s="486" t="inlineStr">
        <is>
          <t>Promedio Final / P. General</t>
        </is>
      </c>
      <c r="D582" s="486" t="n">
        <v>8.56</v>
      </c>
      <c r="E582" s="486" t="n">
        <v>8.880000000000001</v>
      </c>
      <c r="F582" s="486" t="n">
        <v>0.32</v>
      </c>
      <c r="G582" s="486" t="inlineStr">
        <is>
          <t>ERROR</t>
        </is>
      </c>
    </row>
    <row r="583" ht="20" customHeight="1" s="225">
      <c r="A583" s="486" t="inlineStr">
        <is>
          <t>8BV</t>
        </is>
      </c>
      <c r="B583" s="486" t="inlineStr">
        <is>
          <t>DIAZ ESPINOZA BRITANY NICOL</t>
        </is>
      </c>
      <c r="C583" s="486" t="inlineStr">
        <is>
          <t>Lengua y Literatura</t>
        </is>
      </c>
      <c r="D583" s="486" t="n">
        <v>8.06</v>
      </c>
      <c r="E583" s="486" t="n">
        <v>7.62</v>
      </c>
      <c r="F583" s="486" t="n">
        <v>0.44</v>
      </c>
      <c r="G583" s="486" t="inlineStr">
        <is>
          <t>ERROR</t>
        </is>
      </c>
    </row>
    <row r="584" ht="20" customHeight="1" s="225">
      <c r="A584" s="486" t="inlineStr">
        <is>
          <t>8BV</t>
        </is>
      </c>
      <c r="B584" s="486" t="inlineStr">
        <is>
          <t>DIAZ ESPINOZA BRITANY NICOL</t>
        </is>
      </c>
      <c r="C584" s="486" t="inlineStr">
        <is>
          <t>Estudios Sociales</t>
        </is>
      </c>
      <c r="D584" s="486" t="n">
        <v>8.57</v>
      </c>
      <c r="E584" s="486" t="n">
        <v>7.94</v>
      </c>
      <c r="F584" s="486" t="n">
        <v>0.63</v>
      </c>
      <c r="G584" s="486" t="inlineStr">
        <is>
          <t>ERROR</t>
        </is>
      </c>
    </row>
    <row r="585" ht="20" customHeight="1" s="225">
      <c r="A585" s="486" t="inlineStr">
        <is>
          <t>8BV</t>
        </is>
      </c>
      <c r="B585" s="486" t="inlineStr">
        <is>
          <t>DIAZ ESPINOZA BRITANY NICOL</t>
        </is>
      </c>
      <c r="C585" s="486" t="inlineStr">
        <is>
          <t>Promedio Final / P. General</t>
        </is>
      </c>
      <c r="D585" s="486" t="n">
        <v>7.84</v>
      </c>
      <c r="E585" s="486" t="n">
        <v>7.69</v>
      </c>
      <c r="F585" s="486" t="n">
        <v>0.15</v>
      </c>
      <c r="G585" s="486" t="inlineStr">
        <is>
          <t>ERROR</t>
        </is>
      </c>
    </row>
    <row r="586" ht="20" customHeight="1" s="225">
      <c r="A586" s="486" t="inlineStr">
        <is>
          <t>8BV</t>
        </is>
      </c>
      <c r="B586" s="486" t="inlineStr">
        <is>
          <t>DURAN QUINTUÑA MILAN RAFAEL</t>
        </is>
      </c>
      <c r="C586" s="486" t="inlineStr">
        <is>
          <t>Lengua y Literatura</t>
        </is>
      </c>
      <c r="D586" s="486" t="n">
        <v>8.779999999999999</v>
      </c>
      <c r="E586" s="486" t="n">
        <v>8.06</v>
      </c>
      <c r="F586" s="486" t="n">
        <v>0.72</v>
      </c>
      <c r="G586" s="486" t="inlineStr">
        <is>
          <t>ERROR</t>
        </is>
      </c>
    </row>
    <row r="587" ht="20" customHeight="1" s="225">
      <c r="A587" s="486" t="inlineStr">
        <is>
          <t>8BV</t>
        </is>
      </c>
      <c r="B587" s="486" t="inlineStr">
        <is>
          <t>DURAN QUINTUÑA MILAN RAFAEL</t>
        </is>
      </c>
      <c r="C587" s="486" t="inlineStr">
        <is>
          <t>Estudios Sociales</t>
        </is>
      </c>
      <c r="D587" s="486" t="n">
        <v>8.48</v>
      </c>
      <c r="E587" s="486" t="n">
        <v>7.81</v>
      </c>
      <c r="F587" s="486" t="n">
        <v>0.67</v>
      </c>
      <c r="G587" s="486" t="inlineStr">
        <is>
          <t>ERROR</t>
        </is>
      </c>
    </row>
    <row r="588" ht="20" customHeight="1" s="225">
      <c r="A588" s="486" t="inlineStr">
        <is>
          <t>8BV</t>
        </is>
      </c>
      <c r="B588" s="486" t="inlineStr">
        <is>
          <t>DURAN QUINTUÑA MILAN RAFAEL</t>
        </is>
      </c>
      <c r="C588" s="486" t="inlineStr">
        <is>
          <t>Promedio Final / P. General</t>
        </is>
      </c>
      <c r="D588" s="486" t="n">
        <v>8.210000000000001</v>
      </c>
      <c r="E588" s="486" t="n">
        <v>8.02</v>
      </c>
      <c r="F588" s="486" t="n">
        <v>0.19</v>
      </c>
      <c r="G588" s="486" t="inlineStr">
        <is>
          <t>ERROR</t>
        </is>
      </c>
    </row>
    <row r="589" ht="20" customHeight="1" s="225">
      <c r="A589" s="486" t="inlineStr">
        <is>
          <t>8BV</t>
        </is>
      </c>
      <c r="B589" s="486" t="inlineStr">
        <is>
          <t>DUTAN CALLE GAEL MARTIN</t>
        </is>
      </c>
      <c r="C589" s="486" t="inlineStr">
        <is>
          <t>Lengua y Literatura</t>
        </is>
      </c>
      <c r="D589" s="486" t="n">
        <v>8.279999999999999</v>
      </c>
      <c r="E589" s="486" t="n">
        <v>8.779999999999999</v>
      </c>
      <c r="F589" s="486" t="n">
        <v>0.5</v>
      </c>
      <c r="G589" s="486" t="inlineStr">
        <is>
          <t>ERROR</t>
        </is>
      </c>
    </row>
    <row r="590" ht="20" customHeight="1" s="225">
      <c r="A590" s="486" t="inlineStr">
        <is>
          <t>8BV</t>
        </is>
      </c>
      <c r="B590" s="486" t="inlineStr">
        <is>
          <t>DUTAN CALLE GAEL MARTIN</t>
        </is>
      </c>
      <c r="C590" s="486" t="inlineStr">
        <is>
          <t>Ciencias Naturales</t>
        </is>
      </c>
      <c r="D590" s="486" t="n">
        <v>7.54</v>
      </c>
      <c r="E590" s="486" t="n">
        <v>7.49</v>
      </c>
      <c r="F590" s="486" t="n">
        <v>0.05</v>
      </c>
      <c r="G590" s="486" t="inlineStr">
        <is>
          <t>ERROR</t>
        </is>
      </c>
    </row>
    <row r="591" ht="20" customHeight="1" s="225">
      <c r="A591" s="486" t="inlineStr">
        <is>
          <t>8BV</t>
        </is>
      </c>
      <c r="B591" s="486" t="inlineStr">
        <is>
          <t>DUTAN CALLE GAEL MARTIN</t>
        </is>
      </c>
      <c r="C591" s="486" t="inlineStr">
        <is>
          <t>Estudios Sociales</t>
        </is>
      </c>
      <c r="D591" s="486" t="n">
        <v>8.57</v>
      </c>
      <c r="E591" s="486" t="n">
        <v>8.949999999999999</v>
      </c>
      <c r="F591" s="486" t="n">
        <v>0.38</v>
      </c>
      <c r="G591" s="486" t="inlineStr">
        <is>
          <t>ERROR</t>
        </is>
      </c>
    </row>
    <row r="592" ht="20" customHeight="1" s="225">
      <c r="A592" s="486" t="inlineStr">
        <is>
          <t>8BV</t>
        </is>
      </c>
      <c r="B592" s="486" t="inlineStr">
        <is>
          <t>DUTAN CALLE GAEL MARTIN</t>
        </is>
      </c>
      <c r="C592" s="486" t="inlineStr">
        <is>
          <t>Promedio Final / P. General</t>
        </is>
      </c>
      <c r="D592" s="486" t="n">
        <v>8.58</v>
      </c>
      <c r="E592" s="486" t="n">
        <v>8.699999999999999</v>
      </c>
      <c r="F592" s="486" t="n">
        <v>0.12</v>
      </c>
      <c r="G592" s="486" t="inlineStr">
        <is>
          <t>ERROR</t>
        </is>
      </c>
    </row>
    <row r="593" ht="20" customHeight="1" s="225">
      <c r="A593" s="486" t="inlineStr">
        <is>
          <t>8BV</t>
        </is>
      </c>
      <c r="B593" s="486" t="inlineStr">
        <is>
          <t>FAJARDO CARDENAS EDWIN ALEXANDER</t>
        </is>
      </c>
      <c r="C593" s="486" t="inlineStr">
        <is>
          <t>Lengua y Literatura</t>
        </is>
      </c>
      <c r="D593" s="486" t="n">
        <v>8.34</v>
      </c>
      <c r="E593" s="486" t="n">
        <v>8.279999999999999</v>
      </c>
      <c r="F593" s="486" t="n">
        <v>0.06</v>
      </c>
      <c r="G593" s="486" t="inlineStr">
        <is>
          <t>ERROR</t>
        </is>
      </c>
    </row>
    <row r="594" ht="20" customHeight="1" s="225">
      <c r="A594" s="486" t="inlineStr">
        <is>
          <t>8BV</t>
        </is>
      </c>
      <c r="B594" s="486" t="inlineStr">
        <is>
          <t>FAJARDO CARDENAS EDWIN ALEXANDER</t>
        </is>
      </c>
      <c r="C594" s="486" t="inlineStr">
        <is>
          <t>Ciencias Naturales</t>
        </is>
      </c>
      <c r="D594" s="486" t="n">
        <v>7.19</v>
      </c>
      <c r="E594" s="486" t="n">
        <v>7.41</v>
      </c>
      <c r="F594" s="486" t="n">
        <v>0.22</v>
      </c>
      <c r="G594" s="486" t="inlineStr">
        <is>
          <t>ERROR</t>
        </is>
      </c>
    </row>
    <row r="595" ht="20" customHeight="1" s="225">
      <c r="A595" s="486" t="inlineStr">
        <is>
          <t>8BV</t>
        </is>
      </c>
      <c r="B595" s="486" t="inlineStr">
        <is>
          <t>FAJARDO CARDENAS EDWIN ALEXANDER</t>
        </is>
      </c>
      <c r="C595" s="486" t="inlineStr">
        <is>
          <t>Estudios Sociales</t>
        </is>
      </c>
      <c r="D595" s="486" t="n">
        <v>8.710000000000001</v>
      </c>
      <c r="E595" s="486" t="n">
        <v>8.43</v>
      </c>
      <c r="F595" s="486" t="n">
        <v>0.28</v>
      </c>
      <c r="G595" s="486" t="inlineStr">
        <is>
          <t>ERROR</t>
        </is>
      </c>
    </row>
    <row r="596" ht="20" customHeight="1" s="225">
      <c r="A596" s="486" t="inlineStr">
        <is>
          <t>8BV</t>
        </is>
      </c>
      <c r="B596" s="486" t="inlineStr">
        <is>
          <t>FARFAN MOROCHO DAMARIS ABIGAIL</t>
        </is>
      </c>
      <c r="C596" s="486" t="inlineStr">
        <is>
          <t>Lengua y Literatura</t>
        </is>
      </c>
      <c r="D596" s="486" t="n">
        <v>8.52</v>
      </c>
      <c r="E596" s="486" t="n">
        <v>8.34</v>
      </c>
      <c r="F596" s="486" t="n">
        <v>0.18</v>
      </c>
      <c r="G596" s="486" t="inlineStr">
        <is>
          <t>ERROR</t>
        </is>
      </c>
    </row>
    <row r="597" ht="20" customHeight="1" s="225">
      <c r="A597" s="486" t="inlineStr">
        <is>
          <t>8BV</t>
        </is>
      </c>
      <c r="B597" s="486" t="inlineStr">
        <is>
          <t>FARFAN MOROCHO DAMARIS ABIGAIL</t>
        </is>
      </c>
      <c r="C597" s="486" t="inlineStr">
        <is>
          <t>Ciencias Naturales</t>
        </is>
      </c>
      <c r="D597" s="486" t="n">
        <v>7.62</v>
      </c>
      <c r="E597" s="486" t="n">
        <v>7.4</v>
      </c>
      <c r="F597" s="486" t="n">
        <v>0.22</v>
      </c>
      <c r="G597" s="486" t="inlineStr">
        <is>
          <t>ERROR</t>
        </is>
      </c>
    </row>
    <row r="598" ht="20" customHeight="1" s="225">
      <c r="A598" s="486" t="inlineStr">
        <is>
          <t>8BV</t>
        </is>
      </c>
      <c r="B598" s="486" t="inlineStr">
        <is>
          <t>FARFAN MOROCHO DAMARIS ABIGAIL</t>
        </is>
      </c>
      <c r="C598" s="486" t="inlineStr">
        <is>
          <t>Estudios Sociales</t>
        </is>
      </c>
      <c r="D598" s="486" t="n">
        <v>8.83</v>
      </c>
      <c r="E598" s="486" t="n">
        <v>8.73</v>
      </c>
      <c r="F598" s="486" t="n">
        <v>0.1</v>
      </c>
      <c r="G598" s="486" t="inlineStr">
        <is>
          <t>ERROR</t>
        </is>
      </c>
    </row>
    <row r="599" ht="20" customHeight="1" s="225">
      <c r="A599" s="486" t="inlineStr">
        <is>
          <t>8BV</t>
        </is>
      </c>
      <c r="B599" s="486" t="inlineStr">
        <is>
          <t>FARFAN MOROCHO DAMARIS ABIGAIL</t>
        </is>
      </c>
      <c r="C599" s="486" t="inlineStr">
        <is>
          <t>Promedio Final / P. General</t>
        </is>
      </c>
      <c r="D599" s="486" t="n">
        <v>8.26</v>
      </c>
      <c r="E599" s="486" t="n">
        <v>8.19</v>
      </c>
      <c r="F599" s="486" t="n">
        <v>0.07000000000000001</v>
      </c>
      <c r="G599" s="486" t="inlineStr">
        <is>
          <t>ERROR</t>
        </is>
      </c>
    </row>
    <row r="600" ht="20" customHeight="1" s="225">
      <c r="A600" s="485" t="inlineStr">
        <is>
          <t>8BV</t>
        </is>
      </c>
      <c r="B600" s="485" t="inlineStr">
        <is>
          <t>FIGUEROA PACHAR JUAN DIEGO</t>
        </is>
      </c>
      <c r="C600" s="485" t="inlineStr">
        <is>
          <t>SOLO EN DOCENTES</t>
        </is>
      </c>
      <c r="D600" s="485" t="inlineStr">
        <is>
          <t>-</t>
        </is>
      </c>
      <c r="E600" s="485" t="inlineStr">
        <is>
          <t>-</t>
        </is>
      </c>
      <c r="F600" s="485" t="inlineStr">
        <is>
          <t>-</t>
        </is>
      </c>
      <c r="G600" s="485" t="inlineStr">
        <is>
          <t>DESFASE DE NÓMINA</t>
        </is>
      </c>
    </row>
    <row r="601" ht="20" customHeight="1" s="225">
      <c r="A601" s="486" t="inlineStr">
        <is>
          <t>8BV</t>
        </is>
      </c>
      <c r="B601" s="486" t="inlineStr">
        <is>
          <t>GUARTASACA BUENO JORGE LUIS</t>
        </is>
      </c>
      <c r="C601" s="486" t="inlineStr">
        <is>
          <t>Lengua y Literatura</t>
        </is>
      </c>
      <c r="D601" s="486" t="n">
        <v>9.68</v>
      </c>
      <c r="E601" s="486" t="n">
        <v>7.78</v>
      </c>
      <c r="F601" s="486" t="n">
        <v>1.9</v>
      </c>
      <c r="G601" s="486" t="inlineStr">
        <is>
          <t>ERROR</t>
        </is>
      </c>
    </row>
    <row r="602" ht="20" customHeight="1" s="225">
      <c r="A602" s="486" t="inlineStr">
        <is>
          <t>8BV</t>
        </is>
      </c>
      <c r="B602" s="486" t="inlineStr">
        <is>
          <t>GUARTASACA BUENO JORGE LUIS</t>
        </is>
      </c>
      <c r="C602" s="486" t="inlineStr">
        <is>
          <t>Estudios Sociales</t>
        </is>
      </c>
      <c r="D602" s="486" t="n">
        <v>8.640000000000001</v>
      </c>
      <c r="E602" s="486" t="n">
        <v>8.15</v>
      </c>
      <c r="F602" s="486" t="n">
        <v>0.49</v>
      </c>
      <c r="G602" s="486" t="inlineStr">
        <is>
          <t>ERROR</t>
        </is>
      </c>
    </row>
    <row r="603" ht="20" customHeight="1" s="225">
      <c r="A603" s="486" t="inlineStr">
        <is>
          <t>8BV</t>
        </is>
      </c>
      <c r="B603" s="486" t="inlineStr">
        <is>
          <t>GUARTASACA BUENO JORGE LUIS</t>
        </is>
      </c>
      <c r="C603" s="486" t="inlineStr">
        <is>
          <t>Promedio Final / P. General</t>
        </is>
      </c>
      <c r="D603" s="486" t="n">
        <v>8.050000000000001</v>
      </c>
      <c r="E603" s="486" t="n">
        <v>7.71</v>
      </c>
      <c r="F603" s="486" t="n">
        <v>0.34</v>
      </c>
      <c r="G603" s="486" t="inlineStr">
        <is>
          <t>ERROR</t>
        </is>
      </c>
    </row>
    <row r="604" ht="20" customHeight="1" s="225">
      <c r="A604" s="486" t="inlineStr">
        <is>
          <t>8BV</t>
        </is>
      </c>
      <c r="B604" s="486" t="inlineStr">
        <is>
          <t>GUZMAN CORDOVA MIRELLA FERNANDA</t>
        </is>
      </c>
      <c r="C604" s="486" t="inlineStr">
        <is>
          <t>Lengua y Literatura</t>
        </is>
      </c>
      <c r="D604" s="486" t="n">
        <v>9.4</v>
      </c>
      <c r="E604" s="486" t="n">
        <v>9.68</v>
      </c>
      <c r="F604" s="486" t="n">
        <v>0.28</v>
      </c>
      <c r="G604" s="486" t="inlineStr">
        <is>
          <t>ERROR</t>
        </is>
      </c>
    </row>
    <row r="605" ht="20" customHeight="1" s="225">
      <c r="A605" s="486" t="inlineStr">
        <is>
          <t>8BV</t>
        </is>
      </c>
      <c r="B605" s="486" t="inlineStr">
        <is>
          <t>GUZMAN CORDOVA MIRELLA FERNANDA</t>
        </is>
      </c>
      <c r="C605" s="486" t="inlineStr">
        <is>
          <t>Estudios Sociales</t>
        </is>
      </c>
      <c r="D605" s="486" t="n">
        <v>8.56</v>
      </c>
      <c r="E605" s="486" t="n">
        <v>9.050000000000001</v>
      </c>
      <c r="F605" s="486" t="n">
        <v>0.49</v>
      </c>
      <c r="G605" s="486" t="inlineStr">
        <is>
          <t>ERROR</t>
        </is>
      </c>
    </row>
    <row r="606" ht="20" customHeight="1" s="225">
      <c r="A606" s="486" t="inlineStr">
        <is>
          <t>8BV</t>
        </is>
      </c>
      <c r="B606" s="486" t="inlineStr">
        <is>
          <t>GUZMAN CORDOVA MIRELLA FERNANDA</t>
        </is>
      </c>
      <c r="C606" s="486" t="inlineStr">
        <is>
          <t>Promedio Final / P. General</t>
        </is>
      </c>
      <c r="D606" s="486" t="n">
        <v>9.24</v>
      </c>
      <c r="E606" s="486" t="n">
        <v>9.35</v>
      </c>
      <c r="F606" s="486" t="n">
        <v>0.11</v>
      </c>
      <c r="G606" s="486" t="inlineStr">
        <is>
          <t>ERROR</t>
        </is>
      </c>
    </row>
    <row r="607" ht="20" customHeight="1" s="225">
      <c r="A607" s="486" t="inlineStr">
        <is>
          <t>8BV</t>
        </is>
      </c>
      <c r="B607" s="486" t="inlineStr">
        <is>
          <t>LEMA CUNUHAY GABRIELA ELIZABETH</t>
        </is>
      </c>
      <c r="C607" s="486" t="inlineStr">
        <is>
          <t>Lengua y Literatura</t>
        </is>
      </c>
      <c r="D607" s="486" t="n">
        <v>7.19</v>
      </c>
      <c r="E607" s="486" t="n">
        <v>9.4</v>
      </c>
      <c r="F607" s="486" t="n">
        <v>2.21</v>
      </c>
      <c r="G607" s="486" t="inlineStr">
        <is>
          <t>ERROR</t>
        </is>
      </c>
    </row>
    <row r="608" ht="20" customHeight="1" s="225">
      <c r="A608" s="486" t="inlineStr">
        <is>
          <t>8BV</t>
        </is>
      </c>
      <c r="B608" s="486" t="inlineStr">
        <is>
          <t>LEMA CUNUHAY GABRIELA ELIZABETH</t>
        </is>
      </c>
      <c r="C608" s="486" t="inlineStr">
        <is>
          <t>Estudios Sociales</t>
        </is>
      </c>
      <c r="D608" s="486" t="n">
        <v>8.56</v>
      </c>
      <c r="E608" s="486" t="n">
        <v>9.050000000000001</v>
      </c>
      <c r="F608" s="486" t="n">
        <v>0.49</v>
      </c>
      <c r="G608" s="486" t="inlineStr">
        <is>
          <t>ERROR</t>
        </is>
      </c>
    </row>
    <row r="609" ht="20" customHeight="1" s="225">
      <c r="A609" s="486" t="inlineStr">
        <is>
          <t>8BV</t>
        </is>
      </c>
      <c r="B609" s="486" t="inlineStr">
        <is>
          <t>LEMA CUNUHAY GABRIELA ELIZABETH</t>
        </is>
      </c>
      <c r="C609" s="486" t="inlineStr">
        <is>
          <t>Promedio Final / P. General</t>
        </is>
      </c>
      <c r="D609" s="486" t="n">
        <v>8.880000000000001</v>
      </c>
      <c r="E609" s="486" t="n">
        <v>9.26</v>
      </c>
      <c r="F609" s="486" t="n">
        <v>0.38</v>
      </c>
      <c r="G609" s="486" t="inlineStr">
        <is>
          <t>ERROR</t>
        </is>
      </c>
    </row>
    <row r="610" ht="20" customHeight="1" s="225">
      <c r="A610" s="486" t="inlineStr">
        <is>
          <t>8BV</t>
        </is>
      </c>
      <c r="B610" s="486" t="inlineStr">
        <is>
          <t>MOROCHO CABRERA DANIELA ALEJANDRA</t>
        </is>
      </c>
      <c r="C610" s="486" t="inlineStr">
        <is>
          <t>Lengua y Literatura</t>
        </is>
      </c>
      <c r="D610" s="486" t="n">
        <v>7.45</v>
      </c>
      <c r="E610" s="486" t="n">
        <v>7.19</v>
      </c>
      <c r="F610" s="486" t="n">
        <v>0.26</v>
      </c>
      <c r="G610" s="486" t="inlineStr">
        <is>
          <t>ERROR</t>
        </is>
      </c>
    </row>
    <row r="611" ht="20" customHeight="1" s="225">
      <c r="A611" s="486" t="inlineStr">
        <is>
          <t>8BV</t>
        </is>
      </c>
      <c r="B611" s="486" t="inlineStr">
        <is>
          <t>MOROCHO CABRERA DANIELA ALEJANDRA</t>
        </is>
      </c>
      <c r="C611" s="486" t="inlineStr">
        <is>
          <t>Estudios Sociales</t>
        </is>
      </c>
      <c r="D611" s="486" t="n">
        <v>8.31</v>
      </c>
      <c r="E611" s="486" t="n">
        <v>8.779999999999999</v>
      </c>
      <c r="F611" s="486" t="n">
        <v>0.47</v>
      </c>
      <c r="G611" s="486" t="inlineStr">
        <is>
          <t>ERROR</t>
        </is>
      </c>
    </row>
    <row r="612" ht="20" customHeight="1" s="225">
      <c r="A612" s="486" t="inlineStr">
        <is>
          <t>8BV</t>
        </is>
      </c>
      <c r="B612" s="486" t="inlineStr">
        <is>
          <t>MOROCHO CABRERA DANIELA ALEJANDRA</t>
        </is>
      </c>
      <c r="C612" s="486" t="inlineStr">
        <is>
          <t>Promedio Final / P. General</t>
        </is>
      </c>
      <c r="D612" s="486" t="n">
        <v>7.62</v>
      </c>
      <c r="E612" s="486" t="n">
        <v>7.65</v>
      </c>
      <c r="F612" s="486" t="n">
        <v>0.03</v>
      </c>
      <c r="G612" s="486" t="inlineStr">
        <is>
          <t>ERROR</t>
        </is>
      </c>
    </row>
    <row r="613" ht="20" customHeight="1" s="225">
      <c r="A613" s="485" t="inlineStr">
        <is>
          <t>8BV</t>
        </is>
      </c>
      <c r="B613" s="485" t="inlineStr">
        <is>
          <t>ORTIZ GUARACA ERICK ALEXANDER</t>
        </is>
      </c>
      <c r="C613" s="485" t="inlineStr">
        <is>
          <t>SOLO EN DOCENTES</t>
        </is>
      </c>
      <c r="D613" s="485" t="inlineStr">
        <is>
          <t>-</t>
        </is>
      </c>
      <c r="E613" s="485" t="inlineStr">
        <is>
          <t>-</t>
        </is>
      </c>
      <c r="F613" s="485" t="inlineStr">
        <is>
          <t>-</t>
        </is>
      </c>
      <c r="G613" s="485" t="inlineStr">
        <is>
          <t>DESFASE DE NÓMINA</t>
        </is>
      </c>
    </row>
    <row r="614" ht="20" customHeight="1" s="225">
      <c r="A614" s="486" t="inlineStr">
        <is>
          <t>8BV</t>
        </is>
      </c>
      <c r="B614" s="486" t="inlineStr">
        <is>
          <t>ORTIZ SAMANIEGO NAYLA PAMELA</t>
        </is>
      </c>
      <c r="C614" s="486" t="inlineStr">
        <is>
          <t>Lengua y Literatura</t>
        </is>
      </c>
      <c r="D614" s="486" t="n">
        <v>9.550000000000001</v>
      </c>
      <c r="E614" s="486" t="n">
        <v>7.21</v>
      </c>
      <c r="F614" s="486" t="n">
        <v>2.34</v>
      </c>
      <c r="G614" s="486" t="inlineStr">
        <is>
          <t>ERROR</t>
        </is>
      </c>
    </row>
    <row r="615" ht="20" customHeight="1" s="225">
      <c r="A615" s="486" t="inlineStr">
        <is>
          <t>8BV</t>
        </is>
      </c>
      <c r="B615" s="486" t="inlineStr">
        <is>
          <t>ORTIZ SAMANIEGO NAYLA PAMELA</t>
        </is>
      </c>
      <c r="C615" s="486" t="inlineStr">
        <is>
          <t>Ciencias Naturales</t>
        </is>
      </c>
      <c r="D615" s="486" t="n">
        <v>5.14</v>
      </c>
      <c r="E615" s="486" t="n">
        <v>6.54</v>
      </c>
      <c r="F615" s="486" t="n">
        <v>1.4</v>
      </c>
      <c r="G615" s="486" t="inlineStr">
        <is>
          <t>ERROR</t>
        </is>
      </c>
    </row>
    <row r="616" ht="20" customHeight="1" s="225">
      <c r="A616" s="486" t="inlineStr">
        <is>
          <t>8BV</t>
        </is>
      </c>
      <c r="B616" s="486" t="inlineStr">
        <is>
          <t>ORTIZ SAMANIEGO NAYLA PAMELA</t>
        </is>
      </c>
      <c r="C616" s="486" t="inlineStr">
        <is>
          <t>Estudios Sociales</t>
        </is>
      </c>
      <c r="D616" s="486" t="n">
        <v>9.01</v>
      </c>
      <c r="E616" s="486" t="n">
        <v>7.96</v>
      </c>
      <c r="F616" s="486" t="n">
        <v>1.05</v>
      </c>
      <c r="G616" s="486" t="inlineStr">
        <is>
          <t>ERROR</t>
        </is>
      </c>
    </row>
    <row r="617" ht="20" customHeight="1" s="225">
      <c r="A617" s="486" t="inlineStr">
        <is>
          <t>8BV</t>
        </is>
      </c>
      <c r="B617" s="486" t="inlineStr">
        <is>
          <t>ORTIZ SAMANIEGO NAYLA PAMELA</t>
        </is>
      </c>
      <c r="C617" s="486" t="inlineStr">
        <is>
          <t>Promedio Final / P. General</t>
        </is>
      </c>
      <c r="D617" s="486" t="n">
        <v>7.92</v>
      </c>
      <c r="E617" s="486" t="n">
        <v>7.64</v>
      </c>
      <c r="F617" s="486" t="n">
        <v>0.28</v>
      </c>
      <c r="G617" s="486" t="inlineStr">
        <is>
          <t>ERROR</t>
        </is>
      </c>
    </row>
    <row r="618" ht="20" customHeight="1" s="225">
      <c r="A618" s="486" t="inlineStr">
        <is>
          <t>8BV</t>
        </is>
      </c>
      <c r="B618" s="486" t="inlineStr">
        <is>
          <t>PAIDA CARVAJAL MARIEL SHANELA</t>
        </is>
      </c>
      <c r="C618" s="486" t="inlineStr">
        <is>
          <t>Lengua y Literatura</t>
        </is>
      </c>
      <c r="D618" s="486" t="n">
        <v>7.45</v>
      </c>
      <c r="E618" s="486" t="n">
        <v>9.550000000000001</v>
      </c>
      <c r="F618" s="486" t="n">
        <v>2.1</v>
      </c>
      <c r="G618" s="486" t="inlineStr">
        <is>
          <t>ERROR</t>
        </is>
      </c>
    </row>
    <row r="619" ht="20" customHeight="1" s="225">
      <c r="A619" s="486" t="inlineStr">
        <is>
          <t>8BV</t>
        </is>
      </c>
      <c r="B619" s="486" t="inlineStr">
        <is>
          <t>PAIDA CARVAJAL MARIEL SHANELA</t>
        </is>
      </c>
      <c r="C619" s="486" t="inlineStr">
        <is>
          <t>Ciencias Naturales</t>
        </is>
      </c>
      <c r="D619" s="486" t="n">
        <v>8.119999999999999</v>
      </c>
      <c r="E619" s="486" t="n">
        <v>9.32</v>
      </c>
      <c r="F619" s="486" t="n">
        <v>1.2</v>
      </c>
      <c r="G619" s="486" t="inlineStr">
        <is>
          <t>ERROR</t>
        </is>
      </c>
    </row>
    <row r="620" ht="20" customHeight="1" s="225">
      <c r="A620" s="486" t="inlineStr">
        <is>
          <t>8BV</t>
        </is>
      </c>
      <c r="B620" s="486" t="inlineStr">
        <is>
          <t>PAIDA CARVAJAL MARIEL SHANELA</t>
        </is>
      </c>
      <c r="C620" s="486" t="inlineStr">
        <is>
          <t>Estudios Sociales</t>
        </is>
      </c>
      <c r="D620" s="486" t="n">
        <v>8.73</v>
      </c>
      <c r="E620" s="486" t="n">
        <v>9.710000000000001</v>
      </c>
      <c r="F620" s="486" t="n">
        <v>0.98</v>
      </c>
      <c r="G620" s="486" t="inlineStr">
        <is>
          <t>ERROR</t>
        </is>
      </c>
    </row>
    <row r="621" ht="20" customHeight="1" s="225">
      <c r="A621" s="486" t="inlineStr">
        <is>
          <t>8BV</t>
        </is>
      </c>
      <c r="B621" s="486" t="inlineStr">
        <is>
          <t>PAIDA CARVAJAL MARIEL SHANELA</t>
        </is>
      </c>
      <c r="C621" s="486" t="inlineStr">
        <is>
          <t>Promedio Final / P. General</t>
        </is>
      </c>
      <c r="D621" s="486" t="n">
        <v>9.02</v>
      </c>
      <c r="E621" s="486" t="n">
        <v>9.640000000000001</v>
      </c>
      <c r="F621" s="486" t="n">
        <v>0.62</v>
      </c>
      <c r="G621" s="486" t="inlineStr">
        <is>
          <t>ERROR</t>
        </is>
      </c>
    </row>
    <row r="622" ht="20" customHeight="1" s="225">
      <c r="A622" s="486" t="inlineStr">
        <is>
          <t>8BV</t>
        </is>
      </c>
      <c r="B622" s="486" t="inlineStr">
        <is>
          <t>PALACIOS GUTIERREZ GUSTAVO ALEJANDRO</t>
        </is>
      </c>
      <c r="C622" s="486" t="inlineStr">
        <is>
          <t>Lengua y Literatura</t>
        </is>
      </c>
      <c r="D622" s="486" t="n">
        <v>7.01</v>
      </c>
      <c r="E622" s="486" t="n">
        <v>7.45</v>
      </c>
      <c r="F622" s="486" t="n">
        <v>0.44</v>
      </c>
      <c r="G622" s="486" t="inlineStr">
        <is>
          <t>ERROR</t>
        </is>
      </c>
    </row>
    <row r="623" ht="20" customHeight="1" s="225">
      <c r="A623" s="486" t="inlineStr">
        <is>
          <t>8BV</t>
        </is>
      </c>
      <c r="B623" s="486" t="inlineStr">
        <is>
          <t>PALACIOS GUTIERREZ GUSTAVO ALEJANDRO</t>
        </is>
      </c>
      <c r="C623" s="486" t="inlineStr">
        <is>
          <t>Estudios Sociales</t>
        </is>
      </c>
      <c r="D623" s="486" t="n">
        <v>9.039999999999999</v>
      </c>
      <c r="E623" s="486" t="n">
        <v>7.84</v>
      </c>
      <c r="F623" s="486" t="n">
        <v>1.2</v>
      </c>
      <c r="G623" s="486" t="inlineStr">
        <is>
          <t>ERROR</t>
        </is>
      </c>
    </row>
    <row r="624" ht="20" customHeight="1" s="225">
      <c r="A624" s="486" t="inlineStr">
        <is>
          <t>8BV</t>
        </is>
      </c>
      <c r="B624" s="486" t="inlineStr">
        <is>
          <t>PALACIOS GUTIERREZ GUSTAVO ALEJANDRO</t>
        </is>
      </c>
      <c r="C624" s="486" t="inlineStr">
        <is>
          <t>Promedio Final / P. General</t>
        </is>
      </c>
      <c r="D624" s="486" t="n">
        <v>8.02</v>
      </c>
      <c r="E624" s="486" t="n">
        <v>7.91</v>
      </c>
      <c r="F624" s="486" t="n">
        <v>0.11</v>
      </c>
      <c r="G624" s="486" t="inlineStr">
        <is>
          <t>ERROR</t>
        </is>
      </c>
    </row>
    <row r="625" ht="20" customHeight="1" s="225">
      <c r="A625" s="486" t="inlineStr">
        <is>
          <t>8BV</t>
        </is>
      </c>
      <c r="B625" s="486" t="inlineStr">
        <is>
          <t>PALLAZHCO CAMPOVERDE QUEVIN ALEXANDER</t>
        </is>
      </c>
      <c r="C625" s="486" t="inlineStr">
        <is>
          <t>Estudios Sociales</t>
        </is>
      </c>
      <c r="D625" s="486" t="n">
        <v>8.789999999999999</v>
      </c>
      <c r="E625" s="486" t="n">
        <v>8.32</v>
      </c>
      <c r="F625" s="486" t="n">
        <v>0.47</v>
      </c>
      <c r="G625" s="486" t="inlineStr">
        <is>
          <t>ERROR</t>
        </is>
      </c>
    </row>
    <row r="626" ht="20" customHeight="1" s="225">
      <c r="A626" s="486" t="inlineStr">
        <is>
          <t>8BV</t>
        </is>
      </c>
      <c r="B626" s="486" t="inlineStr">
        <is>
          <t>PALLAZHCO CAMPOVERDE QUEVIN ALEXANDER</t>
        </is>
      </c>
      <c r="C626" s="486" t="inlineStr">
        <is>
          <t>Promedio Final / P. General</t>
        </is>
      </c>
      <c r="D626" s="486" t="n">
        <v>7.68</v>
      </c>
      <c r="E626" s="486" t="n">
        <v>7.61</v>
      </c>
      <c r="F626" s="486" t="n">
        <v>0.07000000000000001</v>
      </c>
      <c r="G626" s="486" t="inlineStr">
        <is>
          <t>ERROR</t>
        </is>
      </c>
    </row>
    <row r="627" ht="20" customHeight="1" s="225">
      <c r="A627" s="485" t="inlineStr">
        <is>
          <t>8BV</t>
        </is>
      </c>
      <c r="B627" s="485" t="inlineStr">
        <is>
          <t>PERES PERALTA CARLOS GEOVANN</t>
        </is>
      </c>
      <c r="C627" s="485" t="inlineStr">
        <is>
          <t>SOLO EN DOCENTES</t>
        </is>
      </c>
      <c r="D627" s="485" t="inlineStr">
        <is>
          <t>-</t>
        </is>
      </c>
      <c r="E627" s="485" t="inlineStr">
        <is>
          <t>-</t>
        </is>
      </c>
      <c r="F627" s="485" t="inlineStr">
        <is>
          <t>-</t>
        </is>
      </c>
      <c r="G627" s="485" t="inlineStr">
        <is>
          <t>DESFASE DE NÓMINA</t>
        </is>
      </c>
    </row>
    <row r="628" ht="20" customHeight="1" s="225">
      <c r="A628" s="486" t="inlineStr">
        <is>
          <t>8BV</t>
        </is>
      </c>
      <c r="B628" s="486" t="inlineStr">
        <is>
          <t>PUMA NAULA LUIS FERNANDO</t>
        </is>
      </c>
      <c r="C628" s="486" t="inlineStr">
        <is>
          <t>Lengua y Literatura</t>
        </is>
      </c>
      <c r="D628" s="486" t="n">
        <v>8.550000000000001</v>
      </c>
      <c r="E628" s="486" t="n">
        <v>8.890000000000001</v>
      </c>
      <c r="F628" s="486" t="n">
        <v>0.34</v>
      </c>
      <c r="G628" s="486" t="inlineStr">
        <is>
          <t>ERROR</t>
        </is>
      </c>
    </row>
    <row r="629" ht="20" customHeight="1" s="225">
      <c r="A629" s="486" t="inlineStr">
        <is>
          <t>8BV</t>
        </is>
      </c>
      <c r="B629" s="486" t="inlineStr">
        <is>
          <t>PUMA NAULA LUIS FERNANDO</t>
        </is>
      </c>
      <c r="C629" s="486" t="inlineStr">
        <is>
          <t>Estudios Sociales</t>
        </is>
      </c>
      <c r="D629" s="486" t="n">
        <v>8.6</v>
      </c>
      <c r="E629" s="486" t="n">
        <v>8.57</v>
      </c>
      <c r="F629" s="486" t="n">
        <v>0.03</v>
      </c>
      <c r="G629" s="486" t="inlineStr">
        <is>
          <t>ERROR</t>
        </is>
      </c>
    </row>
    <row r="630" ht="20" customHeight="1" s="225">
      <c r="A630" s="486" t="inlineStr">
        <is>
          <t>8BV</t>
        </is>
      </c>
      <c r="B630" s="486" t="inlineStr">
        <is>
          <t>PUMA NAULA LUIS FERNANDO</t>
        </is>
      </c>
      <c r="C630" s="486" t="inlineStr">
        <is>
          <t>Promedio Final / P. General</t>
        </is>
      </c>
      <c r="D630" s="486" t="n">
        <v>8.359999999999999</v>
      </c>
      <c r="E630" s="486" t="n">
        <v>8.4</v>
      </c>
      <c r="F630" s="486" t="n">
        <v>0.04</v>
      </c>
      <c r="G630" s="486" t="inlineStr">
        <is>
          <t>ERROR</t>
        </is>
      </c>
    </row>
    <row r="631" ht="20" customHeight="1" s="225">
      <c r="A631" s="486" t="inlineStr">
        <is>
          <t>8BV</t>
        </is>
      </c>
      <c r="B631" s="486" t="inlineStr">
        <is>
          <t>PUMA ZHAGUI JORDAN STALIN</t>
        </is>
      </c>
      <c r="C631" s="486" t="inlineStr">
        <is>
          <t>Lengua y Literatura</t>
        </is>
      </c>
      <c r="D631" s="486" t="n">
        <v>8.83</v>
      </c>
      <c r="E631" s="486" t="n">
        <v>8.550000000000001</v>
      </c>
      <c r="F631" s="486" t="n">
        <v>0.28</v>
      </c>
      <c r="G631" s="486" t="inlineStr">
        <is>
          <t>ERROR</t>
        </is>
      </c>
    </row>
    <row r="632" ht="20" customHeight="1" s="225">
      <c r="A632" s="486" t="inlineStr">
        <is>
          <t>8BV</t>
        </is>
      </c>
      <c r="B632" s="486" t="inlineStr">
        <is>
          <t>PUMA ZHAGUI JORDAN STALIN</t>
        </is>
      </c>
      <c r="C632" s="486" t="inlineStr">
        <is>
          <t>Estudios Sociales</t>
        </is>
      </c>
      <c r="D632" s="486" t="n">
        <v>8.43</v>
      </c>
      <c r="E632" s="486" t="n">
        <v>8.02</v>
      </c>
      <c r="F632" s="486" t="n">
        <v>0.41</v>
      </c>
      <c r="G632" s="486" t="inlineStr">
        <is>
          <t>ERROR</t>
        </is>
      </c>
    </row>
    <row r="633" ht="20" customHeight="1" s="225">
      <c r="A633" s="486" t="inlineStr">
        <is>
          <t>8BV</t>
        </is>
      </c>
      <c r="B633" s="486" t="inlineStr">
        <is>
          <t>PUMA ZHAGUI JORDAN STALIN</t>
        </is>
      </c>
      <c r="C633" s="486" t="inlineStr">
        <is>
          <t>Promedio Final / P. General</t>
        </is>
      </c>
      <c r="D633" s="486" t="n">
        <v>8.56</v>
      </c>
      <c r="E633" s="486" t="n">
        <v>8.460000000000001</v>
      </c>
      <c r="F633" s="486" t="n">
        <v>0.1</v>
      </c>
      <c r="G633" s="486" t="inlineStr">
        <is>
          <t>ERROR</t>
        </is>
      </c>
    </row>
    <row r="634" ht="20" customHeight="1" s="225">
      <c r="A634" s="486" t="inlineStr">
        <is>
          <t>8BV</t>
        </is>
      </c>
      <c r="B634" s="486" t="inlineStr">
        <is>
          <t>QUIROGA CHACA LESLIE NICOLE</t>
        </is>
      </c>
      <c r="C634" s="486" t="inlineStr">
        <is>
          <t>Lengua y Literatura</t>
        </is>
      </c>
      <c r="D634" s="486" t="n">
        <v>8.68</v>
      </c>
      <c r="E634" s="486" t="n">
        <v>8.83</v>
      </c>
      <c r="F634" s="486" t="n">
        <v>0.15</v>
      </c>
      <c r="G634" s="486" t="inlineStr">
        <is>
          <t>ERROR</t>
        </is>
      </c>
    </row>
    <row r="635" ht="20" customHeight="1" s="225">
      <c r="A635" s="486" t="inlineStr">
        <is>
          <t>8BV</t>
        </is>
      </c>
      <c r="B635" s="486" t="inlineStr">
        <is>
          <t>QUIROGA CHACA LESLIE NICOLE</t>
        </is>
      </c>
      <c r="C635" s="486" t="inlineStr">
        <is>
          <t>Estudios Sociales</t>
        </is>
      </c>
      <c r="D635" s="486" t="n">
        <v>8.43</v>
      </c>
      <c r="E635" s="486" t="n">
        <v>9.08</v>
      </c>
      <c r="F635" s="486" t="n">
        <v>0.65</v>
      </c>
      <c r="G635" s="486" t="inlineStr">
        <is>
          <t>ERROR</t>
        </is>
      </c>
    </row>
    <row r="636" ht="20" customHeight="1" s="225">
      <c r="A636" s="486" t="inlineStr">
        <is>
          <t>8BV</t>
        </is>
      </c>
      <c r="B636" s="486" t="inlineStr">
        <is>
          <t>QUIROGA CHACA LESLIE NICOLE</t>
        </is>
      </c>
      <c r="C636" s="486" t="inlineStr">
        <is>
          <t>Promedio Final / P. General</t>
        </is>
      </c>
      <c r="D636" s="486" t="n">
        <v>8.51</v>
      </c>
      <c r="E636" s="486" t="n">
        <v>8.630000000000001</v>
      </c>
      <c r="F636" s="486" t="n">
        <v>0.12</v>
      </c>
      <c r="G636" s="486" t="inlineStr">
        <is>
          <t>ERROR</t>
        </is>
      </c>
    </row>
    <row r="637" ht="20" customHeight="1" s="225">
      <c r="A637" s="486" t="inlineStr">
        <is>
          <t>8BV</t>
        </is>
      </c>
      <c r="B637" s="486" t="inlineStr">
        <is>
          <t>QUIZHPI ZUÑIGA MARIA PAZ</t>
        </is>
      </c>
      <c r="C637" s="486" t="inlineStr">
        <is>
          <t>Lengua y Literatura</t>
        </is>
      </c>
      <c r="D637" s="486" t="n">
        <v>8.75</v>
      </c>
      <c r="E637" s="486" t="n">
        <v>8.68</v>
      </c>
      <c r="F637" s="486" t="n">
        <v>0.07000000000000001</v>
      </c>
      <c r="G637" s="486" t="inlineStr">
        <is>
          <t>ERROR</t>
        </is>
      </c>
    </row>
    <row r="638" ht="20" customHeight="1" s="225">
      <c r="A638" s="486" t="inlineStr">
        <is>
          <t>8BV</t>
        </is>
      </c>
      <c r="B638" s="486" t="inlineStr">
        <is>
          <t>QUIZHPI ZUÑIGA MARIA PAZ</t>
        </is>
      </c>
      <c r="C638" s="486" t="inlineStr">
        <is>
          <t>Estudios Sociales</t>
        </is>
      </c>
      <c r="D638" s="486" t="n">
        <v>8.67</v>
      </c>
      <c r="E638" s="486" t="n">
        <v>9.380000000000001</v>
      </c>
      <c r="F638" s="486" t="n">
        <v>0.71</v>
      </c>
      <c r="G638" s="486" t="inlineStr">
        <is>
          <t>ERROR</t>
        </is>
      </c>
    </row>
    <row r="639" ht="20" customHeight="1" s="225">
      <c r="A639" s="486" t="inlineStr">
        <is>
          <t>8BV</t>
        </is>
      </c>
      <c r="B639" s="486" t="inlineStr">
        <is>
          <t>QUIZHPI ZUÑIGA MARIA PAZ</t>
        </is>
      </c>
      <c r="C639" s="486" t="inlineStr">
        <is>
          <t>Promedio Final / P. General</t>
        </is>
      </c>
      <c r="D639" s="486" t="n">
        <v>8.630000000000001</v>
      </c>
      <c r="E639" s="486" t="n">
        <v>8.720000000000001</v>
      </c>
      <c r="F639" s="486" t="n">
        <v>0.09</v>
      </c>
      <c r="G639" s="486" t="inlineStr">
        <is>
          <t>ERROR</t>
        </is>
      </c>
    </row>
    <row r="640" ht="20" customHeight="1" s="225">
      <c r="A640" s="486" t="inlineStr">
        <is>
          <t>8BV</t>
        </is>
      </c>
      <c r="B640" s="486" t="inlineStr">
        <is>
          <t>REA VERA ERIKA DANIELA</t>
        </is>
      </c>
      <c r="C640" s="486" t="inlineStr">
        <is>
          <t>Lengua y Literatura</t>
        </is>
      </c>
      <c r="D640" s="486" t="n">
        <v>7.67</v>
      </c>
      <c r="E640" s="486" t="n">
        <v>8.75</v>
      </c>
      <c r="F640" s="486" t="n">
        <v>1.08</v>
      </c>
      <c r="G640" s="486" t="inlineStr">
        <is>
          <t>ERROR</t>
        </is>
      </c>
    </row>
    <row r="641" ht="20" customHeight="1" s="225">
      <c r="A641" s="486" t="inlineStr">
        <is>
          <t>8BV</t>
        </is>
      </c>
      <c r="B641" s="486" t="inlineStr">
        <is>
          <t>REA VERA ERIKA DANIELA</t>
        </is>
      </c>
      <c r="C641" s="486" t="inlineStr">
        <is>
          <t>Estudios Sociales</t>
        </is>
      </c>
      <c r="D641" s="486" t="n">
        <v>9.4</v>
      </c>
      <c r="E641" s="486" t="n">
        <v>9.31</v>
      </c>
      <c r="F641" s="486" t="n">
        <v>0.09</v>
      </c>
      <c r="G641" s="486" t="inlineStr">
        <is>
          <t>ERROR</t>
        </is>
      </c>
    </row>
    <row r="642" ht="20" customHeight="1" s="225">
      <c r="A642" s="486" t="inlineStr">
        <is>
          <t>8BV</t>
        </is>
      </c>
      <c r="B642" s="486" t="inlineStr">
        <is>
          <t>REA VERA ERIKA DANIELA</t>
        </is>
      </c>
      <c r="C642" s="486" t="inlineStr">
        <is>
          <t>Promedio Final / P. General</t>
        </is>
      </c>
      <c r="D642" s="486" t="n">
        <v>8.460000000000001</v>
      </c>
      <c r="E642" s="486" t="n">
        <v>8.609999999999999</v>
      </c>
      <c r="F642" s="486" t="n">
        <v>0.15</v>
      </c>
      <c r="G642" s="486" t="inlineStr">
        <is>
          <t>ERROR</t>
        </is>
      </c>
    </row>
    <row r="643" ht="20" customHeight="1" s="225">
      <c r="A643" s="486" t="inlineStr">
        <is>
          <t>8BV</t>
        </is>
      </c>
      <c r="B643" s="486" t="inlineStr">
        <is>
          <t>RUIZ ARIAS MAGALY SALOME</t>
        </is>
      </c>
      <c r="C643" s="486" t="inlineStr">
        <is>
          <t>Lengua y Literatura</t>
        </is>
      </c>
      <c r="D643" s="486" t="n">
        <v>9.67</v>
      </c>
      <c r="E643" s="486" t="n">
        <v>7.67</v>
      </c>
      <c r="F643" s="486" t="n">
        <v>2</v>
      </c>
      <c r="G643" s="486" t="inlineStr">
        <is>
          <t>ERROR</t>
        </is>
      </c>
    </row>
    <row r="644" ht="20" customHeight="1" s="225">
      <c r="A644" s="486" t="inlineStr">
        <is>
          <t>8BV</t>
        </is>
      </c>
      <c r="B644" s="486" t="inlineStr">
        <is>
          <t>RUIZ ARIAS MAGALY SALOME</t>
        </is>
      </c>
      <c r="C644" s="486" t="inlineStr">
        <is>
          <t>Estudios Sociales</t>
        </is>
      </c>
      <c r="D644" s="486" t="n">
        <v>8.449999999999999</v>
      </c>
      <c r="E644" s="486" t="n">
        <v>8.69</v>
      </c>
      <c r="F644" s="486" t="n">
        <v>0.24</v>
      </c>
      <c r="G644" s="486" t="inlineStr">
        <is>
          <t>ERROR</t>
        </is>
      </c>
    </row>
    <row r="645" ht="20" customHeight="1" s="225">
      <c r="A645" s="486" t="inlineStr">
        <is>
          <t>8BV</t>
        </is>
      </c>
      <c r="B645" s="486" t="inlineStr">
        <is>
          <t>RUIZ ARIAS MAGALY SALOME</t>
        </is>
      </c>
      <c r="C645" s="486" t="inlineStr">
        <is>
          <t>Promedio Final / P. General</t>
        </is>
      </c>
      <c r="D645" s="486" t="n">
        <v>8.23</v>
      </c>
      <c r="E645" s="486" t="n">
        <v>7.98</v>
      </c>
      <c r="F645" s="486" t="n">
        <v>0.25</v>
      </c>
      <c r="G645" s="486" t="inlineStr">
        <is>
          <t>ERROR</t>
        </is>
      </c>
    </row>
    <row r="646" ht="20" customHeight="1" s="225">
      <c r="A646" s="486" t="inlineStr">
        <is>
          <t>8BV</t>
        </is>
      </c>
      <c r="B646" s="486" t="inlineStr">
        <is>
          <t>SANCHO TADAY DAYANA MICHELLE</t>
        </is>
      </c>
      <c r="C646" s="486" t="inlineStr">
        <is>
          <t>Lengua y Literatura</t>
        </is>
      </c>
      <c r="D646" s="486" t="n">
        <v>7.54</v>
      </c>
      <c r="E646" s="486" t="n">
        <v>9.67</v>
      </c>
      <c r="F646" s="486" t="n">
        <v>2.13</v>
      </c>
      <c r="G646" s="486" t="inlineStr">
        <is>
          <t>ERROR</t>
        </is>
      </c>
    </row>
    <row r="647" ht="20" customHeight="1" s="225">
      <c r="A647" s="486" t="inlineStr">
        <is>
          <t>8BV</t>
        </is>
      </c>
      <c r="B647" s="486" t="inlineStr">
        <is>
          <t>SANCHO TADAY DAYANA MICHELLE</t>
        </is>
      </c>
      <c r="C647" s="486" t="inlineStr">
        <is>
          <t>Ciencias Naturales</t>
        </is>
      </c>
      <c r="D647" s="486" t="n">
        <v>8.58</v>
      </c>
      <c r="E647" s="486" t="n">
        <v>8.529999999999999</v>
      </c>
      <c r="F647" s="486" t="n">
        <v>0.05</v>
      </c>
      <c r="G647" s="486" t="inlineStr">
        <is>
          <t>ERROR</t>
        </is>
      </c>
    </row>
    <row r="648" ht="20" customHeight="1" s="225">
      <c r="A648" s="486" t="inlineStr">
        <is>
          <t>8BV</t>
        </is>
      </c>
      <c r="B648" s="486" t="inlineStr">
        <is>
          <t>SANCHO TADAY DAYANA MICHELLE</t>
        </is>
      </c>
      <c r="C648" s="486" t="inlineStr">
        <is>
          <t>Estudios Sociales</t>
        </is>
      </c>
      <c r="D648" s="486" t="n">
        <v>8.640000000000001</v>
      </c>
      <c r="E648" s="486" t="n">
        <v>9.609999999999999</v>
      </c>
      <c r="F648" s="486" t="n">
        <v>0.97</v>
      </c>
      <c r="G648" s="486" t="inlineStr">
        <is>
          <t>ERROR</t>
        </is>
      </c>
    </row>
    <row r="649" ht="20" customHeight="1" s="225">
      <c r="A649" s="486" t="inlineStr">
        <is>
          <t>8BV</t>
        </is>
      </c>
      <c r="B649" s="486" t="inlineStr">
        <is>
          <t>SANCHO TADAY DAYANA MICHELLE</t>
        </is>
      </c>
      <c r="C649" s="486" t="inlineStr">
        <is>
          <t>Promedio Final / P. General</t>
        </is>
      </c>
      <c r="D649" s="486" t="n">
        <v>8.84</v>
      </c>
      <c r="E649" s="486" t="n">
        <v>9.279999999999999</v>
      </c>
      <c r="F649" s="486" t="n">
        <v>0.44</v>
      </c>
      <c r="G649" s="486" t="inlineStr">
        <is>
          <t>ERROR</t>
        </is>
      </c>
    </row>
    <row r="650" ht="20" customHeight="1" s="225">
      <c r="A650" s="486" t="inlineStr">
        <is>
          <t>8BV</t>
        </is>
      </c>
      <c r="B650" s="486" t="inlineStr">
        <is>
          <t>SARANGO AVILA JOSTIN ALEXANDER</t>
        </is>
      </c>
      <c r="C650" s="486" t="inlineStr">
        <is>
          <t>Lengua y Literatura</t>
        </is>
      </c>
      <c r="D650" s="486" t="n">
        <v>8.109999999999999</v>
      </c>
      <c r="E650" s="486" t="n">
        <v>7.54</v>
      </c>
      <c r="F650" s="486" t="n">
        <v>0.57</v>
      </c>
      <c r="G650" s="486" t="inlineStr">
        <is>
          <t>ERROR</t>
        </is>
      </c>
    </row>
    <row r="651" ht="20" customHeight="1" s="225">
      <c r="A651" s="486" t="inlineStr">
        <is>
          <t>8BV</t>
        </is>
      </c>
      <c r="B651" s="486" t="inlineStr">
        <is>
          <t>SARANGO AVILA JOSTIN ALEXANDER</t>
        </is>
      </c>
      <c r="C651" s="486" t="inlineStr">
        <is>
          <t>Estudios Sociales</t>
        </is>
      </c>
      <c r="D651" s="486" t="n">
        <v>7.98</v>
      </c>
      <c r="E651" s="486" t="n">
        <v>7.92</v>
      </c>
      <c r="F651" s="486" t="n">
        <v>0.06</v>
      </c>
      <c r="G651" s="486" t="inlineStr">
        <is>
          <t>ERROR</t>
        </is>
      </c>
    </row>
    <row r="652" ht="20" customHeight="1" s="225">
      <c r="A652" s="486" t="inlineStr">
        <is>
          <t>8BV</t>
        </is>
      </c>
      <c r="B652" s="486" t="inlineStr">
        <is>
          <t>SARANGO AVILA JOSTIN ALEXANDER</t>
        </is>
      </c>
      <c r="C652" s="486" t="inlineStr">
        <is>
          <t>Educación Física</t>
        </is>
      </c>
      <c r="D652" s="486" t="n">
        <v>7.89</v>
      </c>
      <c r="E652" s="486" t="n">
        <v>7.98</v>
      </c>
      <c r="F652" s="486" t="n">
        <v>0.09</v>
      </c>
      <c r="G652" s="486" t="inlineStr">
        <is>
          <t>ERROR</t>
        </is>
      </c>
    </row>
    <row r="653" ht="20" customHeight="1" s="225">
      <c r="A653" s="486" t="inlineStr">
        <is>
          <t>8BV</t>
        </is>
      </c>
      <c r="B653" s="486" t="inlineStr">
        <is>
          <t>SARANGO AVILA JOSTIN ALEXANDER</t>
        </is>
      </c>
      <c r="C653" s="486" t="inlineStr">
        <is>
          <t>Promedio Final / P. General</t>
        </is>
      </c>
      <c r="D653" s="486" t="n">
        <v>7.87</v>
      </c>
      <c r="E653" s="486" t="n">
        <v>7.79</v>
      </c>
      <c r="F653" s="486" t="n">
        <v>0.08</v>
      </c>
      <c r="G653" s="486" t="inlineStr">
        <is>
          <t>ERROR</t>
        </is>
      </c>
    </row>
    <row r="654" ht="20" customHeight="1" s="225">
      <c r="A654" s="486" t="inlineStr">
        <is>
          <t>8BV</t>
        </is>
      </c>
      <c r="B654" s="486" t="inlineStr">
        <is>
          <t>SIAVICHAY CANDO MARCO SEBASTIAN</t>
        </is>
      </c>
      <c r="C654" s="486" t="inlineStr">
        <is>
          <t>Lengua y Literatura</t>
        </is>
      </c>
      <c r="D654" s="486" t="n">
        <v>9.699999999999999</v>
      </c>
      <c r="E654" s="486" t="n">
        <v>8.109999999999999</v>
      </c>
      <c r="F654" s="486" t="n">
        <v>1.59</v>
      </c>
      <c r="G654" s="486" t="inlineStr">
        <is>
          <t>ERROR</t>
        </is>
      </c>
    </row>
    <row r="655" ht="20" customHeight="1" s="225">
      <c r="A655" s="486" t="inlineStr">
        <is>
          <t>8BV</t>
        </is>
      </c>
      <c r="B655" s="486" t="inlineStr">
        <is>
          <t>SIAVICHAY CANDO MARCO SEBASTIAN</t>
        </is>
      </c>
      <c r="C655" s="486" t="inlineStr">
        <is>
          <t>Estudios Sociales</t>
        </is>
      </c>
      <c r="D655" s="486" t="n">
        <v>8.44</v>
      </c>
      <c r="E655" s="486" t="n">
        <v>8.75</v>
      </c>
      <c r="F655" s="486" t="n">
        <v>0.31</v>
      </c>
      <c r="G655" s="486" t="inlineStr">
        <is>
          <t>ERROR</t>
        </is>
      </c>
    </row>
    <row r="656" ht="20" customHeight="1" s="225">
      <c r="A656" s="486" t="inlineStr">
        <is>
          <t>8BV</t>
        </is>
      </c>
      <c r="B656" s="486" t="inlineStr">
        <is>
          <t>SIAVICHAY CANDO MARCO SEBASTIAN</t>
        </is>
      </c>
      <c r="C656" s="486" t="inlineStr">
        <is>
          <t>Promedio Final / P. General</t>
        </is>
      </c>
      <c r="D656" s="486" t="n">
        <v>8.5</v>
      </c>
      <c r="E656" s="486" t="n">
        <v>8.32</v>
      </c>
      <c r="F656" s="486" t="n">
        <v>0.18</v>
      </c>
      <c r="G656" s="486" t="inlineStr">
        <is>
          <t>ERROR</t>
        </is>
      </c>
    </row>
    <row r="657" ht="20" customHeight="1" s="225">
      <c r="A657" s="486" t="inlineStr">
        <is>
          <t>8BV</t>
        </is>
      </c>
      <c r="B657" s="486" t="inlineStr">
        <is>
          <t>SINCHI LEMA VALERIA GUADALUPE</t>
        </is>
      </c>
      <c r="C657" s="486" t="inlineStr">
        <is>
          <t>Lengua y Literatura</t>
        </is>
      </c>
      <c r="D657" s="486" t="n">
        <v>7.19</v>
      </c>
      <c r="E657" s="486" t="n">
        <v>9.699999999999999</v>
      </c>
      <c r="F657" s="486" t="n">
        <v>2.51</v>
      </c>
      <c r="G657" s="486" t="inlineStr">
        <is>
          <t>ERROR</t>
        </is>
      </c>
    </row>
    <row r="658" ht="20" customHeight="1" s="225">
      <c r="A658" s="486" t="inlineStr">
        <is>
          <t>8BV</t>
        </is>
      </c>
      <c r="B658" s="486" t="inlineStr">
        <is>
          <t>SINCHI LEMA VALERIA GUADALUPE</t>
        </is>
      </c>
      <c r="C658" s="486" t="inlineStr">
        <is>
          <t>Estudios Sociales</t>
        </is>
      </c>
      <c r="D658" s="486" t="n">
        <v>9.06</v>
      </c>
      <c r="E658" s="486" t="n">
        <v>9.140000000000001</v>
      </c>
      <c r="F658" s="486" t="n">
        <v>0.08</v>
      </c>
      <c r="G658" s="486" t="inlineStr">
        <is>
          <t>ERROR</t>
        </is>
      </c>
    </row>
    <row r="659" ht="20" customHeight="1" s="225">
      <c r="A659" s="486" t="inlineStr">
        <is>
          <t>8BV</t>
        </is>
      </c>
      <c r="B659" s="486" t="inlineStr">
        <is>
          <t>SINCHI LEMA VALERIA GUADALUPE</t>
        </is>
      </c>
      <c r="C659" s="486" t="inlineStr">
        <is>
          <t>Promedio Final / P. General</t>
        </is>
      </c>
      <c r="D659" s="486" t="n">
        <v>8.84</v>
      </c>
      <c r="E659" s="486" t="n">
        <v>9.210000000000001</v>
      </c>
      <c r="F659" s="486" t="n">
        <v>0.37</v>
      </c>
      <c r="G659" s="486" t="inlineStr">
        <is>
          <t>ERROR</t>
        </is>
      </c>
    </row>
    <row r="660" ht="20" customHeight="1" s="225">
      <c r="A660" s="486" t="inlineStr">
        <is>
          <t>8BV</t>
        </is>
      </c>
      <c r="B660" s="486" t="inlineStr">
        <is>
          <t>TONGOMBOL CARCHIPULLA VERONICA ALEXANDRA</t>
        </is>
      </c>
      <c r="C660" s="486" t="inlineStr">
        <is>
          <t>Lengua y Literatura</t>
        </is>
      </c>
      <c r="D660" s="486" t="n">
        <v>7</v>
      </c>
      <c r="E660" s="486" t="n">
        <v>7.89</v>
      </c>
      <c r="F660" s="486" t="n">
        <v>0.89</v>
      </c>
      <c r="G660" s="486" t="inlineStr">
        <is>
          <t>ERROR</t>
        </is>
      </c>
    </row>
    <row r="661" ht="20" customHeight="1" s="225">
      <c r="A661" s="486" t="inlineStr">
        <is>
          <t>8BV</t>
        </is>
      </c>
      <c r="B661" s="486" t="inlineStr">
        <is>
          <t>TONGOMBOL CARCHIPULLA VERONICA ALEXANDRA</t>
        </is>
      </c>
      <c r="C661" s="486" t="inlineStr">
        <is>
          <t>Estudios Sociales</t>
        </is>
      </c>
      <c r="D661" s="486" t="n">
        <v>8.52</v>
      </c>
      <c r="E661" s="486" t="n">
        <v>8.01</v>
      </c>
      <c r="F661" s="486" t="n">
        <v>0.51</v>
      </c>
      <c r="G661" s="486" t="inlineStr">
        <is>
          <t>ERROR</t>
        </is>
      </c>
    </row>
    <row r="662" ht="20" customHeight="1" s="225">
      <c r="A662" s="486" t="inlineStr">
        <is>
          <t>8BV</t>
        </is>
      </c>
      <c r="B662" s="486" t="inlineStr">
        <is>
          <t>TONGOMBOL CARCHIPULLA VERONICA ALEXANDRA</t>
        </is>
      </c>
      <c r="C662" s="486" t="inlineStr">
        <is>
          <t>Promedio Final / P. General</t>
        </is>
      </c>
      <c r="D662" s="486" t="n">
        <v>7.49</v>
      </c>
      <c r="E662" s="486" t="n">
        <v>7.54</v>
      </c>
      <c r="F662" s="486" t="n">
        <v>0.05</v>
      </c>
      <c r="G662" s="486" t="inlineStr">
        <is>
          <t>ERROR</t>
        </is>
      </c>
    </row>
    <row r="663" ht="20" customHeight="1" s="225">
      <c r="A663" s="486" t="inlineStr">
        <is>
          <t>8BV</t>
        </is>
      </c>
      <c r="B663" s="486" t="inlineStr">
        <is>
          <t>UZHCA JUELA EDWIN FABIAN</t>
        </is>
      </c>
      <c r="C663" s="486" t="inlineStr">
        <is>
          <t>Lengua y Literatura</t>
        </is>
      </c>
      <c r="D663" s="486" t="n">
        <v>8.93</v>
      </c>
      <c r="E663" s="486" t="n">
        <v>7</v>
      </c>
      <c r="F663" s="486" t="n">
        <v>1.93</v>
      </c>
      <c r="G663" s="486" t="inlineStr">
        <is>
          <t>ERROR</t>
        </is>
      </c>
    </row>
    <row r="664" ht="20" customHeight="1" s="225">
      <c r="A664" s="486" t="inlineStr">
        <is>
          <t>8BV</t>
        </is>
      </c>
      <c r="B664" s="486" t="inlineStr">
        <is>
          <t>UZHCA JUELA EDWIN FABIAN</t>
        </is>
      </c>
      <c r="C664" s="486" t="inlineStr">
        <is>
          <t>Estudios Sociales</t>
        </is>
      </c>
      <c r="D664" s="486" t="n">
        <v>9.619999999999999</v>
      </c>
      <c r="E664" s="486" t="n">
        <v>8.390000000000001</v>
      </c>
      <c r="F664" s="486" t="n">
        <v>1.23</v>
      </c>
      <c r="G664" s="486" t="inlineStr">
        <is>
          <t>ERROR</t>
        </is>
      </c>
    </row>
    <row r="665" ht="20" customHeight="1" s="225">
      <c r="A665" s="486" t="inlineStr">
        <is>
          <t>8BV</t>
        </is>
      </c>
      <c r="B665" s="486" t="inlineStr">
        <is>
          <t>UZHCA JUELA EDWIN FABIAN</t>
        </is>
      </c>
      <c r="C665" s="486" t="inlineStr">
        <is>
          <t>Promedio Final / P. General</t>
        </is>
      </c>
      <c r="D665" s="486" t="n">
        <v>7.91</v>
      </c>
      <c r="E665" s="486" t="n">
        <v>7.46</v>
      </c>
      <c r="F665" s="486" t="n">
        <v>0.45</v>
      </c>
      <c r="G665" s="486" t="inlineStr">
        <is>
          <t>ERROR</t>
        </is>
      </c>
    </row>
    <row r="666" ht="20" customHeight="1" s="225">
      <c r="A666" s="486" t="inlineStr">
        <is>
          <t>8BV</t>
        </is>
      </c>
      <c r="B666" s="486" t="inlineStr">
        <is>
          <t>VALDEZ BENAVIDES DENISE CAROLINA</t>
        </is>
      </c>
      <c r="C666" s="486" t="inlineStr">
        <is>
          <t>Lengua y Literatura</t>
        </is>
      </c>
      <c r="D666" s="486" t="n">
        <v>9.84</v>
      </c>
      <c r="E666" s="486" t="n">
        <v>8.93</v>
      </c>
      <c r="F666" s="486" t="n">
        <v>0.91</v>
      </c>
      <c r="G666" s="486" t="inlineStr">
        <is>
          <t>ERROR</t>
        </is>
      </c>
    </row>
    <row r="667" ht="20" customHeight="1" s="225">
      <c r="A667" s="486" t="inlineStr">
        <is>
          <t>8BV</t>
        </is>
      </c>
      <c r="B667" s="486" t="inlineStr">
        <is>
          <t>VALDEZ BENAVIDES DENISE CAROLINA</t>
        </is>
      </c>
      <c r="C667" s="486" t="inlineStr">
        <is>
          <t>Estudios Sociales</t>
        </is>
      </c>
      <c r="D667" s="486" t="n">
        <v>8.76</v>
      </c>
      <c r="E667" s="486" t="n">
        <v>8.699999999999999</v>
      </c>
      <c r="F667" s="486" t="n">
        <v>0.06</v>
      </c>
      <c r="G667" s="486" t="inlineStr">
        <is>
          <t>ERROR</t>
        </is>
      </c>
    </row>
    <row r="668" ht="20" customHeight="1" s="225">
      <c r="A668" s="486" t="inlineStr">
        <is>
          <t>8BV</t>
        </is>
      </c>
      <c r="B668" s="486" t="inlineStr">
        <is>
          <t>VALDEZ BENAVIDES DENISE CAROLINA</t>
        </is>
      </c>
      <c r="C668" s="486" t="inlineStr">
        <is>
          <t>Promedio Final / P. General</t>
        </is>
      </c>
      <c r="D668" s="486" t="n">
        <v>8.609999999999999</v>
      </c>
      <c r="E668" s="486" t="n">
        <v>8.470000000000001</v>
      </c>
      <c r="F668" s="486" t="n">
        <v>0.14</v>
      </c>
      <c r="G668" s="486" t="inlineStr">
        <is>
          <t>ERROR</t>
        </is>
      </c>
    </row>
    <row r="669" ht="20" customHeight="1" s="225">
      <c r="A669" s="486" t="inlineStr">
        <is>
          <t>8BV</t>
        </is>
      </c>
      <c r="B669" s="486" t="inlineStr">
        <is>
          <t>ÑAUTA BARRETO ANDREA MICHELLE</t>
        </is>
      </c>
      <c r="C669" s="486" t="inlineStr">
        <is>
          <t>Lengua y Literatura</t>
        </is>
      </c>
      <c r="D669" s="486" t="n">
        <v>9.550000000000001</v>
      </c>
      <c r="E669" s="486" t="n">
        <v>9.84</v>
      </c>
      <c r="F669" s="486" t="n">
        <v>0.29</v>
      </c>
      <c r="G669" s="486" t="inlineStr">
        <is>
          <t>ERROR</t>
        </is>
      </c>
    </row>
    <row r="670" ht="20" customHeight="1" s="225">
      <c r="A670" s="486" t="inlineStr">
        <is>
          <t>8BV</t>
        </is>
      </c>
      <c r="B670" s="486" t="inlineStr">
        <is>
          <t>ÑAUTA BARRETO ANDREA MICHELLE</t>
        </is>
      </c>
      <c r="C670" s="486" t="inlineStr">
        <is>
          <t>Promedio Final / P. General</t>
        </is>
      </c>
      <c r="D670" s="486" t="n">
        <v>9.380000000000001</v>
      </c>
      <c r="E670" s="486" t="n">
        <v>9.460000000000001</v>
      </c>
      <c r="F670" s="486" t="n">
        <v>0.08</v>
      </c>
      <c r="G670" s="486" t="inlineStr">
        <is>
          <t>ERROR</t>
        </is>
      </c>
    </row>
    <row r="671" ht="20" customHeight="1" s="225">
      <c r="A671" s="485" t="inlineStr">
        <is>
          <t>8BV</t>
        </is>
      </c>
      <c r="B671" s="485" t="inlineStr">
        <is>
          <t>FIGUEROA PACCHA JUAN DIEGO</t>
        </is>
      </c>
      <c r="C671" s="485" t="inlineStr">
        <is>
          <t>SOLO EN SISTEMA</t>
        </is>
      </c>
      <c r="D671" s="485" t="inlineStr">
        <is>
          <t>-</t>
        </is>
      </c>
      <c r="E671" s="485" t="inlineStr">
        <is>
          <t>-</t>
        </is>
      </c>
      <c r="F671" s="485" t="inlineStr">
        <is>
          <t>-</t>
        </is>
      </c>
      <c r="G671" s="485" t="inlineStr">
        <is>
          <t>DESFASE DE NÓMINA</t>
        </is>
      </c>
    </row>
    <row r="672" ht="20" customHeight="1" s="225">
      <c r="A672" s="485" t="inlineStr">
        <is>
          <t>8BV</t>
        </is>
      </c>
      <c r="B672" s="485" t="inlineStr">
        <is>
          <t>ORTIZ GUARACA ERIC ALEXANDER</t>
        </is>
      </c>
      <c r="C672" s="485" t="inlineStr">
        <is>
          <t>SOLO EN SISTEMA</t>
        </is>
      </c>
      <c r="D672" s="485" t="inlineStr">
        <is>
          <t>-</t>
        </is>
      </c>
      <c r="E672" s="485" t="inlineStr">
        <is>
          <t>-</t>
        </is>
      </c>
      <c r="F672" s="485" t="inlineStr">
        <is>
          <t>-</t>
        </is>
      </c>
      <c r="G672" s="485" t="inlineStr">
        <is>
          <t>DESFASE DE NÓMINA</t>
        </is>
      </c>
    </row>
    <row r="673" ht="20" customHeight="1" s="225">
      <c r="A673" s="485" t="inlineStr">
        <is>
          <t>8BV</t>
        </is>
      </c>
      <c r="B673" s="485" t="inlineStr">
        <is>
          <t>PERES PERALTA CARLOS GEOVANNY</t>
        </is>
      </c>
      <c r="C673" s="485" t="inlineStr">
        <is>
          <t>SOLO EN SISTEMA</t>
        </is>
      </c>
      <c r="D673" s="485" t="inlineStr">
        <is>
          <t>-</t>
        </is>
      </c>
      <c r="E673" s="485" t="inlineStr">
        <is>
          <t>-</t>
        </is>
      </c>
      <c r="F673" s="485" t="inlineStr">
        <is>
          <t>-</t>
        </is>
      </c>
      <c r="G673" s="485" t="inlineStr">
        <is>
          <t>DESFASE DE NÓMINA</t>
        </is>
      </c>
    </row>
    <row r="674" ht="20" customHeight="1" s="225">
      <c r="A674" s="486" t="inlineStr">
        <is>
          <t>9AV</t>
        </is>
      </c>
      <c r="B674" s="486" t="inlineStr">
        <is>
          <t>AUCAPIÑA PINEDA LUIS ALEJANDRO</t>
        </is>
      </c>
      <c r="C674" s="486" t="inlineStr">
        <is>
          <t>Lengua y Literatura</t>
        </is>
      </c>
      <c r="D674" s="486" t="n">
        <v>8.33</v>
      </c>
      <c r="E674" s="486" t="n">
        <v>8.66</v>
      </c>
      <c r="F674" s="486" t="n">
        <v>0.33</v>
      </c>
      <c r="G674" s="486" t="inlineStr">
        <is>
          <t>ERROR</t>
        </is>
      </c>
    </row>
    <row r="675" ht="20" customHeight="1" s="225">
      <c r="A675" s="486" t="inlineStr">
        <is>
          <t>9AV</t>
        </is>
      </c>
      <c r="B675" s="486" t="inlineStr">
        <is>
          <t>AUCAPIÑA PINEDA LUIS ALEJANDRO</t>
        </is>
      </c>
      <c r="C675" s="486" t="inlineStr">
        <is>
          <t>Promedio Final / P. General</t>
        </is>
      </c>
      <c r="D675" s="486" t="n">
        <v>8.09</v>
      </c>
      <c r="E675" s="486" t="n">
        <v>8.130000000000001</v>
      </c>
      <c r="F675" s="486" t="n">
        <v>0.04</v>
      </c>
      <c r="G675" s="486" t="inlineStr">
        <is>
          <t>ERROR</t>
        </is>
      </c>
    </row>
    <row r="676" ht="20" customHeight="1" s="225">
      <c r="A676" s="486" t="inlineStr">
        <is>
          <t>9AV</t>
        </is>
      </c>
      <c r="B676" s="486" t="inlineStr">
        <is>
          <t>BONILLA CANDO PAULA GABRIELA</t>
        </is>
      </c>
      <c r="C676" s="486" t="inlineStr">
        <is>
          <t>Lengua y Literatura</t>
        </is>
      </c>
      <c r="D676" s="486" t="n">
        <v>9.279999999999999</v>
      </c>
      <c r="E676" s="486" t="n">
        <v>9.210000000000001</v>
      </c>
      <c r="F676" s="486" t="n">
        <v>0.07000000000000001</v>
      </c>
      <c r="G676" s="486" t="inlineStr">
        <is>
          <t>ERROR</t>
        </is>
      </c>
    </row>
    <row r="677" ht="20" customHeight="1" s="225">
      <c r="A677" s="486" t="inlineStr">
        <is>
          <t>9AV</t>
        </is>
      </c>
      <c r="B677" s="486" t="inlineStr">
        <is>
          <t>BONILLA CANDO PAULA GABRIELA</t>
        </is>
      </c>
      <c r="C677" s="486" t="inlineStr">
        <is>
          <t>Estudios Sociales</t>
        </is>
      </c>
      <c r="D677" s="486" t="n">
        <v>8.880000000000001</v>
      </c>
      <c r="E677" s="486" t="n">
        <v>8.960000000000001</v>
      </c>
      <c r="F677" s="486" t="n">
        <v>0.08</v>
      </c>
      <c r="G677" s="486" t="inlineStr">
        <is>
          <t>ERROR</t>
        </is>
      </c>
    </row>
    <row r="678" ht="20" customHeight="1" s="225">
      <c r="A678" s="486" t="inlineStr">
        <is>
          <t>9AV</t>
        </is>
      </c>
      <c r="B678" s="486" t="inlineStr">
        <is>
          <t>BONILLA CANDO PAULA GABRIELA</t>
        </is>
      </c>
      <c r="C678" s="486" t="inlineStr">
        <is>
          <t>Inglés</t>
        </is>
      </c>
      <c r="D678" s="486" t="n">
        <v>9.25</v>
      </c>
      <c r="E678" s="486" t="n">
        <v>9.67</v>
      </c>
      <c r="F678" s="486" t="n">
        <v>0.42</v>
      </c>
      <c r="G678" s="486" t="inlineStr">
        <is>
          <t>ERROR</t>
        </is>
      </c>
    </row>
    <row r="679" ht="20" customHeight="1" s="225">
      <c r="A679" s="486" t="inlineStr">
        <is>
          <t>9AV</t>
        </is>
      </c>
      <c r="B679" s="486" t="inlineStr">
        <is>
          <t>BONILLA CANDO PAULA GABRIELA</t>
        </is>
      </c>
      <c r="C679" s="486" t="inlineStr">
        <is>
          <t>Promedio Final / P. General</t>
        </is>
      </c>
      <c r="D679" s="486" t="n">
        <v>8.970000000000001</v>
      </c>
      <c r="E679" s="486" t="n">
        <v>9.029999999999999</v>
      </c>
      <c r="F679" s="486" t="n">
        <v>0.06</v>
      </c>
      <c r="G679" s="486" t="inlineStr">
        <is>
          <t>ERROR</t>
        </is>
      </c>
    </row>
    <row r="680" ht="20" customHeight="1" s="225">
      <c r="A680" s="486" t="inlineStr">
        <is>
          <t>9AV</t>
        </is>
      </c>
      <c r="B680" s="486" t="inlineStr">
        <is>
          <t>CACHIGUANGO PINEDA JOSTYN DIDIER</t>
        </is>
      </c>
      <c r="C680" s="486" t="inlineStr">
        <is>
          <t>Lengua y Literatura</t>
        </is>
      </c>
      <c r="D680" s="486" t="n">
        <v>7.96</v>
      </c>
      <c r="E680" s="486" t="n">
        <v>7.53</v>
      </c>
      <c r="F680" s="486" t="n">
        <v>0.43</v>
      </c>
      <c r="G680" s="486" t="inlineStr">
        <is>
          <t>ERROR</t>
        </is>
      </c>
    </row>
    <row r="681" ht="20" customHeight="1" s="225">
      <c r="A681" s="486" t="inlineStr">
        <is>
          <t>9AV</t>
        </is>
      </c>
      <c r="B681" s="486" t="inlineStr">
        <is>
          <t>CACHIGUANGO PINEDA JOSTYN DIDIER</t>
        </is>
      </c>
      <c r="C681" s="486" t="inlineStr">
        <is>
          <t>Estudios Sociales</t>
        </is>
      </c>
      <c r="D681" s="486" t="n">
        <v>8.35</v>
      </c>
      <c r="E681" s="486" t="n">
        <v>7.96</v>
      </c>
      <c r="F681" s="486" t="n">
        <v>0.39</v>
      </c>
      <c r="G681" s="486" t="inlineStr">
        <is>
          <t>ERROR</t>
        </is>
      </c>
    </row>
    <row r="682" ht="20" customHeight="1" s="225">
      <c r="A682" s="486" t="inlineStr">
        <is>
          <t>9AV</t>
        </is>
      </c>
      <c r="B682" s="486" t="inlineStr">
        <is>
          <t>CACHIGUANGO PINEDA JOSTYN DIDIER</t>
        </is>
      </c>
      <c r="C682" s="486" t="inlineStr">
        <is>
          <t>Inglés</t>
        </is>
      </c>
      <c r="D682" s="486" t="n">
        <v>8.17</v>
      </c>
      <c r="E682" s="486" t="n">
        <v>7.41</v>
      </c>
      <c r="F682" s="486" t="n">
        <v>0.76</v>
      </c>
      <c r="G682" s="486" t="inlineStr">
        <is>
          <t>ERROR</t>
        </is>
      </c>
    </row>
    <row r="683" ht="20" customHeight="1" s="225">
      <c r="A683" s="486" t="inlineStr">
        <is>
          <t>9AV</t>
        </is>
      </c>
      <c r="B683" s="486" t="inlineStr">
        <is>
          <t>CACHIGUANGO PINEDA JOSTYN DIDIER</t>
        </is>
      </c>
      <c r="C683" s="486" t="inlineStr">
        <is>
          <t>Promedio Final / P. General</t>
        </is>
      </c>
      <c r="D683" s="486" t="n">
        <v>7.67</v>
      </c>
      <c r="E683" s="486" t="n">
        <v>7.45</v>
      </c>
      <c r="F683" s="486" t="n">
        <v>0.22</v>
      </c>
      <c r="G683" s="486" t="inlineStr">
        <is>
          <t>ERROR</t>
        </is>
      </c>
    </row>
    <row r="684" ht="20" customHeight="1" s="225">
      <c r="A684" s="486" t="inlineStr">
        <is>
          <t>9AV</t>
        </is>
      </c>
      <c r="B684" s="486" t="inlineStr">
        <is>
          <t>CALLE HURTADO CRISTOBAL SEBASTIAN</t>
        </is>
      </c>
      <c r="C684" s="486" t="inlineStr">
        <is>
          <t>Estudios Sociales</t>
        </is>
      </c>
      <c r="D684" s="486" t="n">
        <v>7.65</v>
      </c>
      <c r="E684" s="486" t="n">
        <v>8.449999999999999</v>
      </c>
      <c r="F684" s="486" t="n">
        <v>0.8</v>
      </c>
      <c r="G684" s="486" t="inlineStr">
        <is>
          <t>ERROR</t>
        </is>
      </c>
    </row>
    <row r="685" ht="20" customHeight="1" s="225">
      <c r="A685" s="486" t="inlineStr">
        <is>
          <t>9AV</t>
        </is>
      </c>
      <c r="B685" s="486" t="inlineStr">
        <is>
          <t>CALLE HURTADO CRISTOBAL SEBASTIAN</t>
        </is>
      </c>
      <c r="C685" s="486" t="inlineStr">
        <is>
          <t>Inglés</t>
        </is>
      </c>
      <c r="D685" s="486" t="n">
        <v>7.78</v>
      </c>
      <c r="E685" s="486" t="n">
        <v>7.49</v>
      </c>
      <c r="F685" s="486" t="n">
        <v>0.29</v>
      </c>
      <c r="G685" s="486" t="inlineStr">
        <is>
          <t>ERROR</t>
        </is>
      </c>
    </row>
    <row r="686" ht="20" customHeight="1" s="225">
      <c r="A686" s="486" t="inlineStr">
        <is>
          <t>9AV</t>
        </is>
      </c>
      <c r="B686" s="486" t="inlineStr">
        <is>
          <t>CALLE HURTADO CRISTOBAL SEBASTIAN</t>
        </is>
      </c>
      <c r="C686" s="486" t="inlineStr">
        <is>
          <t>Educación Cultural y Artística</t>
        </is>
      </c>
      <c r="D686" s="486" t="n">
        <v>7.86</v>
      </c>
      <c r="E686" s="486" t="n">
        <v>7.92</v>
      </c>
      <c r="F686" s="486" t="n">
        <v>0.06</v>
      </c>
      <c r="G686" s="486" t="inlineStr">
        <is>
          <t>ERROR</t>
        </is>
      </c>
    </row>
    <row r="687" ht="20" customHeight="1" s="225">
      <c r="A687" s="486" t="inlineStr">
        <is>
          <t>9AV</t>
        </is>
      </c>
      <c r="B687" s="486" t="inlineStr">
        <is>
          <t>CALLE HURTADO CRISTOBAL SEBASTIAN</t>
        </is>
      </c>
      <c r="C687" s="486" t="inlineStr">
        <is>
          <t>Promedio Final / P. General</t>
        </is>
      </c>
      <c r="D687" s="486" t="n">
        <v>7.61</v>
      </c>
      <c r="E687" s="486" t="n">
        <v>7.69</v>
      </c>
      <c r="F687" s="486" t="n">
        <v>0.08</v>
      </c>
      <c r="G687" s="486" t="inlineStr">
        <is>
          <t>ERROR</t>
        </is>
      </c>
    </row>
    <row r="688" ht="20" customHeight="1" s="225">
      <c r="A688" s="486" t="inlineStr">
        <is>
          <t>9AV</t>
        </is>
      </c>
      <c r="B688" s="486" t="inlineStr">
        <is>
          <t>CALLE SALTO MONICA ALEXANDRA</t>
        </is>
      </c>
      <c r="C688" s="486" t="inlineStr">
        <is>
          <t>Lengua y Literatura</t>
        </is>
      </c>
      <c r="D688" s="486" t="n">
        <v>7.84</v>
      </c>
      <c r="E688" s="486" t="n">
        <v>8.140000000000001</v>
      </c>
      <c r="F688" s="486" t="n">
        <v>0.3</v>
      </c>
      <c r="G688" s="486" t="inlineStr">
        <is>
          <t>ERROR</t>
        </is>
      </c>
    </row>
    <row r="689" ht="20" customHeight="1" s="225">
      <c r="A689" s="486" t="inlineStr">
        <is>
          <t>9AV</t>
        </is>
      </c>
      <c r="B689" s="486" t="inlineStr">
        <is>
          <t>CALLE SALTO MONICA ALEXANDRA</t>
        </is>
      </c>
      <c r="C689" s="486" t="inlineStr">
        <is>
          <t>Estudios Sociales</t>
        </is>
      </c>
      <c r="D689" s="486" t="n">
        <v>8.85</v>
      </c>
      <c r="E689" s="486" t="n">
        <v>8</v>
      </c>
      <c r="F689" s="486" t="n">
        <v>0.85</v>
      </c>
      <c r="G689" s="486" t="inlineStr">
        <is>
          <t>ERROR</t>
        </is>
      </c>
    </row>
    <row r="690" ht="20" customHeight="1" s="225">
      <c r="A690" s="486" t="inlineStr">
        <is>
          <t>9AV</t>
        </is>
      </c>
      <c r="B690" s="486" t="inlineStr">
        <is>
          <t>CALLE SALTO MONICA ALEXANDRA</t>
        </is>
      </c>
      <c r="C690" s="486" t="inlineStr">
        <is>
          <t>Promedio Final / P. General</t>
        </is>
      </c>
      <c r="D690" s="486" t="n">
        <v>8.109999999999999</v>
      </c>
      <c r="E690" s="486" t="n">
        <v>8.029999999999999</v>
      </c>
      <c r="F690" s="486" t="n">
        <v>0.08</v>
      </c>
      <c r="G690" s="486" t="inlineStr">
        <is>
          <t>ERROR</t>
        </is>
      </c>
    </row>
    <row r="691" ht="20" customHeight="1" s="225">
      <c r="A691" s="486" t="inlineStr">
        <is>
          <t>9AV</t>
        </is>
      </c>
      <c r="B691" s="486" t="inlineStr">
        <is>
          <t>CAMPOVERDE CARDENAS JOSUE ISRAEL</t>
        </is>
      </c>
      <c r="C691" s="486" t="inlineStr">
        <is>
          <t>Lengua y Literatura</t>
        </is>
      </c>
      <c r="D691" s="486" t="n">
        <v>7.62</v>
      </c>
      <c r="E691" s="486" t="n">
        <v>7.41</v>
      </c>
      <c r="F691" s="486" t="n">
        <v>0.21</v>
      </c>
      <c r="G691" s="486" t="inlineStr">
        <is>
          <t>ERROR</t>
        </is>
      </c>
    </row>
    <row r="692" ht="20" customHeight="1" s="225">
      <c r="A692" s="486" t="inlineStr">
        <is>
          <t>9AV</t>
        </is>
      </c>
      <c r="B692" s="486" t="inlineStr">
        <is>
          <t>CAMPOVERDE CARDENAS JOSUE ISRAEL</t>
        </is>
      </c>
      <c r="C692" s="486" t="inlineStr">
        <is>
          <t>Estudios Sociales</t>
        </is>
      </c>
      <c r="D692" s="486" t="n">
        <v>8.630000000000001</v>
      </c>
      <c r="E692" s="486" t="n">
        <v>8.92</v>
      </c>
      <c r="F692" s="486" t="n">
        <v>0.29</v>
      </c>
      <c r="G692" s="486" t="inlineStr">
        <is>
          <t>ERROR</t>
        </is>
      </c>
    </row>
    <row r="693" ht="20" customHeight="1" s="225">
      <c r="A693" s="486" t="inlineStr">
        <is>
          <t>9AV</t>
        </is>
      </c>
      <c r="B693" s="486" t="inlineStr">
        <is>
          <t>CARDENAS ZARATE AMY DAMARIS</t>
        </is>
      </c>
      <c r="C693" s="486" t="inlineStr">
        <is>
          <t>Lengua y Literatura</t>
        </is>
      </c>
      <c r="D693" s="486" t="n">
        <v>8.59</v>
      </c>
      <c r="E693" s="486" t="n">
        <v>9.02</v>
      </c>
      <c r="F693" s="486" t="n">
        <v>0.43</v>
      </c>
      <c r="G693" s="486" t="inlineStr">
        <is>
          <t>ERROR</t>
        </is>
      </c>
    </row>
    <row r="694" ht="20" customHeight="1" s="225">
      <c r="A694" s="486" t="inlineStr">
        <is>
          <t>9AV</t>
        </is>
      </c>
      <c r="B694" s="486" t="inlineStr">
        <is>
          <t>CARDENAS ZARATE AMY DAMARIS</t>
        </is>
      </c>
      <c r="C694" s="486" t="inlineStr">
        <is>
          <t>Estudios Sociales</t>
        </is>
      </c>
      <c r="D694" s="486" t="n">
        <v>8.15</v>
      </c>
      <c r="E694" s="486" t="n">
        <v>8.85</v>
      </c>
      <c r="F694" s="486" t="n">
        <v>0.7</v>
      </c>
      <c r="G694" s="486" t="inlineStr">
        <is>
          <t>ERROR</t>
        </is>
      </c>
    </row>
    <row r="695" ht="20" customHeight="1" s="225">
      <c r="A695" s="486" t="inlineStr">
        <is>
          <t>9AV</t>
        </is>
      </c>
      <c r="B695" s="486" t="inlineStr">
        <is>
          <t>CARDENAS ZARATE AMY DAMARIS</t>
        </is>
      </c>
      <c r="C695" s="486" t="inlineStr">
        <is>
          <t>Promedio Final / P. General</t>
        </is>
      </c>
      <c r="D695" s="486" t="n">
        <v>8.550000000000001</v>
      </c>
      <c r="E695" s="486" t="n">
        <v>8.710000000000001</v>
      </c>
      <c r="F695" s="486" t="n">
        <v>0.16</v>
      </c>
      <c r="G695" s="486" t="inlineStr">
        <is>
          <t>ERROR</t>
        </is>
      </c>
    </row>
    <row r="696" ht="20" customHeight="1" s="225">
      <c r="A696" s="486" t="inlineStr">
        <is>
          <t>9AV</t>
        </is>
      </c>
      <c r="B696" s="486" t="inlineStr">
        <is>
          <t>CRUZ LALVAY CRISTOPHER MATIAS</t>
        </is>
      </c>
      <c r="C696" s="486" t="inlineStr">
        <is>
          <t>Lengua y Literatura</t>
        </is>
      </c>
      <c r="D696" s="486" t="n">
        <v>8.289999999999999</v>
      </c>
      <c r="E696" s="486" t="n">
        <v>7.68</v>
      </c>
      <c r="F696" s="486" t="n">
        <v>0.61</v>
      </c>
      <c r="G696" s="486" t="inlineStr">
        <is>
          <t>ERROR</t>
        </is>
      </c>
    </row>
    <row r="697" ht="20" customHeight="1" s="225">
      <c r="A697" s="486" t="inlineStr">
        <is>
          <t>9AV</t>
        </is>
      </c>
      <c r="B697" s="486" t="inlineStr">
        <is>
          <t>CRUZ LALVAY CRISTOPHER MATIAS</t>
        </is>
      </c>
      <c r="C697" s="486" t="inlineStr">
        <is>
          <t>Estudios Sociales</t>
        </is>
      </c>
      <c r="D697" s="486" t="n">
        <v>7.32</v>
      </c>
      <c r="E697" s="486" t="n">
        <v>7.5</v>
      </c>
      <c r="F697" s="486" t="n">
        <v>0.18</v>
      </c>
      <c r="G697" s="486" t="inlineStr">
        <is>
          <t>ERROR</t>
        </is>
      </c>
    </row>
    <row r="698" ht="20" customHeight="1" s="225">
      <c r="A698" s="486" t="inlineStr">
        <is>
          <t>9AV</t>
        </is>
      </c>
      <c r="B698" s="486" t="inlineStr">
        <is>
          <t>CRUZ LALVAY CRISTOPHER MATIAS</t>
        </is>
      </c>
      <c r="C698" s="486" t="inlineStr">
        <is>
          <t>Promedio Final / P. General</t>
        </is>
      </c>
      <c r="D698" s="486" t="n">
        <v>7.41</v>
      </c>
      <c r="E698" s="486" t="n">
        <v>7.35</v>
      </c>
      <c r="F698" s="486" t="n">
        <v>0.06</v>
      </c>
      <c r="G698" s="486" t="inlineStr">
        <is>
          <t>ERROR</t>
        </is>
      </c>
    </row>
    <row r="699" ht="20" customHeight="1" s="225">
      <c r="A699" s="486" t="inlineStr">
        <is>
          <t>9AV</t>
        </is>
      </c>
      <c r="B699" s="486" t="inlineStr">
        <is>
          <t>CRUZ TORRES MELANIE NICOLE</t>
        </is>
      </c>
      <c r="C699" s="486" t="inlineStr">
        <is>
          <t>Lengua y Literatura</t>
        </is>
      </c>
      <c r="D699" s="486" t="n">
        <v>8.09</v>
      </c>
      <c r="E699" s="486" t="n">
        <v>8.34</v>
      </c>
      <c r="F699" s="486" t="n">
        <v>0.25</v>
      </c>
      <c r="G699" s="486" t="inlineStr">
        <is>
          <t>ERROR</t>
        </is>
      </c>
    </row>
    <row r="700" ht="20" customHeight="1" s="225">
      <c r="A700" s="486" t="inlineStr">
        <is>
          <t>9AV</t>
        </is>
      </c>
      <c r="B700" s="486" t="inlineStr">
        <is>
          <t>CRUZ TORRES MELANIE NICOLE</t>
        </is>
      </c>
      <c r="C700" s="486" t="inlineStr">
        <is>
          <t>Estudios Sociales</t>
        </is>
      </c>
      <c r="D700" s="486" t="n">
        <v>9.26</v>
      </c>
      <c r="E700" s="486" t="n">
        <v>7.85</v>
      </c>
      <c r="F700" s="486" t="n">
        <v>1.41</v>
      </c>
      <c r="G700" s="486" t="inlineStr">
        <is>
          <t>ERROR</t>
        </is>
      </c>
    </row>
    <row r="701" ht="20" customHeight="1" s="225">
      <c r="A701" s="486" t="inlineStr">
        <is>
          <t>9AV</t>
        </is>
      </c>
      <c r="B701" s="486" t="inlineStr">
        <is>
          <t>CRUZ TORRES MELANIE NICOLE</t>
        </is>
      </c>
      <c r="C701" s="486" t="inlineStr">
        <is>
          <t>Promedio Final / P. General</t>
        </is>
      </c>
      <c r="D701" s="486" t="n">
        <v>8.42</v>
      </c>
      <c r="E701" s="486" t="n">
        <v>8.26</v>
      </c>
      <c r="F701" s="486" t="n">
        <v>0.16</v>
      </c>
      <c r="G701" s="486" t="inlineStr">
        <is>
          <t>ERROR</t>
        </is>
      </c>
    </row>
    <row r="702" ht="20" customHeight="1" s="225">
      <c r="A702" s="486" t="inlineStr">
        <is>
          <t>9AV</t>
        </is>
      </c>
      <c r="B702" s="486" t="inlineStr">
        <is>
          <t>ENRIQUEZ CAJAMARCA ELVIS LEONARDO</t>
        </is>
      </c>
      <c r="C702" s="486" t="inlineStr">
        <is>
          <t>Lengua y Literatura</t>
        </is>
      </c>
      <c r="D702" s="486" t="n">
        <v>8.789999999999999</v>
      </c>
      <c r="E702" s="486" t="n">
        <v>9.07</v>
      </c>
      <c r="F702" s="486" t="n">
        <v>0.28</v>
      </c>
      <c r="G702" s="486" t="inlineStr">
        <is>
          <t>ERROR</t>
        </is>
      </c>
    </row>
    <row r="703" ht="20" customHeight="1" s="225">
      <c r="A703" s="486" t="inlineStr">
        <is>
          <t>9AV</t>
        </is>
      </c>
      <c r="B703" s="486" t="inlineStr">
        <is>
          <t>ENRIQUEZ CAJAMARCA ELVIS LEONARDO</t>
        </is>
      </c>
      <c r="C703" s="486" t="inlineStr">
        <is>
          <t>Estudios Sociales</t>
        </is>
      </c>
      <c r="D703" s="486" t="n">
        <v>8.859999999999999</v>
      </c>
      <c r="E703" s="486" t="n">
        <v>9.16</v>
      </c>
      <c r="F703" s="486" t="n">
        <v>0.3</v>
      </c>
      <c r="G703" s="486" t="inlineStr">
        <is>
          <t>ERROR</t>
        </is>
      </c>
    </row>
    <row r="704" ht="20" customHeight="1" s="225">
      <c r="A704" s="486" t="inlineStr">
        <is>
          <t>9AV</t>
        </is>
      </c>
      <c r="B704" s="486" t="inlineStr">
        <is>
          <t>ENRIQUEZ CAJAMARCA ELVIS LEONARDO</t>
        </is>
      </c>
      <c r="C704" s="486" t="inlineStr">
        <is>
          <t>Promedio Final / P. General</t>
        </is>
      </c>
      <c r="D704" s="486" t="n">
        <v>8.91</v>
      </c>
      <c r="E704" s="486" t="n">
        <v>8.99</v>
      </c>
      <c r="F704" s="486" t="n">
        <v>0.08</v>
      </c>
      <c r="G704" s="486" t="inlineStr">
        <is>
          <t>ERROR</t>
        </is>
      </c>
    </row>
    <row r="705" ht="20" customHeight="1" s="225">
      <c r="A705" s="486" t="inlineStr">
        <is>
          <t>9AV</t>
        </is>
      </c>
      <c r="B705" s="486" t="inlineStr">
        <is>
          <t>FAJARDO SALINAS PAULA ALEJANDRA</t>
        </is>
      </c>
      <c r="C705" s="486" t="inlineStr">
        <is>
          <t>Lengua y Literatura</t>
        </is>
      </c>
      <c r="D705" s="486" t="n">
        <v>9.19</v>
      </c>
      <c r="E705" s="486" t="n">
        <v>8.869999999999999</v>
      </c>
      <c r="F705" s="486" t="n">
        <v>0.32</v>
      </c>
      <c r="G705" s="486" t="inlineStr">
        <is>
          <t>ERROR</t>
        </is>
      </c>
    </row>
    <row r="706" ht="20" customHeight="1" s="225">
      <c r="A706" s="486" t="inlineStr">
        <is>
          <t>9AV</t>
        </is>
      </c>
      <c r="B706" s="486" t="inlineStr">
        <is>
          <t>FAJARDO SALINAS PAULA ALEJANDRA</t>
        </is>
      </c>
      <c r="C706" s="486" t="inlineStr">
        <is>
          <t>Estudios Sociales</t>
        </is>
      </c>
      <c r="D706" s="486" t="n">
        <v>7.82</v>
      </c>
      <c r="E706" s="486" t="n">
        <v>8.99</v>
      </c>
      <c r="F706" s="486" t="n">
        <v>1.17</v>
      </c>
      <c r="G706" s="486" t="inlineStr">
        <is>
          <t>ERROR</t>
        </is>
      </c>
    </row>
    <row r="707" ht="20" customHeight="1" s="225">
      <c r="A707" s="486" t="inlineStr">
        <is>
          <t>9AV</t>
        </is>
      </c>
      <c r="B707" s="486" t="inlineStr">
        <is>
          <t>FAJARDO SALINAS PAULA ALEJANDRA</t>
        </is>
      </c>
      <c r="C707" s="486" t="inlineStr">
        <is>
          <t>Promedio Final / P. General</t>
        </is>
      </c>
      <c r="D707" s="486" t="n">
        <v>8.550000000000001</v>
      </c>
      <c r="E707" s="486" t="n">
        <v>8.67</v>
      </c>
      <c r="F707" s="486" t="n">
        <v>0.12</v>
      </c>
      <c r="G707" s="486" t="inlineStr">
        <is>
          <t>ERROR</t>
        </is>
      </c>
    </row>
    <row r="708" ht="20" customHeight="1" s="225">
      <c r="A708" s="486" t="inlineStr">
        <is>
          <t>9AV</t>
        </is>
      </c>
      <c r="B708" s="486" t="inlineStr">
        <is>
          <t>FLORES QUINTUÑA ANDERSON JOEL</t>
        </is>
      </c>
      <c r="C708" s="486" t="inlineStr">
        <is>
          <t>Lengua y Literatura</t>
        </is>
      </c>
      <c r="D708" s="486" t="n">
        <v>7.85</v>
      </c>
      <c r="E708" s="486" t="n">
        <v>7.57</v>
      </c>
      <c r="F708" s="486" t="n">
        <v>0.28</v>
      </c>
      <c r="G708" s="486" t="inlineStr">
        <is>
          <t>ERROR</t>
        </is>
      </c>
    </row>
    <row r="709" ht="20" customHeight="1" s="225">
      <c r="A709" s="486" t="inlineStr">
        <is>
          <t>9AV</t>
        </is>
      </c>
      <c r="B709" s="486" t="inlineStr">
        <is>
          <t>FLORES QUINTUÑA ANDERSON JOEL</t>
        </is>
      </c>
      <c r="C709" s="486" t="inlineStr">
        <is>
          <t>Matemática</t>
        </is>
      </c>
      <c r="D709" s="486" t="n">
        <v>7.06</v>
      </c>
      <c r="E709" s="486" t="n">
        <v>7</v>
      </c>
      <c r="F709" s="486" t="n">
        <v>0.06</v>
      </c>
      <c r="G709" s="486" t="inlineStr">
        <is>
          <t>ERROR</t>
        </is>
      </c>
    </row>
    <row r="710" ht="20" customHeight="1" s="225">
      <c r="A710" s="486" t="inlineStr">
        <is>
          <t>9AV</t>
        </is>
      </c>
      <c r="B710" s="486" t="inlineStr">
        <is>
          <t>FLORES QUINTUÑA ANDERSON JOEL</t>
        </is>
      </c>
      <c r="C710" s="486" t="inlineStr">
        <is>
          <t>Estudios Sociales</t>
        </is>
      </c>
      <c r="D710" s="486" t="n">
        <v>8.25</v>
      </c>
      <c r="E710" s="486" t="n">
        <v>7.18</v>
      </c>
      <c r="F710" s="486" t="n">
        <v>1.07</v>
      </c>
      <c r="G710" s="486" t="inlineStr">
        <is>
          <t>ERROR</t>
        </is>
      </c>
    </row>
    <row r="711" ht="20" customHeight="1" s="225">
      <c r="A711" s="486" t="inlineStr">
        <is>
          <t>9AV</t>
        </is>
      </c>
      <c r="B711" s="486" t="inlineStr">
        <is>
          <t>FLORES QUINTUÑA ANDERSON JOEL</t>
        </is>
      </c>
      <c r="C711" s="486" t="inlineStr">
        <is>
          <t>Promedio Final / P. General</t>
        </is>
      </c>
      <c r="D711" s="486" t="n">
        <v>7.65</v>
      </c>
      <c r="E711" s="486" t="n">
        <v>7.45</v>
      </c>
      <c r="F711" s="486" t="n">
        <v>0.2</v>
      </c>
      <c r="G711" s="486" t="inlineStr">
        <is>
          <t>ERROR</t>
        </is>
      </c>
    </row>
    <row r="712" ht="20" customHeight="1" s="225">
      <c r="A712" s="486" t="inlineStr">
        <is>
          <t>9AV</t>
        </is>
      </c>
      <c r="B712" s="486" t="inlineStr">
        <is>
          <t>GUANUQUIZA PERALTA ARIEL SANTIAGO</t>
        </is>
      </c>
      <c r="C712" s="486" t="inlineStr">
        <is>
          <t>Lengua y Literatura</t>
        </is>
      </c>
      <c r="D712" s="486" t="n">
        <v>7.9</v>
      </c>
      <c r="E712" s="486" t="n">
        <v>8.56</v>
      </c>
      <c r="F712" s="486" t="n">
        <v>0.66</v>
      </c>
      <c r="G712" s="486" t="inlineStr">
        <is>
          <t>ERROR</t>
        </is>
      </c>
    </row>
    <row r="713" ht="20" customHeight="1" s="225">
      <c r="A713" s="486" t="inlineStr">
        <is>
          <t>9AV</t>
        </is>
      </c>
      <c r="B713" s="486" t="inlineStr">
        <is>
          <t>GUANUQUIZA PERALTA ARIEL SANTIAGO</t>
        </is>
      </c>
      <c r="C713" s="486" t="inlineStr">
        <is>
          <t>Promedio Final / P. General</t>
        </is>
      </c>
      <c r="D713" s="486" t="n">
        <v>8.48</v>
      </c>
      <c r="E713" s="486" t="n">
        <v>8.57</v>
      </c>
      <c r="F713" s="486" t="n">
        <v>0.09</v>
      </c>
      <c r="G713" s="486" t="inlineStr">
        <is>
          <t>ERROR</t>
        </is>
      </c>
    </row>
    <row r="714" ht="20" customHeight="1" s="225">
      <c r="A714" s="486" t="inlineStr">
        <is>
          <t>9AV</t>
        </is>
      </c>
      <c r="B714" s="486" t="inlineStr">
        <is>
          <t>GUERRERO CUN YAMILETH DE LOS ANGELES</t>
        </is>
      </c>
      <c r="C714" s="486" t="inlineStr">
        <is>
          <t>Lengua y Literatura</t>
        </is>
      </c>
      <c r="D714" s="486" t="n">
        <v>8.08</v>
      </c>
      <c r="E714" s="486" t="n">
        <v>7.68</v>
      </c>
      <c r="F714" s="486" t="n">
        <v>0.4</v>
      </c>
      <c r="G714" s="486" t="inlineStr">
        <is>
          <t>ERROR</t>
        </is>
      </c>
    </row>
    <row r="715" ht="20" customHeight="1" s="225">
      <c r="A715" s="486" t="inlineStr">
        <is>
          <t>9AV</t>
        </is>
      </c>
      <c r="B715" s="486" t="inlineStr">
        <is>
          <t>GUERRERO CUN YAMILETH DE LOS ANGELES</t>
        </is>
      </c>
      <c r="C715" s="486" t="inlineStr">
        <is>
          <t>Estudios Sociales</t>
        </is>
      </c>
      <c r="D715" s="486" t="n">
        <v>8.140000000000001</v>
      </c>
      <c r="E715" s="486" t="n">
        <v>8.69</v>
      </c>
      <c r="F715" s="486" t="n">
        <v>0.55</v>
      </c>
      <c r="G715" s="486" t="inlineStr">
        <is>
          <t>ERROR</t>
        </is>
      </c>
    </row>
    <row r="716" ht="20" customHeight="1" s="225">
      <c r="A716" s="486" t="inlineStr">
        <is>
          <t>9AV</t>
        </is>
      </c>
      <c r="B716" s="486" t="inlineStr">
        <is>
          <t>ILLESCAS CAÑAR DANNY ISMAEL</t>
        </is>
      </c>
      <c r="C716" s="486" t="inlineStr">
        <is>
          <t>Lengua y Literatura</t>
        </is>
      </c>
      <c r="D716" s="486" t="n">
        <v>7.35</v>
      </c>
      <c r="E716" s="486" t="n">
        <v>7.07</v>
      </c>
      <c r="F716" s="486" t="n">
        <v>0.28</v>
      </c>
      <c r="G716" s="486" t="inlineStr">
        <is>
          <t>ERROR</t>
        </is>
      </c>
    </row>
    <row r="717" ht="20" customHeight="1" s="225">
      <c r="A717" s="486" t="inlineStr">
        <is>
          <t>9AV</t>
        </is>
      </c>
      <c r="B717" s="486" t="inlineStr">
        <is>
          <t>ILLESCAS CAÑAR DANNY ISMAEL</t>
        </is>
      </c>
      <c r="C717" s="486" t="inlineStr">
        <is>
          <t>Estudios Sociales</t>
        </is>
      </c>
      <c r="D717" s="486" t="n">
        <v>7.29</v>
      </c>
      <c r="E717" s="486" t="n">
        <v>7.9</v>
      </c>
      <c r="F717" s="486" t="n">
        <v>0.61</v>
      </c>
      <c r="G717" s="486" t="inlineStr">
        <is>
          <t>ERROR</t>
        </is>
      </c>
    </row>
    <row r="718" ht="20" customHeight="1" s="225">
      <c r="A718" s="486" t="inlineStr">
        <is>
          <t>9AV</t>
        </is>
      </c>
      <c r="B718" s="486" t="inlineStr">
        <is>
          <t>ILLESCAS CAÑAR DANNY ISMAEL</t>
        </is>
      </c>
      <c r="C718" s="486" t="inlineStr">
        <is>
          <t>Promedio Final / P. General</t>
        </is>
      </c>
      <c r="D718" s="486" t="n">
        <v>7.28</v>
      </c>
      <c r="E718" s="486" t="n">
        <v>7.32</v>
      </c>
      <c r="F718" s="486" t="n">
        <v>0.04</v>
      </c>
      <c r="G718" s="486" t="inlineStr">
        <is>
          <t>ERROR</t>
        </is>
      </c>
    </row>
    <row r="719" ht="20" customHeight="1" s="225">
      <c r="A719" s="486" t="inlineStr">
        <is>
          <t>9AV</t>
        </is>
      </c>
      <c r="B719" s="486" t="inlineStr">
        <is>
          <t>JIMENEZ CUMBE ELVIS ARIEL</t>
        </is>
      </c>
      <c r="C719" s="486" t="inlineStr">
        <is>
          <t>Lengua y Literatura</t>
        </is>
      </c>
      <c r="D719" s="486" t="n">
        <v>7.2</v>
      </c>
      <c r="E719" s="486" t="n">
        <v>7.32</v>
      </c>
      <c r="F719" s="486" t="n">
        <v>0.12</v>
      </c>
      <c r="G719" s="486" t="inlineStr">
        <is>
          <t>ERROR</t>
        </is>
      </c>
    </row>
    <row r="720" ht="20" customHeight="1" s="225">
      <c r="A720" s="486" t="inlineStr">
        <is>
          <t>9AV</t>
        </is>
      </c>
      <c r="B720" s="486" t="inlineStr">
        <is>
          <t>JIMENEZ CUMBE ELVIS ARIEL</t>
        </is>
      </c>
      <c r="C720" s="486" t="inlineStr">
        <is>
          <t>Estudios Sociales</t>
        </is>
      </c>
      <c r="D720" s="486" t="n">
        <v>7.32</v>
      </c>
      <c r="E720" s="486" t="n">
        <v>7.19</v>
      </c>
      <c r="F720" s="486" t="n">
        <v>0.13</v>
      </c>
      <c r="G720" s="486" t="inlineStr">
        <is>
          <t>ERROR</t>
        </is>
      </c>
    </row>
    <row r="721" ht="20" customHeight="1" s="225">
      <c r="A721" s="486" t="inlineStr">
        <is>
          <t>9AV</t>
        </is>
      </c>
      <c r="B721" s="486" t="inlineStr">
        <is>
          <t>LEMA SANISACA MATIAS SEBASTIAN</t>
        </is>
      </c>
      <c r="C721" s="486" t="inlineStr">
        <is>
          <t>Lengua y Literatura</t>
        </is>
      </c>
      <c r="D721" s="486" t="n">
        <v>7.5</v>
      </c>
      <c r="E721" s="486" t="n">
        <v>7.4</v>
      </c>
      <c r="F721" s="486" t="n">
        <v>0.1</v>
      </c>
      <c r="G721" s="486" t="inlineStr">
        <is>
          <t>ERROR</t>
        </is>
      </c>
    </row>
    <row r="722" ht="20" customHeight="1" s="225">
      <c r="A722" s="486" t="inlineStr">
        <is>
          <t>9AV</t>
        </is>
      </c>
      <c r="B722" s="486" t="inlineStr">
        <is>
          <t>LEMA SANISACA MATIAS SEBASTIAN</t>
        </is>
      </c>
      <c r="C722" s="486" t="inlineStr">
        <is>
          <t>Estudios Sociales</t>
        </is>
      </c>
      <c r="D722" s="486" t="n">
        <v>8.91</v>
      </c>
      <c r="E722" s="486" t="n">
        <v>7.6</v>
      </c>
      <c r="F722" s="486" t="n">
        <v>1.31</v>
      </c>
      <c r="G722" s="486" t="inlineStr">
        <is>
          <t>ERROR</t>
        </is>
      </c>
    </row>
    <row r="723" ht="20" customHeight="1" s="225">
      <c r="A723" s="486" t="inlineStr">
        <is>
          <t>9AV</t>
        </is>
      </c>
      <c r="B723" s="486" t="inlineStr">
        <is>
          <t>LEMA SANISACA MATIAS SEBASTIAN</t>
        </is>
      </c>
      <c r="C723" s="486" t="inlineStr">
        <is>
          <t>Promedio Final / P. General</t>
        </is>
      </c>
      <c r="D723" s="486" t="n">
        <v>7.8</v>
      </c>
      <c r="E723" s="486" t="n">
        <v>7.6</v>
      </c>
      <c r="F723" s="486" t="n">
        <v>0.2</v>
      </c>
      <c r="G723" s="486" t="inlineStr">
        <is>
          <t>ERROR</t>
        </is>
      </c>
    </row>
    <row r="724" ht="20" customHeight="1" s="225">
      <c r="A724" s="486" t="inlineStr">
        <is>
          <t>9AV</t>
        </is>
      </c>
      <c r="B724" s="486" t="inlineStr">
        <is>
          <t>LLIVICHUZHCA MENDOZA JORGE LUIS</t>
        </is>
      </c>
      <c r="C724" s="486" t="inlineStr">
        <is>
          <t>Lengua y Literatura</t>
        </is>
      </c>
      <c r="D724" s="486" t="n">
        <v>8.029999999999999</v>
      </c>
      <c r="E724" s="486" t="n">
        <v>8.369999999999999</v>
      </c>
      <c r="F724" s="486" t="n">
        <v>0.34</v>
      </c>
      <c r="G724" s="486" t="inlineStr">
        <is>
          <t>ERROR</t>
        </is>
      </c>
    </row>
    <row r="725" ht="20" customHeight="1" s="225">
      <c r="A725" s="486" t="inlineStr">
        <is>
          <t>9AV</t>
        </is>
      </c>
      <c r="B725" s="486" t="inlineStr">
        <is>
          <t>LLIVICHUZHCA MENDOZA JORGE LUIS</t>
        </is>
      </c>
      <c r="C725" s="486" t="inlineStr">
        <is>
          <t>Promedio Final / P. General</t>
        </is>
      </c>
      <c r="D725" s="486" t="n">
        <v>8.050000000000001</v>
      </c>
      <c r="E725" s="486" t="n">
        <v>8.1</v>
      </c>
      <c r="F725" s="486" t="n">
        <v>0.05</v>
      </c>
      <c r="G725" s="486" t="inlineStr">
        <is>
          <t>ERROR</t>
        </is>
      </c>
    </row>
    <row r="726" ht="20" customHeight="1" s="225">
      <c r="A726" s="486" t="inlineStr">
        <is>
          <t>9AV</t>
        </is>
      </c>
      <c r="B726" s="486" t="inlineStr">
        <is>
          <t>MATUTE GUTAMA ANTONI MATEO</t>
        </is>
      </c>
      <c r="C726" s="486" t="inlineStr">
        <is>
          <t>Lengua y Literatura</t>
        </is>
      </c>
      <c r="D726" s="486" t="n">
        <v>8.800000000000001</v>
      </c>
      <c r="E726" s="486" t="n">
        <v>8.9</v>
      </c>
      <c r="F726" s="486" t="n">
        <v>0.1</v>
      </c>
      <c r="G726" s="486" t="inlineStr">
        <is>
          <t>ERROR</t>
        </is>
      </c>
    </row>
    <row r="727" ht="20" customHeight="1" s="225">
      <c r="A727" s="486" t="inlineStr">
        <is>
          <t>9AV</t>
        </is>
      </c>
      <c r="B727" s="486" t="inlineStr">
        <is>
          <t>MATUTE GUTAMA ANTONI MATEO</t>
        </is>
      </c>
      <c r="C727" s="486" t="inlineStr">
        <is>
          <t>Estudios Sociales</t>
        </is>
      </c>
      <c r="D727" s="486" t="n">
        <v>8.24</v>
      </c>
      <c r="E727" s="486" t="n">
        <v>8.869999999999999</v>
      </c>
      <c r="F727" s="486" t="n">
        <v>0.63</v>
      </c>
      <c r="G727" s="486" t="inlineStr">
        <is>
          <t>ERROR</t>
        </is>
      </c>
    </row>
    <row r="728" ht="20" customHeight="1" s="225">
      <c r="A728" s="486" t="inlineStr">
        <is>
          <t>9AV</t>
        </is>
      </c>
      <c r="B728" s="486" t="inlineStr">
        <is>
          <t>MATUTE GUTAMA ANTONI MATEO</t>
        </is>
      </c>
      <c r="C728" s="486" t="inlineStr">
        <is>
          <t>Promedio Final / P. General</t>
        </is>
      </c>
      <c r="D728" s="486" t="n">
        <v>8.27</v>
      </c>
      <c r="E728" s="486" t="n">
        <v>8.369999999999999</v>
      </c>
      <c r="F728" s="486" t="n">
        <v>0.1</v>
      </c>
      <c r="G728" s="486" t="inlineStr">
        <is>
          <t>ERROR</t>
        </is>
      </c>
    </row>
    <row r="729" ht="20" customHeight="1" s="225">
      <c r="A729" s="486" t="inlineStr">
        <is>
          <t>9AV</t>
        </is>
      </c>
      <c r="B729" s="486" t="inlineStr">
        <is>
          <t>MEJIA VALDEZ JOSELINE NATHALY</t>
        </is>
      </c>
      <c r="C729" s="486" t="inlineStr">
        <is>
          <t>Lengua y Literatura</t>
        </is>
      </c>
      <c r="D729" s="486" t="n">
        <v>8.17</v>
      </c>
      <c r="E729" s="486" t="n">
        <v>7.92</v>
      </c>
      <c r="F729" s="486" t="n">
        <v>0.25</v>
      </c>
      <c r="G729" s="486" t="inlineStr">
        <is>
          <t>ERROR</t>
        </is>
      </c>
    </row>
    <row r="730" ht="20" customHeight="1" s="225">
      <c r="A730" s="486" t="inlineStr">
        <is>
          <t>9AV</t>
        </is>
      </c>
      <c r="B730" s="486" t="inlineStr">
        <is>
          <t>MEJIA VALDEZ JOSELINE NATHALY</t>
        </is>
      </c>
      <c r="C730" s="486" t="inlineStr">
        <is>
          <t>Estudios Sociales</t>
        </is>
      </c>
      <c r="D730" s="486" t="n">
        <v>8.98</v>
      </c>
      <c r="E730" s="486" t="n">
        <v>8.279999999999999</v>
      </c>
      <c r="F730" s="486" t="n">
        <v>0.7</v>
      </c>
      <c r="G730" s="486" t="inlineStr">
        <is>
          <t>ERROR</t>
        </is>
      </c>
    </row>
    <row r="731" ht="20" customHeight="1" s="225">
      <c r="A731" s="486" t="inlineStr">
        <is>
          <t>9AV</t>
        </is>
      </c>
      <c r="B731" s="486" t="inlineStr">
        <is>
          <t>MEJIA VALDEZ JOSELINE NATHALY</t>
        </is>
      </c>
      <c r="C731" s="486" t="inlineStr">
        <is>
          <t>Promedio Final / P. General</t>
        </is>
      </c>
      <c r="D731" s="486" t="n">
        <v>7.6</v>
      </c>
      <c r="E731" s="486" t="n">
        <v>7.46</v>
      </c>
      <c r="F731" s="486" t="n">
        <v>0.14</v>
      </c>
      <c r="G731" s="486" t="inlineStr">
        <is>
          <t>ERROR</t>
        </is>
      </c>
    </row>
    <row r="732" ht="20" customHeight="1" s="225">
      <c r="A732" s="486" t="inlineStr">
        <is>
          <t>9AV</t>
        </is>
      </c>
      <c r="B732" s="486" t="inlineStr">
        <is>
          <t>MENDEZ ORDOÑEZ EMILY JAYLIN</t>
        </is>
      </c>
      <c r="C732" s="486" t="inlineStr">
        <is>
          <t>Lengua y Literatura</t>
        </is>
      </c>
      <c r="D732" s="486" t="n">
        <v>8.710000000000001</v>
      </c>
      <c r="E732" s="486" t="n">
        <v>9.02</v>
      </c>
      <c r="F732" s="486" t="n">
        <v>0.31</v>
      </c>
      <c r="G732" s="486" t="inlineStr">
        <is>
          <t>ERROR</t>
        </is>
      </c>
    </row>
    <row r="733" ht="20" customHeight="1" s="225">
      <c r="A733" s="486" t="inlineStr">
        <is>
          <t>9AV</t>
        </is>
      </c>
      <c r="B733" s="486" t="inlineStr">
        <is>
          <t>MENDEZ ORDOÑEZ EMILY JAYLIN</t>
        </is>
      </c>
      <c r="C733" s="486" t="inlineStr">
        <is>
          <t>Promedio Final / P. General</t>
        </is>
      </c>
      <c r="D733" s="486" t="n">
        <v>8.75</v>
      </c>
      <c r="E733" s="486" t="n">
        <v>8.789999999999999</v>
      </c>
      <c r="F733" s="486" t="n">
        <v>0.04</v>
      </c>
      <c r="G733" s="486" t="inlineStr">
        <is>
          <t>ERROR</t>
        </is>
      </c>
    </row>
    <row r="734" ht="20" customHeight="1" s="225">
      <c r="A734" s="486" t="inlineStr">
        <is>
          <t>9AV</t>
        </is>
      </c>
      <c r="B734" s="486" t="inlineStr">
        <is>
          <t>MICHAY AVILA DAYANA NICOL</t>
        </is>
      </c>
      <c r="C734" s="486" t="inlineStr">
        <is>
          <t>Lengua y Literatura</t>
        </is>
      </c>
      <c r="D734" s="486" t="n">
        <v>9.460000000000001</v>
      </c>
      <c r="E734" s="486" t="n">
        <v>9.710000000000001</v>
      </c>
      <c r="F734" s="486" t="n">
        <v>0.25</v>
      </c>
      <c r="G734" s="486" t="inlineStr">
        <is>
          <t>ERROR</t>
        </is>
      </c>
    </row>
    <row r="735" ht="20" customHeight="1" s="225">
      <c r="A735" s="486" t="inlineStr">
        <is>
          <t>9AV</t>
        </is>
      </c>
      <c r="B735" s="486" t="inlineStr">
        <is>
          <t>MICHAY AVILA DAYANA NICOL</t>
        </is>
      </c>
      <c r="C735" s="486" t="inlineStr">
        <is>
          <t>Ciencias Naturales</t>
        </is>
      </c>
      <c r="D735" s="486" t="n">
        <v>9.48</v>
      </c>
      <c r="E735" s="486" t="n">
        <v>9.1</v>
      </c>
      <c r="F735" s="486" t="n">
        <v>0.38</v>
      </c>
      <c r="G735" s="486" t="inlineStr">
        <is>
          <t>ERROR</t>
        </is>
      </c>
    </row>
    <row r="736" ht="20" customHeight="1" s="225">
      <c r="A736" s="486" t="inlineStr">
        <is>
          <t>9AV</t>
        </is>
      </c>
      <c r="B736" s="486" t="inlineStr">
        <is>
          <t>MICHAY AVILA DAYANA NICOL</t>
        </is>
      </c>
      <c r="C736" s="486" t="inlineStr">
        <is>
          <t>Estudios Sociales</t>
        </is>
      </c>
      <c r="D736" s="486" t="n">
        <v>9.359999999999999</v>
      </c>
      <c r="E736" s="486" t="n">
        <v>9.33</v>
      </c>
      <c r="F736" s="486" t="n">
        <v>0.03</v>
      </c>
      <c r="G736" s="486" t="inlineStr">
        <is>
          <t>ERROR</t>
        </is>
      </c>
    </row>
    <row r="737" ht="20" customHeight="1" s="225">
      <c r="A737" s="486" t="inlineStr">
        <is>
          <t>9AV</t>
        </is>
      </c>
      <c r="B737" s="486" t="inlineStr">
        <is>
          <t>MICHAY AVILA JAIME ENRIQUE</t>
        </is>
      </c>
      <c r="C737" s="486" t="inlineStr">
        <is>
          <t>Lengua y Literatura</t>
        </is>
      </c>
      <c r="D737" s="486" t="n">
        <v>9.050000000000001</v>
      </c>
      <c r="E737" s="486" t="n">
        <v>9.130000000000001</v>
      </c>
      <c r="F737" s="486" t="n">
        <v>0.08</v>
      </c>
      <c r="G737" s="486" t="inlineStr">
        <is>
          <t>ERROR</t>
        </is>
      </c>
    </row>
    <row r="738" ht="20" customHeight="1" s="225">
      <c r="A738" s="486" t="inlineStr">
        <is>
          <t>9AV</t>
        </is>
      </c>
      <c r="B738" s="486" t="inlineStr">
        <is>
          <t>MICHAY AVILA JAIME ENRIQUE</t>
        </is>
      </c>
      <c r="C738" s="486" t="inlineStr">
        <is>
          <t>Estudios Sociales</t>
        </is>
      </c>
      <c r="D738" s="486" t="n">
        <v>7.89</v>
      </c>
      <c r="E738" s="486" t="n">
        <v>9.130000000000001</v>
      </c>
      <c r="F738" s="486" t="n">
        <v>1.24</v>
      </c>
      <c r="G738" s="486" t="inlineStr">
        <is>
          <t>ERROR</t>
        </is>
      </c>
    </row>
    <row r="739" ht="20" customHeight="1" s="225">
      <c r="A739" s="486" t="inlineStr">
        <is>
          <t>9AV</t>
        </is>
      </c>
      <c r="B739" s="486" t="inlineStr">
        <is>
          <t>MICHAY AVILA JAIME ENRIQUE</t>
        </is>
      </c>
      <c r="C739" s="486" t="inlineStr">
        <is>
          <t>Promedio Final / P. General</t>
        </is>
      </c>
      <c r="D739" s="486" t="n">
        <v>8.59</v>
      </c>
      <c r="E739" s="486" t="n">
        <v>8.779999999999999</v>
      </c>
      <c r="F739" s="486" t="n">
        <v>0.19</v>
      </c>
      <c r="G739" s="486" t="inlineStr">
        <is>
          <t>ERROR</t>
        </is>
      </c>
    </row>
    <row r="740" ht="20" customHeight="1" s="225">
      <c r="A740" s="486" t="inlineStr">
        <is>
          <t>9AV</t>
        </is>
      </c>
      <c r="B740" s="486" t="inlineStr">
        <is>
          <t>NIOLA ALBANCANDO ESTRELLA ESTEFANIA</t>
        </is>
      </c>
      <c r="C740" s="486" t="inlineStr">
        <is>
          <t>Ciencias Naturales</t>
        </is>
      </c>
      <c r="D740" s="486" t="n">
        <v>7.05</v>
      </c>
      <c r="E740" s="486" t="n">
        <v>7</v>
      </c>
      <c r="F740" s="486" t="n">
        <v>0.05</v>
      </c>
      <c r="G740" s="486" t="inlineStr">
        <is>
          <t>ERROR</t>
        </is>
      </c>
    </row>
    <row r="741" ht="20" customHeight="1" s="225">
      <c r="A741" s="486" t="inlineStr">
        <is>
          <t>9AV</t>
        </is>
      </c>
      <c r="B741" s="486" t="inlineStr">
        <is>
          <t>NIOLA ALBANCANDO ESTRELLA ESTEFANIA</t>
        </is>
      </c>
      <c r="C741" s="486" t="inlineStr">
        <is>
          <t>Estudios Sociales</t>
        </is>
      </c>
      <c r="D741" s="486" t="n">
        <v>7.92</v>
      </c>
      <c r="E741" s="486" t="n">
        <v>7.7</v>
      </c>
      <c r="F741" s="486" t="n">
        <v>0.22</v>
      </c>
      <c r="G741" s="486" t="inlineStr">
        <is>
          <t>ERROR</t>
        </is>
      </c>
    </row>
    <row r="742" ht="20" customHeight="1" s="225">
      <c r="A742" s="486" t="inlineStr">
        <is>
          <t>9AV</t>
        </is>
      </c>
      <c r="B742" s="486" t="inlineStr">
        <is>
          <t>NIOLA ALBANCANDO ESTRELLA ESTEFANIA</t>
        </is>
      </c>
      <c r="C742" s="486" t="inlineStr">
        <is>
          <t>Inglés</t>
        </is>
      </c>
      <c r="D742" s="486" t="n">
        <v>8.470000000000001</v>
      </c>
      <c r="E742" s="486" t="n">
        <v>8.32</v>
      </c>
      <c r="F742" s="486" t="n">
        <v>0.15</v>
      </c>
      <c r="G742" s="486" t="inlineStr">
        <is>
          <t>ERROR</t>
        </is>
      </c>
    </row>
    <row r="743" ht="20" customHeight="1" s="225">
      <c r="A743" s="486" t="inlineStr">
        <is>
          <t>9AV</t>
        </is>
      </c>
      <c r="B743" s="486" t="inlineStr">
        <is>
          <t>NIOLA ALBANCANDO ESTRELLA ESTEFANIA</t>
        </is>
      </c>
      <c r="C743" s="486" t="inlineStr">
        <is>
          <t>Promedio Final / P. General</t>
        </is>
      </c>
      <c r="D743" s="486" t="n">
        <v>8.119999999999999</v>
      </c>
      <c r="E743" s="486" t="n">
        <v>8.06</v>
      </c>
      <c r="F743" s="486" t="n">
        <v>0.06</v>
      </c>
      <c r="G743" s="486" t="inlineStr">
        <is>
          <t>ERROR</t>
        </is>
      </c>
    </row>
    <row r="744" ht="20" customHeight="1" s="225">
      <c r="A744" s="486" t="inlineStr">
        <is>
          <t>9AV</t>
        </is>
      </c>
      <c r="B744" s="486" t="inlineStr">
        <is>
          <t>OCHOA ARMIJOS STEEVEN ADRIEL</t>
        </is>
      </c>
      <c r="C744" s="486" t="inlineStr">
        <is>
          <t>Estudios Sociales</t>
        </is>
      </c>
      <c r="D744" s="486" t="n">
        <v>7.53</v>
      </c>
      <c r="E744" s="486" t="n">
        <v>7.78</v>
      </c>
      <c r="F744" s="486" t="n">
        <v>0.25</v>
      </c>
      <c r="G744" s="486" t="inlineStr">
        <is>
          <t>ERROR</t>
        </is>
      </c>
    </row>
    <row r="745" ht="20" customHeight="1" s="225">
      <c r="A745" s="486" t="inlineStr">
        <is>
          <t>9AV</t>
        </is>
      </c>
      <c r="B745" s="486" t="inlineStr">
        <is>
          <t>OCHOA ARMIJOS STEEVEN ADRIEL</t>
        </is>
      </c>
      <c r="C745" s="486" t="inlineStr">
        <is>
          <t>Inglés</t>
        </is>
      </c>
      <c r="D745" s="486" t="n">
        <v>7.4</v>
      </c>
      <c r="E745" s="486" t="n">
        <v>7.48</v>
      </c>
      <c r="F745" s="486" t="n">
        <v>0.08</v>
      </c>
      <c r="G745" s="486" t="inlineStr">
        <is>
          <t>ERROR</t>
        </is>
      </c>
    </row>
    <row r="746" ht="20" customHeight="1" s="225">
      <c r="A746" s="486" t="inlineStr">
        <is>
          <t>9AV</t>
        </is>
      </c>
      <c r="B746" s="486" t="inlineStr">
        <is>
          <t>OCHOA ARMIJOS STEEVEN ADRIEL</t>
        </is>
      </c>
      <c r="C746" s="486" t="inlineStr">
        <is>
          <t>Promedio Final / P. General</t>
        </is>
      </c>
      <c r="D746" s="486" t="n">
        <v>7.26</v>
      </c>
      <c r="E746" s="486" t="n">
        <v>7.31</v>
      </c>
      <c r="F746" s="486" t="n">
        <v>0.05</v>
      </c>
      <c r="G746" s="486" t="inlineStr">
        <is>
          <t>ERROR</t>
        </is>
      </c>
    </row>
    <row r="747" ht="20" customHeight="1" s="225">
      <c r="A747" s="486" t="inlineStr">
        <is>
          <t>9AV</t>
        </is>
      </c>
      <c r="B747" s="486" t="inlineStr">
        <is>
          <t>ORTIZ JAMI KIMBERLY ALEXANDRA</t>
        </is>
      </c>
      <c r="C747" s="486" t="inlineStr">
        <is>
          <t>Estudios Sociales</t>
        </is>
      </c>
      <c r="D747" s="486" t="n">
        <v>8.18</v>
      </c>
      <c r="E747" s="486" t="n">
        <v>8.109999999999999</v>
      </c>
      <c r="F747" s="486" t="n">
        <v>0.07000000000000001</v>
      </c>
      <c r="G747" s="486" t="inlineStr">
        <is>
          <t>ERROR</t>
        </is>
      </c>
    </row>
    <row r="748" ht="20" customHeight="1" s="225">
      <c r="A748" s="486" t="inlineStr">
        <is>
          <t>9AV</t>
        </is>
      </c>
      <c r="B748" s="486" t="inlineStr">
        <is>
          <t>ORTIZ JAMI KIMBERLY ALEXANDRA</t>
        </is>
      </c>
      <c r="C748" s="486" t="inlineStr">
        <is>
          <t>Inglés</t>
        </is>
      </c>
      <c r="D748" s="486" t="n">
        <v>8.039999999999999</v>
      </c>
      <c r="E748" s="486" t="n">
        <v>7.94</v>
      </c>
      <c r="F748" s="486" t="n">
        <v>0.1</v>
      </c>
      <c r="G748" s="486" t="inlineStr">
        <is>
          <t>ERROR</t>
        </is>
      </c>
    </row>
    <row r="749" ht="20" customHeight="1" s="225">
      <c r="A749" s="486" t="inlineStr">
        <is>
          <t>9AV</t>
        </is>
      </c>
      <c r="B749" s="486" t="inlineStr">
        <is>
          <t>ORTIZ JAMI KIMBERLY ALEXANDRA</t>
        </is>
      </c>
      <c r="C749" s="486" t="inlineStr">
        <is>
          <t>Promedio Final / P. General</t>
        </is>
      </c>
      <c r="D749" s="486" t="n">
        <v>7.72</v>
      </c>
      <c r="E749" s="486" t="n">
        <v>7.69</v>
      </c>
      <c r="F749" s="486" t="n">
        <v>0.03</v>
      </c>
      <c r="G749" s="486" t="inlineStr">
        <is>
          <t>ERROR</t>
        </is>
      </c>
    </row>
    <row r="750" ht="20" customHeight="1" s="225">
      <c r="A750" s="486" t="inlineStr">
        <is>
          <t>9AV</t>
        </is>
      </c>
      <c r="B750" s="486" t="inlineStr">
        <is>
          <t>ORTIZ SAMANIEGO LIS FERNANDA</t>
        </is>
      </c>
      <c r="C750" s="486" t="inlineStr">
        <is>
          <t>Estudios Sociales</t>
        </is>
      </c>
      <c r="D750" s="486" t="n">
        <v>8.08</v>
      </c>
      <c r="E750" s="486" t="n">
        <v>7.59</v>
      </c>
      <c r="F750" s="486" t="n">
        <v>0.49</v>
      </c>
      <c r="G750" s="486" t="inlineStr">
        <is>
          <t>ERROR</t>
        </is>
      </c>
    </row>
    <row r="751" ht="20" customHeight="1" s="225">
      <c r="A751" s="486" t="inlineStr">
        <is>
          <t>9AV</t>
        </is>
      </c>
      <c r="B751" s="486" t="inlineStr">
        <is>
          <t>ORTIZ SAMANIEGO LIS FERNANDA</t>
        </is>
      </c>
      <c r="C751" s="486" t="inlineStr">
        <is>
          <t>Inglés</t>
        </is>
      </c>
      <c r="D751" s="486" t="n">
        <v>7.72</v>
      </c>
      <c r="E751" s="486" t="n">
        <v>8.08</v>
      </c>
      <c r="F751" s="486" t="n">
        <v>0.36</v>
      </c>
      <c r="G751" s="486" t="inlineStr">
        <is>
          <t>ERROR</t>
        </is>
      </c>
    </row>
    <row r="752" ht="20" customHeight="1" s="225">
      <c r="A752" s="486" t="inlineStr">
        <is>
          <t>9AV</t>
        </is>
      </c>
      <c r="B752" s="486" t="inlineStr">
        <is>
          <t>PAÑEGA UZHCA JUSTIN ALEXANDER</t>
        </is>
      </c>
      <c r="C752" s="486" t="inlineStr">
        <is>
          <t>Estudios Sociales</t>
        </is>
      </c>
      <c r="D752" s="486" t="n">
        <v>8.869999999999999</v>
      </c>
      <c r="E752" s="486" t="n">
        <v>8.01</v>
      </c>
      <c r="F752" s="486" t="n">
        <v>0.86</v>
      </c>
      <c r="G752" s="486" t="inlineStr">
        <is>
          <t>ERROR</t>
        </is>
      </c>
    </row>
    <row r="753" ht="20" customHeight="1" s="225">
      <c r="A753" s="486" t="inlineStr">
        <is>
          <t>9AV</t>
        </is>
      </c>
      <c r="B753" s="486" t="inlineStr">
        <is>
          <t>PAÑEGA UZHCA JUSTIN ALEXANDER</t>
        </is>
      </c>
      <c r="C753" s="486" t="inlineStr">
        <is>
          <t>Inglés</t>
        </is>
      </c>
      <c r="D753" s="486" t="n">
        <v>7.72</v>
      </c>
      <c r="E753" s="486" t="n">
        <v>7.59</v>
      </c>
      <c r="F753" s="486" t="n">
        <v>0.13</v>
      </c>
      <c r="G753" s="486" t="inlineStr">
        <is>
          <t>ERROR</t>
        </is>
      </c>
    </row>
    <row r="754" ht="20" customHeight="1" s="225">
      <c r="A754" s="486" t="inlineStr">
        <is>
          <t>9AV</t>
        </is>
      </c>
      <c r="B754" s="486" t="inlineStr">
        <is>
          <t>PAÑEGA UZHCA JUSTIN ALEXANDER</t>
        </is>
      </c>
      <c r="C754" s="486" t="inlineStr">
        <is>
          <t>Promedio Final / P. General</t>
        </is>
      </c>
      <c r="D754" s="486" t="n">
        <v>7.77</v>
      </c>
      <c r="E754" s="486" t="n">
        <v>7.63</v>
      </c>
      <c r="F754" s="486" t="n">
        <v>0.14</v>
      </c>
      <c r="G754" s="486" t="inlineStr">
        <is>
          <t>ERROR</t>
        </is>
      </c>
    </row>
    <row r="755" ht="20" customHeight="1" s="225">
      <c r="A755" s="486" t="inlineStr">
        <is>
          <t>9AV</t>
        </is>
      </c>
      <c r="B755" s="486" t="inlineStr">
        <is>
          <t>PUMA RAMON BRYAN ANTHONY</t>
        </is>
      </c>
      <c r="C755" s="486" t="inlineStr">
        <is>
          <t>Matemática</t>
        </is>
      </c>
      <c r="D755" s="486" t="n">
        <v>7</v>
      </c>
      <c r="E755" s="486" t="n">
        <v>7.09</v>
      </c>
      <c r="F755" s="486" t="n">
        <v>0.09</v>
      </c>
      <c r="G755" s="486" t="inlineStr">
        <is>
          <t>ERROR</t>
        </is>
      </c>
    </row>
    <row r="756" ht="20" customHeight="1" s="225">
      <c r="A756" s="486" t="inlineStr">
        <is>
          <t>9AV</t>
        </is>
      </c>
      <c r="B756" s="486" t="inlineStr">
        <is>
          <t>PUMA RAMON BRYAN ANTHONY</t>
        </is>
      </c>
      <c r="C756" s="486" t="inlineStr">
        <is>
          <t>Estudios Sociales</t>
        </is>
      </c>
      <c r="D756" s="486" t="n">
        <v>8.859999999999999</v>
      </c>
      <c r="E756" s="486" t="n">
        <v>8.140000000000001</v>
      </c>
      <c r="F756" s="486" t="n">
        <v>0.72</v>
      </c>
      <c r="G756" s="486" t="inlineStr">
        <is>
          <t>ERROR</t>
        </is>
      </c>
    </row>
    <row r="757" ht="20" customHeight="1" s="225">
      <c r="A757" s="486" t="inlineStr">
        <is>
          <t>9AV</t>
        </is>
      </c>
      <c r="B757" s="486" t="inlineStr">
        <is>
          <t>PUMA RAMON BRYAN ANTHONY</t>
        </is>
      </c>
      <c r="C757" s="486" t="inlineStr">
        <is>
          <t>Inglés</t>
        </is>
      </c>
      <c r="D757" s="486" t="n">
        <v>8.640000000000001</v>
      </c>
      <c r="E757" s="486" t="n">
        <v>7.8</v>
      </c>
      <c r="F757" s="486" t="n">
        <v>0.84</v>
      </c>
      <c r="G757" s="486" t="inlineStr">
        <is>
          <t>ERROR</t>
        </is>
      </c>
    </row>
    <row r="758" ht="20" customHeight="1" s="225">
      <c r="A758" s="486" t="inlineStr">
        <is>
          <t>9AV</t>
        </is>
      </c>
      <c r="B758" s="486" t="inlineStr">
        <is>
          <t>PUMA RAMON BRYAN ANTHONY</t>
        </is>
      </c>
      <c r="C758" s="486" t="inlineStr">
        <is>
          <t>Promedio Final / P. General</t>
        </is>
      </c>
      <c r="D758" s="486" t="n">
        <v>7.62</v>
      </c>
      <c r="E758" s="486" t="n">
        <v>7.41</v>
      </c>
      <c r="F758" s="486" t="n">
        <v>0.21</v>
      </c>
      <c r="G758" s="486" t="inlineStr">
        <is>
          <t>ERROR</t>
        </is>
      </c>
    </row>
    <row r="759" ht="20" customHeight="1" s="225">
      <c r="A759" s="486" t="inlineStr">
        <is>
          <t>9AV</t>
        </is>
      </c>
      <c r="B759" s="486" t="inlineStr">
        <is>
          <t>QUINDE ZUMBA VALERIA ESTEFANIA</t>
        </is>
      </c>
      <c r="C759" s="486" t="inlineStr">
        <is>
          <t>Ciencias Naturales</t>
        </is>
      </c>
      <c r="D759" s="486" t="n">
        <v>7.93</v>
      </c>
      <c r="E759" s="486" t="n">
        <v>9.9</v>
      </c>
      <c r="F759" s="486" t="n">
        <v>1.97</v>
      </c>
      <c r="G759" s="486" t="inlineStr">
        <is>
          <t>ERROR</t>
        </is>
      </c>
    </row>
    <row r="760" ht="20" customHeight="1" s="225">
      <c r="A760" s="486" t="inlineStr">
        <is>
          <t>9AV</t>
        </is>
      </c>
      <c r="B760" s="486" t="inlineStr">
        <is>
          <t>QUINDE ZUMBA VALERIA ESTEFANIA</t>
        </is>
      </c>
      <c r="C760" s="486" t="inlineStr">
        <is>
          <t>Estudios Sociales</t>
        </is>
      </c>
      <c r="D760" s="486" t="n">
        <v>8.119999999999999</v>
      </c>
      <c r="E760" s="486" t="n">
        <v>9.35</v>
      </c>
      <c r="F760" s="486" t="n">
        <v>1.23</v>
      </c>
      <c r="G760" s="486" t="inlineStr">
        <is>
          <t>ERROR</t>
        </is>
      </c>
    </row>
    <row r="761" ht="20" customHeight="1" s="225">
      <c r="A761" s="486" t="inlineStr">
        <is>
          <t>9AV</t>
        </is>
      </c>
      <c r="B761" s="486" t="inlineStr">
        <is>
          <t>QUINDE ZUMBA VALERIA ESTEFANIA</t>
        </is>
      </c>
      <c r="C761" s="486" t="inlineStr">
        <is>
          <t>Inglés</t>
        </is>
      </c>
      <c r="D761" s="486" t="n">
        <v>9.52</v>
      </c>
      <c r="E761" s="486" t="n">
        <v>9.85</v>
      </c>
      <c r="F761" s="486" t="n">
        <v>0.33</v>
      </c>
      <c r="G761" s="486" t="inlineStr">
        <is>
          <t>ERROR</t>
        </is>
      </c>
    </row>
    <row r="762" ht="20" customHeight="1" s="225">
      <c r="A762" s="486" t="inlineStr">
        <is>
          <t>9AV</t>
        </is>
      </c>
      <c r="B762" s="486" t="inlineStr">
        <is>
          <t>QUINDE ZUMBA VALERIA ESTEFANIA</t>
        </is>
      </c>
      <c r="C762" s="486" t="inlineStr">
        <is>
          <t>Promedio Final / P. General</t>
        </is>
      </c>
      <c r="D762" s="486" t="n">
        <v>9.039999999999999</v>
      </c>
      <c r="E762" s="486" t="n">
        <v>9.539999999999999</v>
      </c>
      <c r="F762" s="486" t="n">
        <v>0.5</v>
      </c>
      <c r="G762" s="486" t="inlineStr">
        <is>
          <t>ERROR</t>
        </is>
      </c>
    </row>
    <row r="763" ht="20" customHeight="1" s="225">
      <c r="A763" s="486" t="inlineStr">
        <is>
          <t>9AV</t>
        </is>
      </c>
      <c r="B763" s="486" t="inlineStr">
        <is>
          <t>QUIZHPI GUAMANCELA MELANY NICOLE</t>
        </is>
      </c>
      <c r="C763" s="486" t="inlineStr">
        <is>
          <t>Ciencias Naturales</t>
        </is>
      </c>
      <c r="D763" s="486" t="n">
        <v>9.539999999999999</v>
      </c>
      <c r="E763" s="486" t="n">
        <v>8.41</v>
      </c>
      <c r="F763" s="486" t="n">
        <v>1.13</v>
      </c>
      <c r="G763" s="486" t="inlineStr">
        <is>
          <t>ERROR</t>
        </is>
      </c>
    </row>
    <row r="764" ht="20" customHeight="1" s="225">
      <c r="A764" s="486" t="inlineStr">
        <is>
          <t>9AV</t>
        </is>
      </c>
      <c r="B764" s="486" t="inlineStr">
        <is>
          <t>QUIZHPI GUAMANCELA MELANY NICOLE</t>
        </is>
      </c>
      <c r="C764" s="486" t="inlineStr">
        <is>
          <t>Estudios Sociales</t>
        </is>
      </c>
      <c r="D764" s="486" t="n">
        <v>8.31</v>
      </c>
      <c r="E764" s="486" t="n">
        <v>8.99</v>
      </c>
      <c r="F764" s="486" t="n">
        <v>0.68</v>
      </c>
      <c r="G764" s="486" t="inlineStr">
        <is>
          <t>ERROR</t>
        </is>
      </c>
    </row>
    <row r="765" ht="20" customHeight="1" s="225">
      <c r="A765" s="486" t="inlineStr">
        <is>
          <t>9AV</t>
        </is>
      </c>
      <c r="B765" s="486" t="inlineStr">
        <is>
          <t>QUIZHPI GUAMANCELA MELANY NICOLE</t>
        </is>
      </c>
      <c r="C765" s="486" t="inlineStr">
        <is>
          <t>Inglés</t>
        </is>
      </c>
      <c r="D765" s="486" t="n">
        <v>9.210000000000001</v>
      </c>
      <c r="E765" s="486" t="n">
        <v>9.359999999999999</v>
      </c>
      <c r="F765" s="486" t="n">
        <v>0.15</v>
      </c>
      <c r="G765" s="486" t="inlineStr">
        <is>
          <t>ERROR</t>
        </is>
      </c>
    </row>
    <row r="766" ht="20" customHeight="1" s="225">
      <c r="A766" s="486" t="inlineStr">
        <is>
          <t>9AV</t>
        </is>
      </c>
      <c r="B766" s="486" t="inlineStr">
        <is>
          <t>QUIZHPI GUAMANCELA MELANY NICOLE</t>
        </is>
      </c>
      <c r="C766" s="486" t="inlineStr">
        <is>
          <t>Promedio Final / P. General</t>
        </is>
      </c>
      <c r="D766" s="486" t="n">
        <v>9.17</v>
      </c>
      <c r="E766" s="486" t="n">
        <v>9.119999999999999</v>
      </c>
      <c r="F766" s="486" t="n">
        <v>0.05</v>
      </c>
      <c r="G766" s="486" t="inlineStr">
        <is>
          <t>ERROR</t>
        </is>
      </c>
    </row>
    <row r="767" ht="20" customHeight="1" s="225">
      <c r="A767" s="486" t="inlineStr">
        <is>
          <t>9AV</t>
        </is>
      </c>
      <c r="B767" s="486" t="inlineStr">
        <is>
          <t>RIVERA SALDAÑA CAROLINA ESTEFANIA</t>
        </is>
      </c>
      <c r="C767" s="486" t="inlineStr">
        <is>
          <t>Estudios Sociales</t>
        </is>
      </c>
      <c r="D767" s="486" t="n">
        <v>8.77</v>
      </c>
      <c r="E767" s="486" t="n">
        <v>7.71</v>
      </c>
      <c r="F767" s="486" t="n">
        <v>1.06</v>
      </c>
      <c r="G767" s="486" t="inlineStr">
        <is>
          <t>ERROR</t>
        </is>
      </c>
    </row>
    <row r="768" ht="20" customHeight="1" s="225">
      <c r="A768" s="486" t="inlineStr">
        <is>
          <t>9AV</t>
        </is>
      </c>
      <c r="B768" s="486" t="inlineStr">
        <is>
          <t>RIVERA SALDAÑA CAROLINA ESTEFANIA</t>
        </is>
      </c>
      <c r="C768" s="486" t="inlineStr">
        <is>
          <t>Inglés</t>
        </is>
      </c>
      <c r="D768" s="486" t="n">
        <v>7.86</v>
      </c>
      <c r="E768" s="486" t="n">
        <v>8.130000000000001</v>
      </c>
      <c r="F768" s="486" t="n">
        <v>0.27</v>
      </c>
      <c r="G768" s="486" t="inlineStr">
        <is>
          <t>ERROR</t>
        </is>
      </c>
    </row>
    <row r="769" ht="20" customHeight="1" s="225">
      <c r="A769" s="486" t="inlineStr">
        <is>
          <t>9AV</t>
        </is>
      </c>
      <c r="B769" s="486" t="inlineStr">
        <is>
          <t>RIVERA SALDAÑA CAROLINA ESTEFANIA</t>
        </is>
      </c>
      <c r="C769" s="486" t="inlineStr">
        <is>
          <t>Promedio Final / P. General</t>
        </is>
      </c>
      <c r="D769" s="486" t="n">
        <v>8.06</v>
      </c>
      <c r="E769" s="486" t="n">
        <v>7.95</v>
      </c>
      <c r="F769" s="486" t="n">
        <v>0.11</v>
      </c>
      <c r="G769" s="486" t="inlineStr">
        <is>
          <t>ERROR</t>
        </is>
      </c>
    </row>
    <row r="770" ht="20" customHeight="1" s="225">
      <c r="A770" s="486" t="inlineStr">
        <is>
          <t>9AV</t>
        </is>
      </c>
      <c r="B770" s="486" t="inlineStr">
        <is>
          <t>ROSADO GUZÑAY MISHEL ESTEFANIA</t>
        </is>
      </c>
      <c r="C770" s="486" t="inlineStr">
        <is>
          <t>Estudios Sociales</t>
        </is>
      </c>
      <c r="D770" s="486" t="n">
        <v>8.33</v>
      </c>
      <c r="E770" s="486" t="n">
        <v>7.75</v>
      </c>
      <c r="F770" s="486" t="n">
        <v>0.58</v>
      </c>
      <c r="G770" s="486" t="inlineStr">
        <is>
          <t>ERROR</t>
        </is>
      </c>
    </row>
    <row r="771" ht="20" customHeight="1" s="225">
      <c r="A771" s="486" t="inlineStr">
        <is>
          <t>9AV</t>
        </is>
      </c>
      <c r="B771" s="486" t="inlineStr">
        <is>
          <t>ROSADO GUZÑAY MISHEL ESTEFANIA</t>
        </is>
      </c>
      <c r="C771" s="486" t="inlineStr">
        <is>
          <t>Inglés</t>
        </is>
      </c>
      <c r="D771" s="486" t="n">
        <v>8.32</v>
      </c>
      <c r="E771" s="486" t="n">
        <v>7.82</v>
      </c>
      <c r="F771" s="486" t="n">
        <v>0.5</v>
      </c>
      <c r="G771" s="486" t="inlineStr">
        <is>
          <t>ERROR</t>
        </is>
      </c>
    </row>
    <row r="772" ht="20" customHeight="1" s="225">
      <c r="A772" s="486" t="inlineStr">
        <is>
          <t>9AV</t>
        </is>
      </c>
      <c r="B772" s="486" t="inlineStr">
        <is>
          <t>ROSADO GUZÑAY MISHEL ESTEFANIA</t>
        </is>
      </c>
      <c r="C772" s="486" t="inlineStr">
        <is>
          <t>Promedio Final / P. General</t>
        </is>
      </c>
      <c r="D772" s="486" t="n">
        <v>7.98</v>
      </c>
      <c r="E772" s="486" t="n">
        <v>7.83</v>
      </c>
      <c r="F772" s="486" t="n">
        <v>0.15</v>
      </c>
      <c r="G772" s="486" t="inlineStr">
        <is>
          <t>ERROR</t>
        </is>
      </c>
    </row>
    <row r="773" ht="20" customHeight="1" s="225">
      <c r="A773" s="486" t="inlineStr">
        <is>
          <t>9AV</t>
        </is>
      </c>
      <c r="B773" s="486" t="inlineStr">
        <is>
          <t>SINCHI MUÑOZ SONIA ALEXANDRA</t>
        </is>
      </c>
      <c r="C773" s="486" t="inlineStr">
        <is>
          <t>Estudios Sociales</t>
        </is>
      </c>
      <c r="D773" s="486" t="n">
        <v>8.33</v>
      </c>
      <c r="E773" s="486" t="n">
        <v>8.789999999999999</v>
      </c>
      <c r="F773" s="486" t="n">
        <v>0.46</v>
      </c>
      <c r="G773" s="486" t="inlineStr">
        <is>
          <t>ERROR</t>
        </is>
      </c>
    </row>
    <row r="774" ht="20" customHeight="1" s="225">
      <c r="A774" s="486" t="inlineStr">
        <is>
          <t>9AV</t>
        </is>
      </c>
      <c r="B774" s="486" t="inlineStr">
        <is>
          <t>SINCHI MUÑOZ SONIA ALEXANDRA</t>
        </is>
      </c>
      <c r="C774" s="486" t="inlineStr">
        <is>
          <t>Inglés</t>
        </is>
      </c>
      <c r="D774" s="486" t="n">
        <v>9.449999999999999</v>
      </c>
      <c r="E774" s="486" t="n">
        <v>9.42</v>
      </c>
      <c r="F774" s="486" t="n">
        <v>0.03</v>
      </c>
      <c r="G774" s="486" t="inlineStr">
        <is>
          <t>ERROR</t>
        </is>
      </c>
    </row>
    <row r="775" ht="20" customHeight="1" s="225">
      <c r="A775" s="486" t="inlineStr">
        <is>
          <t>9AV</t>
        </is>
      </c>
      <c r="B775" s="486" t="inlineStr">
        <is>
          <t>SINCHI MUÑOZ SONIA ALEXANDRA</t>
        </is>
      </c>
      <c r="C775" s="486" t="inlineStr">
        <is>
          <t>Promedio Final / P. General</t>
        </is>
      </c>
      <c r="D775" s="486" t="n">
        <v>8.73</v>
      </c>
      <c r="E775" s="486" t="n">
        <v>8.789999999999999</v>
      </c>
      <c r="F775" s="486" t="n">
        <v>0.06</v>
      </c>
      <c r="G775" s="486" t="inlineStr">
        <is>
          <t>ERROR</t>
        </is>
      </c>
    </row>
    <row r="776" ht="20" customHeight="1" s="225">
      <c r="A776" s="486" t="inlineStr">
        <is>
          <t>9AV</t>
        </is>
      </c>
      <c r="B776" s="486" t="inlineStr">
        <is>
          <t>SONGOR BARBECHO ANGELICA GUADALUPE</t>
        </is>
      </c>
      <c r="C776" s="486" t="inlineStr">
        <is>
          <t>Estudios Sociales</t>
        </is>
      </c>
      <c r="D776" s="486" t="n">
        <v>9.25</v>
      </c>
      <c r="E776" s="486" t="n">
        <v>8.85</v>
      </c>
      <c r="F776" s="486" t="n">
        <v>0.4</v>
      </c>
      <c r="G776" s="486" t="inlineStr">
        <is>
          <t>ERROR</t>
        </is>
      </c>
    </row>
    <row r="777" ht="20" customHeight="1" s="225">
      <c r="A777" s="486" t="inlineStr">
        <is>
          <t>9AV</t>
        </is>
      </c>
      <c r="B777" s="486" t="inlineStr">
        <is>
          <t>SONGOR BARBECHO ANGELICA GUADALUPE</t>
        </is>
      </c>
      <c r="C777" s="486" t="inlineStr">
        <is>
          <t>Inglés</t>
        </is>
      </c>
      <c r="D777" s="486" t="n">
        <v>8.65</v>
      </c>
      <c r="E777" s="486" t="n">
        <v>9.1</v>
      </c>
      <c r="F777" s="486" t="n">
        <v>0.45</v>
      </c>
      <c r="G777" s="486" t="inlineStr">
        <is>
          <t>ERROR</t>
        </is>
      </c>
    </row>
    <row r="778" ht="20" customHeight="1" s="225">
      <c r="A778" s="486" t="inlineStr">
        <is>
          <t>9AV</t>
        </is>
      </c>
      <c r="B778" s="486" t="inlineStr">
        <is>
          <t>TINOCO MORENO MARCOS STALIN</t>
        </is>
      </c>
      <c r="C778" s="486" t="inlineStr">
        <is>
          <t>Inglés</t>
        </is>
      </c>
      <c r="D778" s="486" t="n">
        <v>7.48</v>
      </c>
      <c r="E778" s="486" t="n">
        <v>7.45</v>
      </c>
      <c r="F778" s="486" t="n">
        <v>0.03</v>
      </c>
      <c r="G778" s="486" t="inlineStr">
        <is>
          <t>ERROR</t>
        </is>
      </c>
    </row>
    <row r="779" ht="20" customHeight="1" s="225">
      <c r="A779" s="486" t="inlineStr">
        <is>
          <t>9AV</t>
        </is>
      </c>
      <c r="B779" s="486" t="inlineStr">
        <is>
          <t>VIVEROS BRITO DYLAN JOSHUE</t>
        </is>
      </c>
      <c r="C779" s="486" t="inlineStr">
        <is>
          <t>Ciencias Naturales</t>
        </is>
      </c>
      <c r="D779" s="486" t="n">
        <v>7.06</v>
      </c>
      <c r="E779" s="486" t="n">
        <v>7.36</v>
      </c>
      <c r="F779" s="486" t="n">
        <v>0.3</v>
      </c>
      <c r="G779" s="486" t="inlineStr">
        <is>
          <t>ERROR</t>
        </is>
      </c>
    </row>
    <row r="780" ht="20" customHeight="1" s="225">
      <c r="A780" s="486" t="inlineStr">
        <is>
          <t>9AV</t>
        </is>
      </c>
      <c r="B780" s="486" t="inlineStr">
        <is>
          <t>VIVEROS BRITO DYLAN JOSHUE</t>
        </is>
      </c>
      <c r="C780" s="486" t="inlineStr">
        <is>
          <t>Estudios Sociales</t>
        </is>
      </c>
      <c r="D780" s="486" t="n">
        <v>8.07</v>
      </c>
      <c r="E780" s="486" t="n">
        <v>8.539999999999999</v>
      </c>
      <c r="F780" s="486" t="n">
        <v>0.47</v>
      </c>
      <c r="G780" s="486" t="inlineStr">
        <is>
          <t>ERROR</t>
        </is>
      </c>
    </row>
    <row r="781" ht="20" customHeight="1" s="225">
      <c r="A781" s="486" t="inlineStr">
        <is>
          <t>9AV</t>
        </is>
      </c>
      <c r="B781" s="486" t="inlineStr">
        <is>
          <t>VIVEROS BRITO DYLAN JOSHUE</t>
        </is>
      </c>
      <c r="C781" s="486" t="inlineStr">
        <is>
          <t>Promedio Final / P. General</t>
        </is>
      </c>
      <c r="D781" s="486" t="n">
        <v>8.16</v>
      </c>
      <c r="E781" s="486" t="n">
        <v>8.27</v>
      </c>
      <c r="F781" s="486" t="n">
        <v>0.11</v>
      </c>
      <c r="G781" s="486" t="inlineStr">
        <is>
          <t>ERROR</t>
        </is>
      </c>
    </row>
    <row r="782" ht="20" customHeight="1" s="225">
      <c r="A782" s="486" t="inlineStr">
        <is>
          <t>9BV</t>
        </is>
      </c>
      <c r="B782" s="486" t="inlineStr">
        <is>
          <t>APOLO HERRERA RICHARD SEBASTIAN</t>
        </is>
      </c>
      <c r="C782" s="486" t="inlineStr">
        <is>
          <t>Estudios Sociales</t>
        </is>
      </c>
      <c r="D782" s="486" t="n">
        <v>8.890000000000001</v>
      </c>
      <c r="E782" s="486" t="n">
        <v>8.76</v>
      </c>
      <c r="F782" s="486" t="n">
        <v>0.13</v>
      </c>
      <c r="G782" s="486" t="inlineStr">
        <is>
          <t>ERROR</t>
        </is>
      </c>
    </row>
    <row r="783" ht="20" customHeight="1" s="225">
      <c r="A783" s="486" t="inlineStr">
        <is>
          <t>9BV</t>
        </is>
      </c>
      <c r="B783" s="486" t="inlineStr">
        <is>
          <t>ARPI MOROCHO SOFIA KATHERINE</t>
        </is>
      </c>
      <c r="C783" s="486" t="inlineStr">
        <is>
          <t>Ciencias Naturales</t>
        </is>
      </c>
      <c r="D783" s="486" t="n">
        <v>7.45</v>
      </c>
      <c r="E783" s="486" t="n">
        <v>7.3</v>
      </c>
      <c r="F783" s="486" t="n">
        <v>0.15</v>
      </c>
      <c r="G783" s="486" t="inlineStr">
        <is>
          <t>ERROR</t>
        </is>
      </c>
    </row>
    <row r="784" ht="20" customHeight="1" s="225">
      <c r="A784" s="486" t="inlineStr">
        <is>
          <t>9BV</t>
        </is>
      </c>
      <c r="B784" s="486" t="inlineStr">
        <is>
          <t>ARPI MOROCHO SOFIA KATHERINE</t>
        </is>
      </c>
      <c r="C784" s="486" t="inlineStr">
        <is>
          <t>Estudios Sociales</t>
        </is>
      </c>
      <c r="D784" s="486" t="n">
        <v>8.93</v>
      </c>
      <c r="E784" s="486" t="n">
        <v>7.83</v>
      </c>
      <c r="F784" s="486" t="n">
        <v>1.1</v>
      </c>
      <c r="G784" s="486" t="inlineStr">
        <is>
          <t>ERROR</t>
        </is>
      </c>
    </row>
    <row r="785" ht="20" customHeight="1" s="225">
      <c r="A785" s="486" t="inlineStr">
        <is>
          <t>9BV</t>
        </is>
      </c>
      <c r="B785" s="486" t="inlineStr">
        <is>
          <t>ARPI MOROCHO SOFIA KATHERINE</t>
        </is>
      </c>
      <c r="C785" s="486" t="inlineStr">
        <is>
          <t>Promedio Final / P. General</t>
        </is>
      </c>
      <c r="D785" s="486" t="n">
        <v>8.140000000000001</v>
      </c>
      <c r="E785" s="486" t="n">
        <v>7.96</v>
      </c>
      <c r="F785" s="486" t="n">
        <v>0.18</v>
      </c>
      <c r="G785" s="486" t="inlineStr">
        <is>
          <t>ERROR</t>
        </is>
      </c>
    </row>
    <row r="786" ht="20" customHeight="1" s="225">
      <c r="A786" s="486" t="inlineStr">
        <is>
          <t>9BV</t>
        </is>
      </c>
      <c r="B786" s="486" t="inlineStr">
        <is>
          <t>CAGUANA VILLALTA NATALIA ISABELA</t>
        </is>
      </c>
      <c r="C786" s="486" t="inlineStr">
        <is>
          <t>Lengua y Literatura</t>
        </is>
      </c>
      <c r="D786" s="486" t="n">
        <v>7.92</v>
      </c>
      <c r="E786" s="486" t="n">
        <v>8.25</v>
      </c>
      <c r="F786" s="486" t="n">
        <v>0.33</v>
      </c>
      <c r="G786" s="486" t="inlineStr">
        <is>
          <t>ERROR</t>
        </is>
      </c>
    </row>
    <row r="787" ht="20" customHeight="1" s="225">
      <c r="A787" s="486" t="inlineStr">
        <is>
          <t>9BV</t>
        </is>
      </c>
      <c r="B787" s="486" t="inlineStr">
        <is>
          <t>CAGUANA VILLALTA NATALIA ISABELA</t>
        </is>
      </c>
      <c r="C787" s="486" t="inlineStr">
        <is>
          <t>Estudios Sociales</t>
        </is>
      </c>
      <c r="D787" s="486" t="n">
        <v>8.380000000000001</v>
      </c>
      <c r="E787" s="486" t="n">
        <v>8.630000000000001</v>
      </c>
      <c r="F787" s="486" t="n">
        <v>0.25</v>
      </c>
      <c r="G787" s="486" t="inlineStr">
        <is>
          <t>ERROR</t>
        </is>
      </c>
    </row>
    <row r="788" ht="20" customHeight="1" s="225">
      <c r="A788" s="486" t="inlineStr">
        <is>
          <t>9BV</t>
        </is>
      </c>
      <c r="B788" s="486" t="inlineStr">
        <is>
          <t>CAGUANA VILLALTA NATALIA ISABELA</t>
        </is>
      </c>
      <c r="C788" s="486" t="inlineStr">
        <is>
          <t>Inglés</t>
        </is>
      </c>
      <c r="D788" s="486" t="n">
        <v>7.74</v>
      </c>
      <c r="E788" s="486" t="n">
        <v>7.97</v>
      </c>
      <c r="F788" s="486" t="n">
        <v>0.23</v>
      </c>
      <c r="G788" s="486" t="inlineStr">
        <is>
          <t>ERROR</t>
        </is>
      </c>
    </row>
    <row r="789" ht="20" customHeight="1" s="225">
      <c r="A789" s="486" t="inlineStr">
        <is>
          <t>9BV</t>
        </is>
      </c>
      <c r="B789" s="486" t="inlineStr">
        <is>
          <t>CAGUANA VILLALTA NATALIA ISABELA</t>
        </is>
      </c>
      <c r="C789" s="486" t="inlineStr">
        <is>
          <t>Promedio Final / P. General</t>
        </is>
      </c>
      <c r="D789" s="486" t="n">
        <v>7.52</v>
      </c>
      <c r="E789" s="486" t="n">
        <v>7.64</v>
      </c>
      <c r="F789" s="486" t="n">
        <v>0.12</v>
      </c>
      <c r="G789" s="486" t="inlineStr">
        <is>
          <t>ERROR</t>
        </is>
      </c>
    </row>
    <row r="790" ht="20" customHeight="1" s="225">
      <c r="A790" s="486" t="inlineStr">
        <is>
          <t>9BV</t>
        </is>
      </c>
      <c r="B790" s="486" t="inlineStr">
        <is>
          <t>CALLE CABRERA VICTORIA LORENA</t>
        </is>
      </c>
      <c r="C790" s="486" t="inlineStr">
        <is>
          <t>Lengua y Literatura</t>
        </is>
      </c>
      <c r="D790" s="486" t="n">
        <v>9.77</v>
      </c>
      <c r="E790" s="486" t="n">
        <v>9.869999999999999</v>
      </c>
      <c r="F790" s="486" t="n">
        <v>0.1</v>
      </c>
      <c r="G790" s="486" t="inlineStr">
        <is>
          <t>ERROR</t>
        </is>
      </c>
    </row>
    <row r="791" ht="20" customHeight="1" s="225">
      <c r="A791" s="486" t="inlineStr">
        <is>
          <t>9BV</t>
        </is>
      </c>
      <c r="B791" s="486" t="inlineStr">
        <is>
          <t>CALLE CABRERA VICTORIA LORENA</t>
        </is>
      </c>
      <c r="C791" s="486" t="inlineStr">
        <is>
          <t>Matemática</t>
        </is>
      </c>
      <c r="D791" s="486" t="n">
        <v>9.800000000000001</v>
      </c>
      <c r="E791" s="486" t="n">
        <v>9.9</v>
      </c>
      <c r="F791" s="486" t="n">
        <v>0.1</v>
      </c>
      <c r="G791" s="486" t="inlineStr">
        <is>
          <t>ERROR</t>
        </is>
      </c>
    </row>
    <row r="792" ht="20" customHeight="1" s="225">
      <c r="A792" s="486" t="inlineStr">
        <is>
          <t>9BV</t>
        </is>
      </c>
      <c r="B792" s="486" t="inlineStr">
        <is>
          <t>CALLE CABRERA VICTORIA LORENA</t>
        </is>
      </c>
      <c r="C792" s="486" t="inlineStr">
        <is>
          <t>Estudios Sociales</t>
        </is>
      </c>
      <c r="D792" s="486" t="n">
        <v>9.630000000000001</v>
      </c>
      <c r="E792" s="486" t="n">
        <v>9.73</v>
      </c>
      <c r="F792" s="486" t="n">
        <v>0.1</v>
      </c>
      <c r="G792" s="486" t="inlineStr">
        <is>
          <t>ERROR</t>
        </is>
      </c>
    </row>
    <row r="793" ht="20" customHeight="1" s="225">
      <c r="A793" s="486" t="inlineStr">
        <is>
          <t>9BV</t>
        </is>
      </c>
      <c r="B793" s="486" t="inlineStr">
        <is>
          <t>CALLE CABRERA VICTORIA LORENA</t>
        </is>
      </c>
      <c r="C793" s="486" t="inlineStr">
        <is>
          <t>Promedio Final / P. General</t>
        </is>
      </c>
      <c r="D793" s="486" t="n">
        <v>9.779999999999999</v>
      </c>
      <c r="E793" s="486" t="n">
        <v>9.82</v>
      </c>
      <c r="F793" s="486" t="n">
        <v>0.04</v>
      </c>
      <c r="G793" s="486" t="inlineStr">
        <is>
          <t>ERROR</t>
        </is>
      </c>
    </row>
    <row r="794" ht="20" customHeight="1" s="225">
      <c r="A794" s="486" t="inlineStr">
        <is>
          <t>9BV</t>
        </is>
      </c>
      <c r="B794" s="486" t="inlineStr">
        <is>
          <t>CHILLOGALLO NIEVES EVELYN MAGABY</t>
        </is>
      </c>
      <c r="C794" s="486" t="inlineStr">
        <is>
          <t>Estudios Sociales</t>
        </is>
      </c>
      <c r="D794" s="486" t="n">
        <v>7.09</v>
      </c>
      <c r="E794" s="486" t="n">
        <v>7.37</v>
      </c>
      <c r="F794" s="486" t="n">
        <v>0.28</v>
      </c>
      <c r="G794" s="486" t="inlineStr">
        <is>
          <t>ERROR</t>
        </is>
      </c>
    </row>
    <row r="795" ht="20" customHeight="1" s="225">
      <c r="A795" s="486" t="inlineStr">
        <is>
          <t>9BV</t>
        </is>
      </c>
      <c r="B795" s="486" t="inlineStr">
        <is>
          <t>CHILLOGALLO NIEVES EVELYN MAGABY</t>
        </is>
      </c>
      <c r="C795" s="486" t="inlineStr">
        <is>
          <t>Inglés</t>
        </is>
      </c>
      <c r="D795" s="486" t="n">
        <v>7.55</v>
      </c>
      <c r="E795" s="486" t="n">
        <v>7.48</v>
      </c>
      <c r="F795" s="486" t="n">
        <v>0.07000000000000001</v>
      </c>
      <c r="G795" s="486" t="inlineStr">
        <is>
          <t>ERROR</t>
        </is>
      </c>
    </row>
    <row r="796" ht="20" customHeight="1" s="225">
      <c r="A796" s="486" t="inlineStr">
        <is>
          <t>9BV</t>
        </is>
      </c>
      <c r="B796" s="486" t="inlineStr">
        <is>
          <t>CHILLOGALLO NIEVES EVELYN MAGABY</t>
        </is>
      </c>
      <c r="C796" s="486" t="inlineStr">
        <is>
          <t>Promedio Final / P. General</t>
        </is>
      </c>
      <c r="D796" s="486" t="n">
        <v>7.2</v>
      </c>
      <c r="E796" s="486" t="n">
        <v>7.23</v>
      </c>
      <c r="F796" s="486" t="n">
        <v>0.03</v>
      </c>
      <c r="G796" s="486" t="inlineStr">
        <is>
          <t>ERROR</t>
        </is>
      </c>
    </row>
    <row r="797" ht="20" customHeight="1" s="225">
      <c r="A797" s="486" t="inlineStr">
        <is>
          <t>9BV</t>
        </is>
      </c>
      <c r="B797" s="486" t="inlineStr">
        <is>
          <t>CRUZ LALVAY JHOSELIN DAYANNA</t>
        </is>
      </c>
      <c r="C797" s="486" t="inlineStr">
        <is>
          <t>Estudios Sociales</t>
        </is>
      </c>
      <c r="D797" s="486" t="n">
        <v>7.44</v>
      </c>
      <c r="E797" s="486" t="n">
        <v>7.47</v>
      </c>
      <c r="F797" s="486" t="n">
        <v>0.03</v>
      </c>
      <c r="G797" s="486" t="inlineStr">
        <is>
          <t>ERROR</t>
        </is>
      </c>
    </row>
    <row r="798" ht="20" customHeight="1" s="225">
      <c r="A798" s="486" t="inlineStr">
        <is>
          <t>9BV</t>
        </is>
      </c>
      <c r="B798" s="486" t="inlineStr">
        <is>
          <t>CRUZ LALVAY JHOSELIN DAYANNA</t>
        </is>
      </c>
      <c r="C798" s="486" t="inlineStr">
        <is>
          <t>Inglés</t>
        </is>
      </c>
      <c r="D798" s="486" t="n">
        <v>7.36</v>
      </c>
      <c r="E798" s="486" t="n">
        <v>7.32</v>
      </c>
      <c r="F798" s="486" t="n">
        <v>0.04</v>
      </c>
      <c r="G798" s="486" t="inlineStr">
        <is>
          <t>ERROR</t>
        </is>
      </c>
    </row>
    <row r="799" ht="20" customHeight="1" s="225">
      <c r="A799" s="486" t="inlineStr">
        <is>
          <t>9BV</t>
        </is>
      </c>
      <c r="B799" s="486" t="inlineStr">
        <is>
          <t>CRUZ LALVAY JHOSELIN DAYANNA</t>
        </is>
      </c>
      <c r="C799" s="486" t="inlineStr">
        <is>
          <t>Educación Física</t>
        </is>
      </c>
      <c r="D799" s="486" t="n">
        <v>8.449999999999999</v>
      </c>
      <c r="E799" s="486" t="n">
        <v>7.75</v>
      </c>
      <c r="F799" s="486" t="n">
        <v>0.7</v>
      </c>
      <c r="G799" s="486" t="inlineStr">
        <is>
          <t>ERROR</t>
        </is>
      </c>
    </row>
    <row r="800" ht="20" customHeight="1" s="225">
      <c r="A800" s="486" t="inlineStr">
        <is>
          <t>9BV</t>
        </is>
      </c>
      <c r="B800" s="486" t="inlineStr">
        <is>
          <t>CRUZ LALVAY JHOSELIN DAYANNA</t>
        </is>
      </c>
      <c r="C800" s="486" t="inlineStr">
        <is>
          <t>Promedio Final / P. General</t>
        </is>
      </c>
      <c r="D800" s="486" t="n">
        <v>7.4</v>
      </c>
      <c r="E800" s="486" t="n">
        <v>7.3</v>
      </c>
      <c r="F800" s="486" t="n">
        <v>0.1</v>
      </c>
      <c r="G800" s="486" t="inlineStr">
        <is>
          <t>ERROR</t>
        </is>
      </c>
    </row>
    <row r="801" ht="20" customHeight="1" s="225">
      <c r="A801" s="486" t="inlineStr">
        <is>
          <t>9BV</t>
        </is>
      </c>
      <c r="B801" s="486" t="inlineStr">
        <is>
          <t>ESPINOZA GUTIERREZ KELLY FERNANDA</t>
        </is>
      </c>
      <c r="C801" s="486" t="inlineStr">
        <is>
          <t>Matemática</t>
        </is>
      </c>
      <c r="D801" s="486" t="n">
        <v>7</v>
      </c>
      <c r="E801" s="486" t="n">
        <v>7.66</v>
      </c>
      <c r="F801" s="486" t="n">
        <v>0.66</v>
      </c>
      <c r="G801" s="486" t="inlineStr">
        <is>
          <t>ERROR</t>
        </is>
      </c>
    </row>
    <row r="802" ht="20" customHeight="1" s="225">
      <c r="A802" s="486" t="inlineStr">
        <is>
          <t>9BV</t>
        </is>
      </c>
      <c r="B802" s="486" t="inlineStr">
        <is>
          <t>ESPINOZA GUTIERREZ KELLY FERNANDA</t>
        </is>
      </c>
      <c r="C802" s="486" t="inlineStr">
        <is>
          <t>Estudios Sociales</t>
        </is>
      </c>
      <c r="D802" s="486" t="n">
        <v>7.54</v>
      </c>
      <c r="E802" s="486" t="n">
        <v>8.15</v>
      </c>
      <c r="F802" s="486" t="n">
        <v>0.61</v>
      </c>
      <c r="G802" s="486" t="inlineStr">
        <is>
          <t>ERROR</t>
        </is>
      </c>
    </row>
    <row r="803" ht="20" customHeight="1" s="225">
      <c r="A803" s="486" t="inlineStr">
        <is>
          <t>9BV</t>
        </is>
      </c>
      <c r="B803" s="486" t="inlineStr">
        <is>
          <t>ESPINOZA GUTIERREZ KELLY FERNANDA</t>
        </is>
      </c>
      <c r="C803" s="486" t="inlineStr">
        <is>
          <t>Inglés</t>
        </is>
      </c>
      <c r="D803" s="486" t="n">
        <v>7.85</v>
      </c>
      <c r="E803" s="486" t="n">
        <v>7.81</v>
      </c>
      <c r="F803" s="486" t="n">
        <v>0.04</v>
      </c>
      <c r="G803" s="486" t="inlineStr">
        <is>
          <t>ERROR</t>
        </is>
      </c>
    </row>
    <row r="804" ht="20" customHeight="1" s="225">
      <c r="A804" s="486" t="inlineStr">
        <is>
          <t>9BV</t>
        </is>
      </c>
      <c r="B804" s="486" t="inlineStr">
        <is>
          <t>ESPINOZA GUTIERREZ KELLY FERNANDA</t>
        </is>
      </c>
      <c r="C804" s="486" t="inlineStr">
        <is>
          <t>Promedio Final / P. General</t>
        </is>
      </c>
      <c r="D804" s="486" t="n">
        <v>7.59</v>
      </c>
      <c r="E804" s="486" t="n">
        <v>7.76</v>
      </c>
      <c r="F804" s="486" t="n">
        <v>0.17</v>
      </c>
      <c r="G804" s="486" t="inlineStr">
        <is>
          <t>ERROR</t>
        </is>
      </c>
    </row>
    <row r="805" ht="20" customHeight="1" s="225">
      <c r="A805" s="486" t="inlineStr">
        <is>
          <t>9BV</t>
        </is>
      </c>
      <c r="B805" s="486" t="inlineStr">
        <is>
          <t>GONZALEZ CONTENTO YOSELIN FERNANDA</t>
        </is>
      </c>
      <c r="C805" s="486" t="inlineStr">
        <is>
          <t>Estudios Sociales</t>
        </is>
      </c>
      <c r="D805" s="486" t="n">
        <v>9.31</v>
      </c>
      <c r="E805" s="486" t="n">
        <v>9.34</v>
      </c>
      <c r="F805" s="486" t="n">
        <v>0.03</v>
      </c>
      <c r="G805" s="486" t="inlineStr">
        <is>
          <t>ERROR</t>
        </is>
      </c>
    </row>
    <row r="806" ht="20" customHeight="1" s="225">
      <c r="A806" s="486" t="inlineStr">
        <is>
          <t>9BV</t>
        </is>
      </c>
      <c r="B806" s="486" t="inlineStr">
        <is>
          <t>GONZALEZ CONTENTO YOSELIN FERNANDA</t>
        </is>
      </c>
      <c r="C806" s="486" t="inlineStr">
        <is>
          <t>Inglés</t>
        </is>
      </c>
      <c r="D806" s="486" t="n">
        <v>8.98</v>
      </c>
      <c r="E806" s="486" t="n">
        <v>9.49</v>
      </c>
      <c r="F806" s="486" t="n">
        <v>0.51</v>
      </c>
      <c r="G806" s="486" t="inlineStr">
        <is>
          <t>ERROR</t>
        </is>
      </c>
    </row>
    <row r="807" ht="20" customHeight="1" s="225">
      <c r="A807" s="486" t="inlineStr">
        <is>
          <t>9BV</t>
        </is>
      </c>
      <c r="B807" s="486" t="inlineStr">
        <is>
          <t>GONZALEZ CONTENTO YOSELIN FERNANDA</t>
        </is>
      </c>
      <c r="C807" s="486" t="inlineStr">
        <is>
          <t>Promedio Final / P. General</t>
        </is>
      </c>
      <c r="D807" s="486" t="n">
        <v>8.880000000000001</v>
      </c>
      <c r="E807" s="486" t="n">
        <v>8.960000000000001</v>
      </c>
      <c r="F807" s="486" t="n">
        <v>0.08</v>
      </c>
      <c r="G807" s="486" t="inlineStr">
        <is>
          <t>ERROR</t>
        </is>
      </c>
    </row>
    <row r="808" ht="20" customHeight="1" s="225">
      <c r="A808" s="486" t="inlineStr">
        <is>
          <t>9BV</t>
        </is>
      </c>
      <c r="B808" s="486" t="inlineStr">
        <is>
          <t>GUAICHA CHUQUIMARCA DOMENICA CAMILA</t>
        </is>
      </c>
      <c r="C808" s="486" t="inlineStr">
        <is>
          <t>Lengua y Literatura</t>
        </is>
      </c>
      <c r="D808" s="486" t="n">
        <v>8.369999999999999</v>
      </c>
      <c r="E808" s="486" t="n">
        <v>8.029999999999999</v>
      </c>
      <c r="F808" s="486" t="n">
        <v>0.34</v>
      </c>
      <c r="G808" s="486" t="inlineStr">
        <is>
          <t>ERROR</t>
        </is>
      </c>
    </row>
    <row r="809" ht="20" customHeight="1" s="225">
      <c r="A809" s="486" t="inlineStr">
        <is>
          <t>9BV</t>
        </is>
      </c>
      <c r="B809" s="486" t="inlineStr">
        <is>
          <t>GUAICHA CHUQUIMARCA DOMENICA CAMILA</t>
        </is>
      </c>
      <c r="C809" s="486" t="inlineStr">
        <is>
          <t>Estudios Sociales</t>
        </is>
      </c>
      <c r="D809" s="486" t="n">
        <v>9.08</v>
      </c>
      <c r="E809" s="486" t="n">
        <v>8.94</v>
      </c>
      <c r="F809" s="486" t="n">
        <v>0.14</v>
      </c>
      <c r="G809" s="486" t="inlineStr">
        <is>
          <t>ERROR</t>
        </is>
      </c>
    </row>
    <row r="810" ht="20" customHeight="1" s="225">
      <c r="A810" s="486" t="inlineStr">
        <is>
          <t>9BV</t>
        </is>
      </c>
      <c r="B810" s="486" t="inlineStr">
        <is>
          <t>GUAICHA CHUQUIMARCA DOMENICA CAMILA</t>
        </is>
      </c>
      <c r="C810" s="486" t="inlineStr">
        <is>
          <t>Inglés</t>
        </is>
      </c>
      <c r="D810" s="486" t="n">
        <v>7.96</v>
      </c>
      <c r="E810" s="486" t="n">
        <v>7.87</v>
      </c>
      <c r="F810" s="486" t="n">
        <v>0.09</v>
      </c>
      <c r="G810" s="486" t="inlineStr">
        <is>
          <t>ERROR</t>
        </is>
      </c>
    </row>
    <row r="811" ht="20" customHeight="1" s="225">
      <c r="A811" s="486" t="inlineStr">
        <is>
          <t>9BV</t>
        </is>
      </c>
      <c r="B811" s="486" t="inlineStr">
        <is>
          <t>GUAICHA CHUQUIMARCA DOMENICA CAMILA</t>
        </is>
      </c>
      <c r="C811" s="486" t="inlineStr">
        <is>
          <t>Promedio Final / P. General</t>
        </is>
      </c>
      <c r="D811" s="486" t="n">
        <v>8.210000000000001</v>
      </c>
      <c r="E811" s="486" t="n">
        <v>8.130000000000001</v>
      </c>
      <c r="F811" s="486" t="n">
        <v>0.08</v>
      </c>
      <c r="G811" s="486" t="inlineStr">
        <is>
          <t>ERROR</t>
        </is>
      </c>
    </row>
    <row r="812" ht="20" customHeight="1" s="225">
      <c r="A812" s="486" t="inlineStr">
        <is>
          <t>9BV</t>
        </is>
      </c>
      <c r="B812" s="486" t="inlineStr">
        <is>
          <t>ILLESCAS PUMA DAVID ALEJANDRO</t>
        </is>
      </c>
      <c r="C812" s="486" t="inlineStr">
        <is>
          <t>Estudios Sociales</t>
        </is>
      </c>
      <c r="D812" s="486" t="n">
        <v>8.960000000000001</v>
      </c>
      <c r="E812" s="486" t="n">
        <v>8.779999999999999</v>
      </c>
      <c r="F812" s="486" t="n">
        <v>0.18</v>
      </c>
      <c r="G812" s="486" t="inlineStr">
        <is>
          <t>ERROR</t>
        </is>
      </c>
    </row>
    <row r="813" ht="20" customHeight="1" s="225">
      <c r="A813" s="486" t="inlineStr">
        <is>
          <t>9BV</t>
        </is>
      </c>
      <c r="B813" s="486" t="inlineStr">
        <is>
          <t>ILLESCAS PUMA DAVID ALEJANDRO</t>
        </is>
      </c>
      <c r="C813" s="486" t="inlineStr">
        <is>
          <t>Inglés</t>
        </is>
      </c>
      <c r="D813" s="486" t="n">
        <v>9.26</v>
      </c>
      <c r="E813" s="486" t="n">
        <v>9.359999999999999</v>
      </c>
      <c r="F813" s="486" t="n">
        <v>0.1</v>
      </c>
      <c r="G813" s="486" t="inlineStr">
        <is>
          <t>ERROR</t>
        </is>
      </c>
    </row>
    <row r="814" ht="20" customHeight="1" s="225">
      <c r="A814" s="486" t="inlineStr">
        <is>
          <t>9BV</t>
        </is>
      </c>
      <c r="B814" s="486" t="inlineStr">
        <is>
          <t>JAIGUA CARDENAS MARIA VALENTINA</t>
        </is>
      </c>
      <c r="C814" s="486" t="inlineStr">
        <is>
          <t>Estudios Sociales</t>
        </is>
      </c>
      <c r="D814" s="486" t="n">
        <v>9.470000000000001</v>
      </c>
      <c r="E814" s="486" t="n">
        <v>9.23</v>
      </c>
      <c r="F814" s="486" t="n">
        <v>0.24</v>
      </c>
      <c r="G814" s="486" t="inlineStr">
        <is>
          <t>ERROR</t>
        </is>
      </c>
    </row>
    <row r="815" ht="20" customHeight="1" s="225">
      <c r="A815" s="486" t="inlineStr">
        <is>
          <t>9BV</t>
        </is>
      </c>
      <c r="B815" s="486" t="inlineStr">
        <is>
          <t>JAIGUA CARDENAS MARIA VALENTINA</t>
        </is>
      </c>
      <c r="C815" s="486" t="inlineStr">
        <is>
          <t>Inglés</t>
        </is>
      </c>
      <c r="D815" s="486" t="n">
        <v>9.4</v>
      </c>
      <c r="E815" s="486" t="n">
        <v>9.359999999999999</v>
      </c>
      <c r="F815" s="486" t="n">
        <v>0.04</v>
      </c>
      <c r="G815" s="486" t="inlineStr">
        <is>
          <t>ERROR</t>
        </is>
      </c>
    </row>
    <row r="816" ht="20" customHeight="1" s="225">
      <c r="A816" s="486" t="inlineStr">
        <is>
          <t>9BV</t>
        </is>
      </c>
      <c r="B816" s="486" t="inlineStr">
        <is>
          <t>JAIGUA CARDENAS MARIA VALENTINA</t>
        </is>
      </c>
      <c r="C816" s="486" t="inlineStr">
        <is>
          <t>Promedio Final / P. General</t>
        </is>
      </c>
      <c r="D816" s="486" t="n">
        <v>9.32</v>
      </c>
      <c r="E816" s="486" t="n">
        <v>9.279999999999999</v>
      </c>
      <c r="F816" s="486" t="n">
        <v>0.04</v>
      </c>
      <c r="G816" s="486" t="inlineStr">
        <is>
          <t>ERROR</t>
        </is>
      </c>
    </row>
    <row r="817" ht="20" customHeight="1" s="225">
      <c r="A817" s="486" t="inlineStr">
        <is>
          <t>9BV</t>
        </is>
      </c>
      <c r="B817" s="486" t="inlineStr">
        <is>
          <t>MALLA GUARTAN JUAN DAVID</t>
        </is>
      </c>
      <c r="C817" s="486" t="inlineStr">
        <is>
          <t>Estudios Sociales</t>
        </is>
      </c>
      <c r="D817" s="486" t="n">
        <v>9.06</v>
      </c>
      <c r="E817" s="486" t="n">
        <v>8.56</v>
      </c>
      <c r="F817" s="486" t="n">
        <v>0.5</v>
      </c>
      <c r="G817" s="486" t="inlineStr">
        <is>
          <t>ERROR</t>
        </is>
      </c>
    </row>
    <row r="818" ht="20" customHeight="1" s="225">
      <c r="A818" s="486" t="inlineStr">
        <is>
          <t>9BV</t>
        </is>
      </c>
      <c r="B818" s="486" t="inlineStr">
        <is>
          <t>MALLA GUARTAN JUAN DAVID</t>
        </is>
      </c>
      <c r="C818" s="486" t="inlineStr">
        <is>
          <t>Inglés</t>
        </is>
      </c>
      <c r="D818" s="486" t="n">
        <v>9.09</v>
      </c>
      <c r="E818" s="486" t="n">
        <v>8.710000000000001</v>
      </c>
      <c r="F818" s="486" t="n">
        <v>0.38</v>
      </c>
      <c r="G818" s="486" t="inlineStr">
        <is>
          <t>ERROR</t>
        </is>
      </c>
    </row>
    <row r="819" ht="20" customHeight="1" s="225">
      <c r="A819" s="486" t="inlineStr">
        <is>
          <t>9BV</t>
        </is>
      </c>
      <c r="B819" s="486" t="inlineStr">
        <is>
          <t>MALLA GUARTAN JUAN DAVID</t>
        </is>
      </c>
      <c r="C819" s="486" t="inlineStr">
        <is>
          <t>Promedio Final / P. General</t>
        </is>
      </c>
      <c r="D819" s="486" t="n">
        <v>8.48</v>
      </c>
      <c r="E819" s="486" t="n">
        <v>8.359999999999999</v>
      </c>
      <c r="F819" s="486" t="n">
        <v>0.12</v>
      </c>
      <c r="G819" s="486" t="inlineStr">
        <is>
          <t>ERROR</t>
        </is>
      </c>
    </row>
    <row r="820" ht="20" customHeight="1" s="225">
      <c r="A820" s="486" t="inlineStr">
        <is>
          <t>9BV</t>
        </is>
      </c>
      <c r="B820" s="486" t="inlineStr">
        <is>
          <t>MARCA LLANOS DANA VALENTINA</t>
        </is>
      </c>
      <c r="C820" s="486" t="inlineStr">
        <is>
          <t>Estudios Sociales</t>
        </is>
      </c>
      <c r="D820" s="486" t="n">
        <v>9.09</v>
      </c>
      <c r="E820" s="486" t="n">
        <v>8.58</v>
      </c>
      <c r="F820" s="486" t="n">
        <v>0.51</v>
      </c>
      <c r="G820" s="486" t="inlineStr">
        <is>
          <t>ERROR</t>
        </is>
      </c>
    </row>
    <row r="821" ht="20" customHeight="1" s="225">
      <c r="A821" s="486" t="inlineStr">
        <is>
          <t>9BV</t>
        </is>
      </c>
      <c r="B821" s="486" t="inlineStr">
        <is>
          <t>MARCA LLANOS DANA VALENTINA</t>
        </is>
      </c>
      <c r="C821" s="486" t="inlineStr">
        <is>
          <t>Inglés</t>
        </is>
      </c>
      <c r="D821" s="486" t="n">
        <v>8.51</v>
      </c>
      <c r="E821" s="486" t="n">
        <v>9.640000000000001</v>
      </c>
      <c r="F821" s="486" t="n">
        <v>1.13</v>
      </c>
      <c r="G821" s="486" t="inlineStr">
        <is>
          <t>ERROR</t>
        </is>
      </c>
    </row>
    <row r="822" ht="20" customHeight="1" s="225">
      <c r="A822" s="486" t="inlineStr">
        <is>
          <t>9BV</t>
        </is>
      </c>
      <c r="B822" s="486" t="inlineStr">
        <is>
          <t>MARCA LLANOS DANA VALENTINA</t>
        </is>
      </c>
      <c r="C822" s="486" t="inlineStr">
        <is>
          <t>Promedio Final / P. General</t>
        </is>
      </c>
      <c r="D822" s="486" t="n">
        <v>9.050000000000001</v>
      </c>
      <c r="E822" s="486" t="n">
        <v>9.130000000000001</v>
      </c>
      <c r="F822" s="486" t="n">
        <v>0.08</v>
      </c>
      <c r="G822" s="486" t="inlineStr">
        <is>
          <t>ERROR</t>
        </is>
      </c>
    </row>
    <row r="823" ht="20" customHeight="1" s="225">
      <c r="A823" s="486" t="inlineStr">
        <is>
          <t>9BV</t>
        </is>
      </c>
      <c r="B823" s="486" t="inlineStr">
        <is>
          <t>MENDEZ FAJARDO EMILY YESENIA</t>
        </is>
      </c>
      <c r="C823" s="486" t="inlineStr">
        <is>
          <t>Estudios Sociales</t>
        </is>
      </c>
      <c r="D823" s="486" t="n">
        <v>8.68</v>
      </c>
      <c r="E823" s="486" t="n">
        <v>9.07</v>
      </c>
      <c r="F823" s="486" t="n">
        <v>0.39</v>
      </c>
      <c r="G823" s="486" t="inlineStr">
        <is>
          <t>ERROR</t>
        </is>
      </c>
    </row>
    <row r="824" ht="20" customHeight="1" s="225">
      <c r="A824" s="486" t="inlineStr">
        <is>
          <t>9BV</t>
        </is>
      </c>
      <c r="B824" s="486" t="inlineStr">
        <is>
          <t>MENDEZ FAJARDO EMILY YESENIA</t>
        </is>
      </c>
      <c r="C824" s="486" t="inlineStr">
        <is>
          <t>Inglés</t>
        </is>
      </c>
      <c r="D824" s="486" t="n">
        <v>9.470000000000001</v>
      </c>
      <c r="E824" s="486" t="n">
        <v>9.949999999999999</v>
      </c>
      <c r="F824" s="486" t="n">
        <v>0.48</v>
      </c>
      <c r="G824" s="486" t="inlineStr">
        <is>
          <t>ERROR</t>
        </is>
      </c>
    </row>
    <row r="825" ht="20" customHeight="1" s="225">
      <c r="A825" s="486" t="inlineStr">
        <is>
          <t>9BV</t>
        </is>
      </c>
      <c r="B825" s="486" t="inlineStr">
        <is>
          <t>MENDEZ FAJARDO EMILY YESENIA</t>
        </is>
      </c>
      <c r="C825" s="486" t="inlineStr">
        <is>
          <t>Promedio Final / P. General</t>
        </is>
      </c>
      <c r="D825" s="486" t="n">
        <v>9.26</v>
      </c>
      <c r="E825" s="486" t="n">
        <v>9.380000000000001</v>
      </c>
      <c r="F825" s="486" t="n">
        <v>0.12</v>
      </c>
      <c r="G825" s="486" t="inlineStr">
        <is>
          <t>ERROR</t>
        </is>
      </c>
    </row>
    <row r="826" ht="20" customHeight="1" s="225">
      <c r="A826" s="486" t="inlineStr">
        <is>
          <t>9BV</t>
        </is>
      </c>
      <c r="B826" s="486" t="inlineStr">
        <is>
          <t>MORA GUACHICHULLCA MICHAEL PAUL</t>
        </is>
      </c>
      <c r="C826" s="486" t="inlineStr">
        <is>
          <t>Estudios Sociales</t>
        </is>
      </c>
      <c r="D826" s="486" t="n">
        <v>8.59</v>
      </c>
      <c r="E826" s="486" t="n">
        <v>7.89</v>
      </c>
      <c r="F826" s="486" t="n">
        <v>0.7</v>
      </c>
      <c r="G826" s="486" t="inlineStr">
        <is>
          <t>ERROR</t>
        </is>
      </c>
    </row>
    <row r="827" ht="20" customHeight="1" s="225">
      <c r="A827" s="486" t="inlineStr">
        <is>
          <t>9BV</t>
        </is>
      </c>
      <c r="B827" s="486" t="inlineStr">
        <is>
          <t>MORA GUACHICHULLCA MICHAEL PAUL</t>
        </is>
      </c>
      <c r="C827" s="486" t="inlineStr">
        <is>
          <t>Inglés</t>
        </is>
      </c>
      <c r="D827" s="486" t="n">
        <v>8.6</v>
      </c>
      <c r="E827" s="486" t="n">
        <v>7.94</v>
      </c>
      <c r="F827" s="486" t="n">
        <v>0.66</v>
      </c>
      <c r="G827" s="486" t="inlineStr">
        <is>
          <t>ERROR</t>
        </is>
      </c>
    </row>
    <row r="828" ht="20" customHeight="1" s="225">
      <c r="A828" s="486" t="inlineStr">
        <is>
          <t>9BV</t>
        </is>
      </c>
      <c r="B828" s="486" t="inlineStr">
        <is>
          <t>MORA GUACHICHULLCA MICHAEL PAUL</t>
        </is>
      </c>
      <c r="C828" s="486" t="inlineStr">
        <is>
          <t>Promedio Final / P. General</t>
        </is>
      </c>
      <c r="D828" s="486" t="n">
        <v>7.79</v>
      </c>
      <c r="E828" s="486" t="n">
        <v>7.59</v>
      </c>
      <c r="F828" s="486" t="n">
        <v>0.2</v>
      </c>
      <c r="G828" s="486" t="inlineStr">
        <is>
          <t>ERROR</t>
        </is>
      </c>
    </row>
    <row r="829" ht="20" customHeight="1" s="225">
      <c r="A829" s="485" t="inlineStr">
        <is>
          <t>9BV</t>
        </is>
      </c>
      <c r="B829" s="485" t="inlineStr">
        <is>
          <t>MUÑOZ TUALOMBO KEYLA ROBERTA</t>
        </is>
      </c>
      <c r="C829" s="485" t="inlineStr">
        <is>
          <t>(NÓMINA)</t>
        </is>
      </c>
      <c r="D829" s="485" t="inlineStr">
        <is>
          <t>-</t>
        </is>
      </c>
      <c r="E829" s="485" t="inlineStr">
        <is>
          <t>-</t>
        </is>
      </c>
      <c r="F829" s="485" t="inlineStr">
        <is>
          <t>-</t>
        </is>
      </c>
      <c r="G829" s="485" t="inlineStr">
        <is>
          <t>DESFASE DE NÓMINA</t>
        </is>
      </c>
    </row>
    <row r="830" ht="20" customHeight="1" s="225">
      <c r="A830" s="486" t="inlineStr">
        <is>
          <t>9BV</t>
        </is>
      </c>
      <c r="B830" s="486" t="inlineStr">
        <is>
          <t>MUÑOZ TUALOMBO KEYLA ROBERTA</t>
        </is>
      </c>
      <c r="C830" s="486" t="inlineStr">
        <is>
          <t>Estudios Sociales</t>
        </is>
      </c>
      <c r="D830" s="486" t="n">
        <v>7.66</v>
      </c>
      <c r="E830" s="486" t="n">
        <v>8.789999999999999</v>
      </c>
      <c r="F830" s="486" t="n">
        <v>1.13</v>
      </c>
      <c r="G830" s="486" t="inlineStr">
        <is>
          <t>ERROR</t>
        </is>
      </c>
    </row>
    <row r="831" ht="20" customHeight="1" s="225">
      <c r="A831" s="486" t="inlineStr">
        <is>
          <t>9BV</t>
        </is>
      </c>
      <c r="B831" s="486" t="inlineStr">
        <is>
          <t>MUÑOZ TUALOMBO KEYLA ROBERTA</t>
        </is>
      </c>
      <c r="C831" s="486" t="inlineStr">
        <is>
          <t>Inglés</t>
        </is>
      </c>
      <c r="D831" s="486" t="n">
        <v>8.59</v>
      </c>
      <c r="E831" s="486" t="n">
        <v>7.98</v>
      </c>
      <c r="F831" s="486" t="n">
        <v>0.61</v>
      </c>
      <c r="G831" s="486" t="inlineStr">
        <is>
          <t>ERROR</t>
        </is>
      </c>
    </row>
    <row r="832" ht="20" customHeight="1" s="225">
      <c r="A832" s="486" t="inlineStr">
        <is>
          <t>9BV</t>
        </is>
      </c>
      <c r="B832" s="486" t="inlineStr">
        <is>
          <t>MUÑOZ TUALOMBO KEYLA ROBERTA</t>
        </is>
      </c>
      <c r="C832" s="486" t="inlineStr">
        <is>
          <t>Promedio Final / P. General</t>
        </is>
      </c>
      <c r="D832" s="486" t="n">
        <v>7.77</v>
      </c>
      <c r="E832" s="486" t="n">
        <v>7.85</v>
      </c>
      <c r="F832" s="486" t="n">
        <v>0.08</v>
      </c>
      <c r="G832" s="486" t="inlineStr">
        <is>
          <t>ERROR</t>
        </is>
      </c>
    </row>
    <row r="833" ht="20" customHeight="1" s="225">
      <c r="A833" s="485" t="inlineStr">
        <is>
          <t>9BV</t>
        </is>
      </c>
      <c r="B833" s="485" t="inlineStr">
        <is>
          <t>NAULA NAULA EVELYN MARICELA</t>
        </is>
      </c>
      <c r="C833" s="485" t="inlineStr">
        <is>
          <t>(NÓMINA)</t>
        </is>
      </c>
      <c r="D833" s="485" t="inlineStr">
        <is>
          <t>-</t>
        </is>
      </c>
      <c r="E833" s="485" t="inlineStr">
        <is>
          <t>-</t>
        </is>
      </c>
      <c r="F833" s="485" t="inlineStr">
        <is>
          <t>-</t>
        </is>
      </c>
      <c r="G833" s="485" t="inlineStr">
        <is>
          <t>DESFASE DE NÓMINA</t>
        </is>
      </c>
    </row>
    <row r="834" ht="20" customHeight="1" s="225">
      <c r="A834" s="486" t="inlineStr">
        <is>
          <t>9BV</t>
        </is>
      </c>
      <c r="B834" s="486" t="inlineStr">
        <is>
          <t>NAULA NAULA EVELYN MARICELA</t>
        </is>
      </c>
      <c r="C834" s="486" t="inlineStr">
        <is>
          <t>Lengua y Literatura</t>
        </is>
      </c>
      <c r="D834" s="486" t="n">
        <v>9.25</v>
      </c>
      <c r="E834" s="486" t="n">
        <v>9.43</v>
      </c>
      <c r="F834" s="486" t="n">
        <v>0.18</v>
      </c>
      <c r="G834" s="486" t="inlineStr">
        <is>
          <t>ERROR</t>
        </is>
      </c>
    </row>
    <row r="835" ht="20" customHeight="1" s="225">
      <c r="A835" s="486" t="inlineStr">
        <is>
          <t>9BV</t>
        </is>
      </c>
      <c r="B835" s="486" t="inlineStr">
        <is>
          <t>NAULA NAULA EVELYN MARICELA</t>
        </is>
      </c>
      <c r="C835" s="486" t="inlineStr">
        <is>
          <t>Ciencias Naturales</t>
        </is>
      </c>
      <c r="D835" s="486" t="n">
        <v>8.49</v>
      </c>
      <c r="E835" s="486" t="n">
        <v>8.76</v>
      </c>
      <c r="F835" s="486" t="n">
        <v>0.27</v>
      </c>
      <c r="G835" s="486" t="inlineStr">
        <is>
          <t>ERROR</t>
        </is>
      </c>
    </row>
    <row r="836" ht="20" customHeight="1" s="225">
      <c r="A836" s="486" t="inlineStr">
        <is>
          <t>9BV</t>
        </is>
      </c>
      <c r="B836" s="486" t="inlineStr">
        <is>
          <t>NAULA NAULA EVELYN MARICELA</t>
        </is>
      </c>
      <c r="C836" s="486" t="inlineStr">
        <is>
          <t>Inglés</t>
        </is>
      </c>
      <c r="D836" s="486" t="n">
        <v>8.24</v>
      </c>
      <c r="E836" s="486" t="n">
        <v>9.4</v>
      </c>
      <c r="F836" s="486" t="n">
        <v>1.16</v>
      </c>
      <c r="G836" s="486" t="inlineStr">
        <is>
          <t>ERROR</t>
        </is>
      </c>
    </row>
    <row r="837" ht="20" customHeight="1" s="225">
      <c r="A837" s="486" t="inlineStr">
        <is>
          <t>9BV</t>
        </is>
      </c>
      <c r="B837" s="486" t="inlineStr">
        <is>
          <t>NAULA NAULA EVELYN MARICELA</t>
        </is>
      </c>
      <c r="C837" s="486" t="inlineStr">
        <is>
          <t>Promedio Final / P. General</t>
        </is>
      </c>
      <c r="D837" s="486" t="n">
        <v>8.960000000000001</v>
      </c>
      <c r="E837" s="486" t="n">
        <v>9.199999999999999</v>
      </c>
      <c r="F837" s="486" t="n">
        <v>0.24</v>
      </c>
      <c r="G837" s="486" t="inlineStr">
        <is>
          <t>ERROR</t>
        </is>
      </c>
    </row>
    <row r="838" ht="20" customHeight="1" s="225">
      <c r="A838" s="485" t="inlineStr">
        <is>
          <t>9BV</t>
        </is>
      </c>
      <c r="B838" s="485" t="inlineStr">
        <is>
          <t>NAULA SIMBAÑA MELANI GABRIELA</t>
        </is>
      </c>
      <c r="C838" s="485" t="inlineStr">
        <is>
          <t>(NÓMINA)</t>
        </is>
      </c>
      <c r="D838" s="485" t="inlineStr">
        <is>
          <t>-</t>
        </is>
      </c>
      <c r="E838" s="485" t="inlineStr">
        <is>
          <t>-</t>
        </is>
      </c>
      <c r="F838" s="485" t="inlineStr">
        <is>
          <t>-</t>
        </is>
      </c>
      <c r="G838" s="485" t="inlineStr">
        <is>
          <t>DESFASE DE NÓMINA</t>
        </is>
      </c>
    </row>
    <row r="839" ht="20" customHeight="1" s="225">
      <c r="A839" s="486" t="inlineStr">
        <is>
          <t>9BV</t>
        </is>
      </c>
      <c r="B839" s="486" t="inlineStr">
        <is>
          <t>NAULA SIMBAÑA MELANI GABRIELA</t>
        </is>
      </c>
      <c r="C839" s="486" t="inlineStr">
        <is>
          <t>Ciencias Naturales</t>
        </is>
      </c>
      <c r="D839" s="486" t="n">
        <v>9.289999999999999</v>
      </c>
      <c r="E839" s="486" t="n">
        <v>8.539999999999999</v>
      </c>
      <c r="F839" s="486" t="n">
        <v>0.75</v>
      </c>
      <c r="G839" s="486" t="inlineStr">
        <is>
          <t>ERROR</t>
        </is>
      </c>
    </row>
    <row r="840" ht="20" customHeight="1" s="225">
      <c r="A840" s="486" t="inlineStr">
        <is>
          <t>9BV</t>
        </is>
      </c>
      <c r="B840" s="486" t="inlineStr">
        <is>
          <t>NAULA SIMBAÑA MELANI GABRIELA</t>
        </is>
      </c>
      <c r="C840" s="486" t="inlineStr">
        <is>
          <t>Estudios Sociales</t>
        </is>
      </c>
      <c r="D840" s="486" t="n">
        <v>9.33</v>
      </c>
      <c r="E840" s="486" t="n">
        <v>9.74</v>
      </c>
      <c r="F840" s="486" t="n">
        <v>0.41</v>
      </c>
      <c r="G840" s="486" t="inlineStr">
        <is>
          <t>ERROR</t>
        </is>
      </c>
    </row>
    <row r="841" ht="20" customHeight="1" s="225">
      <c r="A841" s="486" t="inlineStr">
        <is>
          <t>9BV</t>
        </is>
      </c>
      <c r="B841" s="486" t="inlineStr">
        <is>
          <t>NAULA SIMBAÑA MELANI GABRIELA</t>
        </is>
      </c>
      <c r="C841" s="486" t="inlineStr">
        <is>
          <t>Inglés</t>
        </is>
      </c>
      <c r="D841" s="486" t="n">
        <v>9.43</v>
      </c>
      <c r="E841" s="486" t="n">
        <v>9.710000000000001</v>
      </c>
      <c r="F841" s="486" t="n">
        <v>0.28</v>
      </c>
      <c r="G841" s="486" t="inlineStr">
        <is>
          <t>ERROR</t>
        </is>
      </c>
    </row>
    <row r="842" ht="20" customHeight="1" s="225">
      <c r="A842" s="485" t="inlineStr">
        <is>
          <t>9BV</t>
        </is>
      </c>
      <c r="B842" s="485" t="inlineStr">
        <is>
          <t>NIEVES VILLA JEICOL ANDRES</t>
        </is>
      </c>
      <c r="C842" s="485" t="inlineStr">
        <is>
          <t>(NÓMINA)</t>
        </is>
      </c>
      <c r="D842" s="485" t="inlineStr">
        <is>
          <t>-</t>
        </is>
      </c>
      <c r="E842" s="485" t="inlineStr">
        <is>
          <t>-</t>
        </is>
      </c>
      <c r="F842" s="485" t="inlineStr">
        <is>
          <t>-</t>
        </is>
      </c>
      <c r="G842" s="485" t="inlineStr">
        <is>
          <t>DESFASE DE NÓMINA</t>
        </is>
      </c>
    </row>
    <row r="843" ht="20" customHeight="1" s="225">
      <c r="A843" s="486" t="inlineStr">
        <is>
          <t>9BV</t>
        </is>
      </c>
      <c r="B843" s="486" t="inlineStr">
        <is>
          <t>NIEVES VILLA JEICOL ANDRES</t>
        </is>
      </c>
      <c r="C843" s="486" t="inlineStr">
        <is>
          <t>Estudios Sociales</t>
        </is>
      </c>
      <c r="D843" s="486" t="n">
        <v>9.359999999999999</v>
      </c>
      <c r="E843" s="486" t="n">
        <v>7.3</v>
      </c>
      <c r="F843" s="486" t="n">
        <v>2.06</v>
      </c>
      <c r="G843" s="486" t="inlineStr">
        <is>
          <t>ERROR</t>
        </is>
      </c>
    </row>
    <row r="844" ht="20" customHeight="1" s="225">
      <c r="A844" s="486" t="inlineStr">
        <is>
          <t>9BV</t>
        </is>
      </c>
      <c r="B844" s="486" t="inlineStr">
        <is>
          <t>NIEVES VILLA JEICOL ANDRES</t>
        </is>
      </c>
      <c r="C844" s="486" t="inlineStr">
        <is>
          <t>Inglés</t>
        </is>
      </c>
      <c r="D844" s="486" t="n">
        <v>8.91</v>
      </c>
      <c r="E844" s="486" t="n">
        <v>7.89</v>
      </c>
      <c r="F844" s="486" t="n">
        <v>1.02</v>
      </c>
      <c r="G844" s="486" t="inlineStr">
        <is>
          <t>ERROR</t>
        </is>
      </c>
    </row>
    <row r="845" ht="20" customHeight="1" s="225">
      <c r="A845" s="486" t="inlineStr">
        <is>
          <t>9BV</t>
        </is>
      </c>
      <c r="B845" s="486" t="inlineStr">
        <is>
          <t>NIEVES VILLA JEICOL ANDRES</t>
        </is>
      </c>
      <c r="C845" s="486" t="inlineStr">
        <is>
          <t>Promedio Final / P. General</t>
        </is>
      </c>
      <c r="D845" s="486" t="n">
        <v>8.06</v>
      </c>
      <c r="E845" s="486" t="n">
        <v>7.62</v>
      </c>
      <c r="F845" s="486" t="n">
        <v>0.44</v>
      </c>
      <c r="G845" s="486" t="inlineStr">
        <is>
          <t>ERROR</t>
        </is>
      </c>
    </row>
    <row r="846" ht="20" customHeight="1" s="225">
      <c r="A846" s="485" t="inlineStr">
        <is>
          <t>9BV</t>
        </is>
      </c>
      <c r="B846" s="485" t="inlineStr">
        <is>
          <t>NIOLA QUITO ASHLY TATIANA</t>
        </is>
      </c>
      <c r="C846" s="485" t="inlineStr">
        <is>
          <t>(NÓMINA)</t>
        </is>
      </c>
      <c r="D846" s="485" t="inlineStr">
        <is>
          <t>-</t>
        </is>
      </c>
      <c r="E846" s="485" t="inlineStr">
        <is>
          <t>-</t>
        </is>
      </c>
      <c r="F846" s="485" t="inlineStr">
        <is>
          <t>-</t>
        </is>
      </c>
      <c r="G846" s="485" t="inlineStr">
        <is>
          <t>DESFASE DE NÓMINA</t>
        </is>
      </c>
    </row>
    <row r="847" ht="20" customHeight="1" s="225">
      <c r="A847" s="486" t="inlineStr">
        <is>
          <t>9BV</t>
        </is>
      </c>
      <c r="B847" s="486" t="inlineStr">
        <is>
          <t>NIOLA QUITO ASHLY TATIANA</t>
        </is>
      </c>
      <c r="C847" s="486" t="inlineStr">
        <is>
          <t>Estudios Sociales</t>
        </is>
      </c>
      <c r="D847" s="486" t="n">
        <v>7.04</v>
      </c>
      <c r="E847" s="486" t="n">
        <v>7.54</v>
      </c>
      <c r="F847" s="486" t="n">
        <v>0.5</v>
      </c>
      <c r="G847" s="486" t="inlineStr">
        <is>
          <t>ERROR</t>
        </is>
      </c>
    </row>
    <row r="848" ht="20" customHeight="1" s="225">
      <c r="A848" s="486" t="inlineStr">
        <is>
          <t>9BV</t>
        </is>
      </c>
      <c r="B848" s="486" t="inlineStr">
        <is>
          <t>NIOLA QUITO ASHLY TATIANA</t>
        </is>
      </c>
      <c r="C848" s="486" t="inlineStr">
        <is>
          <t>Inglés</t>
        </is>
      </c>
      <c r="D848" s="486" t="n">
        <v>8.51</v>
      </c>
      <c r="E848" s="486" t="n">
        <v>8.18</v>
      </c>
      <c r="F848" s="486" t="n">
        <v>0.33</v>
      </c>
      <c r="G848" s="486" t="inlineStr">
        <is>
          <t>ERROR</t>
        </is>
      </c>
    </row>
    <row r="849" ht="20" customHeight="1" s="225">
      <c r="A849" s="485" t="inlineStr">
        <is>
          <t>9BV</t>
        </is>
      </c>
      <c r="B849" s="485" t="inlineStr">
        <is>
          <t>PAUCAR QUIZHPI DIEGO ARMANDO</t>
        </is>
      </c>
      <c r="C849" s="485" t="inlineStr">
        <is>
          <t>(NÓMINA)</t>
        </is>
      </c>
      <c r="D849" s="485" t="inlineStr">
        <is>
          <t>-</t>
        </is>
      </c>
      <c r="E849" s="485" t="inlineStr">
        <is>
          <t>-</t>
        </is>
      </c>
      <c r="F849" s="485" t="inlineStr">
        <is>
          <t>-</t>
        </is>
      </c>
      <c r="G849" s="485" t="inlineStr">
        <is>
          <t>DESFASE DE NÓMINA</t>
        </is>
      </c>
    </row>
    <row r="850" ht="20" customHeight="1" s="225">
      <c r="A850" s="486" t="inlineStr">
        <is>
          <t>9BV</t>
        </is>
      </c>
      <c r="B850" s="486" t="inlineStr">
        <is>
          <t>PAUCAR QUIZHPI DIEGO ARMANDO</t>
        </is>
      </c>
      <c r="C850" s="486" t="inlineStr">
        <is>
          <t>Estudios Sociales</t>
        </is>
      </c>
      <c r="D850" s="486" t="n">
        <v>7.68</v>
      </c>
      <c r="E850" s="486" t="n">
        <v>8.58</v>
      </c>
      <c r="F850" s="486" t="n">
        <v>0.9</v>
      </c>
      <c r="G850" s="486" t="inlineStr">
        <is>
          <t>ERROR</t>
        </is>
      </c>
    </row>
    <row r="851" ht="20" customHeight="1" s="225">
      <c r="A851" s="486" t="inlineStr">
        <is>
          <t>9BV</t>
        </is>
      </c>
      <c r="B851" s="486" t="inlineStr">
        <is>
          <t>PAUCAR QUIZHPI DIEGO ARMANDO</t>
        </is>
      </c>
      <c r="C851" s="486" t="inlineStr">
        <is>
          <t>Inglés</t>
        </is>
      </c>
      <c r="D851" s="486" t="n">
        <v>8.050000000000001</v>
      </c>
      <c r="E851" s="486" t="n">
        <v>7.58</v>
      </c>
      <c r="F851" s="486" t="n">
        <v>0.47</v>
      </c>
      <c r="G851" s="486" t="inlineStr">
        <is>
          <t>ERROR</t>
        </is>
      </c>
    </row>
    <row r="852" ht="20" customHeight="1" s="225">
      <c r="A852" s="486" t="inlineStr">
        <is>
          <t>9BV</t>
        </is>
      </c>
      <c r="B852" s="486" t="inlineStr">
        <is>
          <t>PAUCAR QUIZHPI DIEGO ARMANDO</t>
        </is>
      </c>
      <c r="C852" s="486" t="inlineStr">
        <is>
          <t>Promedio Final / P. General</t>
        </is>
      </c>
      <c r="D852" s="486" t="n">
        <v>7.56</v>
      </c>
      <c r="E852" s="486" t="n">
        <v>7.62</v>
      </c>
      <c r="F852" s="486" t="n">
        <v>0.06</v>
      </c>
      <c r="G852" s="486" t="inlineStr">
        <is>
          <t>ERROR</t>
        </is>
      </c>
    </row>
    <row r="853" ht="20" customHeight="1" s="225">
      <c r="A853" s="485" t="inlineStr">
        <is>
          <t>9BV</t>
        </is>
      </c>
      <c r="B853" s="485" t="inlineStr">
        <is>
          <t>PERALTA MALLA JOSE ANTONIO</t>
        </is>
      </c>
      <c r="C853" s="485" t="inlineStr">
        <is>
          <t>(NÓMINA)</t>
        </is>
      </c>
      <c r="D853" s="485" t="inlineStr">
        <is>
          <t>-</t>
        </is>
      </c>
      <c r="E853" s="485" t="inlineStr">
        <is>
          <t>-</t>
        </is>
      </c>
      <c r="F853" s="485" t="inlineStr">
        <is>
          <t>-</t>
        </is>
      </c>
      <c r="G853" s="485" t="inlineStr">
        <is>
          <t>DESFASE DE NÓMINA</t>
        </is>
      </c>
    </row>
    <row r="854" ht="20" customHeight="1" s="225">
      <c r="A854" s="486" t="inlineStr">
        <is>
          <t>9BV</t>
        </is>
      </c>
      <c r="B854" s="486" t="inlineStr">
        <is>
          <t>PERALTA MALLA JOSE ANTONIO</t>
        </is>
      </c>
      <c r="C854" s="486" t="inlineStr">
        <is>
          <t>Estudios Sociales</t>
        </is>
      </c>
      <c r="D854" s="486" t="n">
        <v>7.94</v>
      </c>
      <c r="E854" s="486" t="n">
        <v>8.869999999999999</v>
      </c>
      <c r="F854" s="486" t="n">
        <v>0.93</v>
      </c>
      <c r="G854" s="486" t="inlineStr">
        <is>
          <t>ERROR</t>
        </is>
      </c>
    </row>
    <row r="855" ht="20" customHeight="1" s="225">
      <c r="A855" s="486" t="inlineStr">
        <is>
          <t>9BV</t>
        </is>
      </c>
      <c r="B855" s="486" t="inlineStr">
        <is>
          <t>PERALTA MALLA JOSE ANTONIO</t>
        </is>
      </c>
      <c r="C855" s="486" t="inlineStr">
        <is>
          <t>Inglés</t>
        </is>
      </c>
      <c r="D855" s="486" t="n">
        <v>7.65</v>
      </c>
      <c r="E855" s="486" t="n">
        <v>8.65</v>
      </c>
      <c r="F855" s="486" t="n">
        <v>1</v>
      </c>
      <c r="G855" s="486" t="inlineStr">
        <is>
          <t>ERROR</t>
        </is>
      </c>
    </row>
    <row r="856" ht="20" customHeight="1" s="225">
      <c r="A856" s="486" t="inlineStr">
        <is>
          <t>9BV</t>
        </is>
      </c>
      <c r="B856" s="486" t="inlineStr">
        <is>
          <t>PERALTA MALLA JOSE ANTONIO</t>
        </is>
      </c>
      <c r="C856" s="486" t="inlineStr">
        <is>
          <t>Promedio Final / P. General</t>
        </is>
      </c>
      <c r="D856" s="486" t="n">
        <v>8.08</v>
      </c>
      <c r="E856" s="486" t="n">
        <v>8.35</v>
      </c>
      <c r="F856" s="486" t="n">
        <v>0.27</v>
      </c>
      <c r="G856" s="486" t="inlineStr">
        <is>
          <t>ERROR</t>
        </is>
      </c>
    </row>
    <row r="857" ht="20" customHeight="1" s="225">
      <c r="A857" s="485" t="inlineStr">
        <is>
          <t>9BV</t>
        </is>
      </c>
      <c r="B857" s="485" t="inlineStr">
        <is>
          <t>PILLACELA CHILLOGALLI KAREN ELIZABETH</t>
        </is>
      </c>
      <c r="C857" s="485" t="inlineStr">
        <is>
          <t>(NÓMINA)</t>
        </is>
      </c>
      <c r="D857" s="485" t="inlineStr">
        <is>
          <t>-</t>
        </is>
      </c>
      <c r="E857" s="485" t="inlineStr">
        <is>
          <t>-</t>
        </is>
      </c>
      <c r="F857" s="485" t="inlineStr">
        <is>
          <t>-</t>
        </is>
      </c>
      <c r="G857" s="485" t="inlineStr">
        <is>
          <t>DESFASE DE NÓMINA</t>
        </is>
      </c>
    </row>
    <row r="858" ht="20" customHeight="1" s="225">
      <c r="A858" s="486" t="inlineStr">
        <is>
          <t>9BV</t>
        </is>
      </c>
      <c r="B858" s="486" t="inlineStr">
        <is>
          <t>PILLACELA CHILLOGALLI KAREN ELIZABETH</t>
        </is>
      </c>
      <c r="C858" s="486" t="inlineStr">
        <is>
          <t>Estudios Sociales</t>
        </is>
      </c>
      <c r="D858" s="486" t="n">
        <v>9.140000000000001</v>
      </c>
      <c r="E858" s="486" t="n">
        <v>9.279999999999999</v>
      </c>
      <c r="F858" s="486" t="n">
        <v>0.14</v>
      </c>
      <c r="G858" s="486" t="inlineStr">
        <is>
          <t>ERROR</t>
        </is>
      </c>
    </row>
    <row r="859" ht="20" customHeight="1" s="225">
      <c r="A859" s="486" t="inlineStr">
        <is>
          <t>9BV</t>
        </is>
      </c>
      <c r="B859" s="486" t="inlineStr">
        <is>
          <t>PILLACELA CHILLOGALLI KAREN ELIZABETH</t>
        </is>
      </c>
      <c r="C859" s="486" t="inlineStr">
        <is>
          <t>Inglés</t>
        </is>
      </c>
      <c r="D859" s="486" t="n">
        <v>8.970000000000001</v>
      </c>
      <c r="E859" s="486" t="n">
        <v>10</v>
      </c>
      <c r="F859" s="486" t="n">
        <v>1.03</v>
      </c>
      <c r="G859" s="486" t="inlineStr">
        <is>
          <t>ERROR</t>
        </is>
      </c>
    </row>
    <row r="860" ht="20" customHeight="1" s="225">
      <c r="A860" s="486" t="inlineStr">
        <is>
          <t>9BV</t>
        </is>
      </c>
      <c r="B860" s="486" t="inlineStr">
        <is>
          <t>PILLACELA CHILLOGALLI KAREN ELIZABETH</t>
        </is>
      </c>
      <c r="C860" s="486" t="inlineStr">
        <is>
          <t>Promedio Final / P. General</t>
        </is>
      </c>
      <c r="D860" s="486" t="n">
        <v>9.109999999999999</v>
      </c>
      <c r="E860" s="486" t="n">
        <v>9.27</v>
      </c>
      <c r="F860" s="486" t="n">
        <v>0.16</v>
      </c>
      <c r="G860" s="486" t="inlineStr">
        <is>
          <t>ERROR</t>
        </is>
      </c>
    </row>
    <row r="861" ht="20" customHeight="1" s="225">
      <c r="A861" s="485" t="inlineStr">
        <is>
          <t>9BV</t>
        </is>
      </c>
      <c r="B861" s="485" t="inlineStr">
        <is>
          <t>QUEZADA NAULA KARLA NAYELI</t>
        </is>
      </c>
      <c r="C861" s="485" t="inlineStr">
        <is>
          <t>(NÓMINA)</t>
        </is>
      </c>
      <c r="D861" s="485" t="inlineStr">
        <is>
          <t>-</t>
        </is>
      </c>
      <c r="E861" s="485" t="inlineStr">
        <is>
          <t>-</t>
        </is>
      </c>
      <c r="F861" s="485" t="inlineStr">
        <is>
          <t>-</t>
        </is>
      </c>
      <c r="G861" s="485" t="inlineStr">
        <is>
          <t>DESFASE DE NÓMINA</t>
        </is>
      </c>
    </row>
    <row r="862" ht="20" customHeight="1" s="225">
      <c r="A862" s="486" t="inlineStr">
        <is>
          <t>9BV</t>
        </is>
      </c>
      <c r="B862" s="486" t="inlineStr">
        <is>
          <t>QUEZADA NAULA KARLA NAYELI</t>
        </is>
      </c>
      <c r="C862" s="486" t="inlineStr">
        <is>
          <t>Estudios Sociales</t>
        </is>
      </c>
      <c r="D862" s="486" t="n">
        <v>9.609999999999999</v>
      </c>
      <c r="E862" s="486" t="n">
        <v>8.4</v>
      </c>
      <c r="F862" s="486" t="n">
        <v>1.21</v>
      </c>
      <c r="G862" s="486" t="inlineStr">
        <is>
          <t>ERROR</t>
        </is>
      </c>
    </row>
    <row r="863" ht="20" customHeight="1" s="225">
      <c r="A863" s="486" t="inlineStr">
        <is>
          <t>9BV</t>
        </is>
      </c>
      <c r="B863" s="486" t="inlineStr">
        <is>
          <t>QUEZADA NAULA KARLA NAYELI</t>
        </is>
      </c>
      <c r="C863" s="486" t="inlineStr">
        <is>
          <t>Inglés</t>
        </is>
      </c>
      <c r="D863" s="486" t="n">
        <v>9.42</v>
      </c>
      <c r="E863" s="486" t="n">
        <v>8.109999999999999</v>
      </c>
      <c r="F863" s="486" t="n">
        <v>1.31</v>
      </c>
      <c r="G863" s="486" t="inlineStr">
        <is>
          <t>ERROR</t>
        </is>
      </c>
    </row>
    <row r="864" ht="20" customHeight="1" s="225">
      <c r="A864" s="486" t="inlineStr">
        <is>
          <t>9BV</t>
        </is>
      </c>
      <c r="B864" s="486" t="inlineStr">
        <is>
          <t>QUEZADA NAULA KARLA NAYELI</t>
        </is>
      </c>
      <c r="C864" s="486" t="inlineStr">
        <is>
          <t>Promedio Final / P. General</t>
        </is>
      </c>
      <c r="D864" s="486" t="n">
        <v>8.07</v>
      </c>
      <c r="E864" s="486" t="n">
        <v>7.71</v>
      </c>
      <c r="F864" s="486" t="n">
        <v>0.36</v>
      </c>
      <c r="G864" s="486" t="inlineStr">
        <is>
          <t>ERROR</t>
        </is>
      </c>
    </row>
    <row r="865" ht="20" customHeight="1" s="225">
      <c r="A865" s="485" t="inlineStr">
        <is>
          <t>9BV</t>
        </is>
      </c>
      <c r="B865" s="485" t="inlineStr">
        <is>
          <t>QUITO CAGUANA ASHLEY VALENTINA</t>
        </is>
      </c>
      <c r="C865" s="485" t="inlineStr">
        <is>
          <t>(NÓMINA)</t>
        </is>
      </c>
      <c r="D865" s="485" t="inlineStr">
        <is>
          <t>-</t>
        </is>
      </c>
      <c r="E865" s="485" t="inlineStr">
        <is>
          <t>-</t>
        </is>
      </c>
      <c r="F865" s="485" t="inlineStr">
        <is>
          <t>-</t>
        </is>
      </c>
      <c r="G865" s="485" t="inlineStr">
        <is>
          <t>DESFASE DE NÓMINA</t>
        </is>
      </c>
    </row>
    <row r="866" ht="20" customHeight="1" s="225">
      <c r="A866" s="486" t="inlineStr">
        <is>
          <t>9BV</t>
        </is>
      </c>
      <c r="B866" s="486" t="inlineStr">
        <is>
          <t>QUITO CAGUANA ASHLEY VALENTINA</t>
        </is>
      </c>
      <c r="C866" s="486" t="inlineStr">
        <is>
          <t>Estudios Sociales</t>
        </is>
      </c>
      <c r="D866" s="486" t="n">
        <v>8.130000000000001</v>
      </c>
      <c r="E866" s="486" t="n">
        <v>7.7</v>
      </c>
      <c r="F866" s="486" t="n">
        <v>0.43</v>
      </c>
      <c r="G866" s="486" t="inlineStr">
        <is>
          <t>ERROR</t>
        </is>
      </c>
    </row>
    <row r="867" ht="20" customHeight="1" s="225">
      <c r="A867" s="486" t="inlineStr">
        <is>
          <t>9BV</t>
        </is>
      </c>
      <c r="B867" s="486" t="inlineStr">
        <is>
          <t>QUITO CAGUANA ASHLEY VALENTINA</t>
        </is>
      </c>
      <c r="C867" s="486" t="inlineStr">
        <is>
          <t>Inglés</t>
        </is>
      </c>
      <c r="D867" s="486" t="n">
        <v>8.640000000000001</v>
      </c>
      <c r="E867" s="486" t="n">
        <v>8.43</v>
      </c>
      <c r="F867" s="486" t="n">
        <v>0.21</v>
      </c>
      <c r="G867" s="486" t="inlineStr">
        <is>
          <t>ERROR</t>
        </is>
      </c>
    </row>
    <row r="868" ht="20" customHeight="1" s="225">
      <c r="A868" s="486" t="inlineStr">
        <is>
          <t>9BV</t>
        </is>
      </c>
      <c r="B868" s="486" t="inlineStr">
        <is>
          <t>QUITO CAGUANA ASHLEY VALENTINA</t>
        </is>
      </c>
      <c r="C868" s="486" t="inlineStr">
        <is>
          <t>Promedio Final / P. General</t>
        </is>
      </c>
      <c r="D868" s="486" t="n">
        <v>8.09</v>
      </c>
      <c r="E868" s="486" t="n">
        <v>8</v>
      </c>
      <c r="F868" s="486" t="n">
        <v>0.09</v>
      </c>
      <c r="G868" s="486" t="inlineStr">
        <is>
          <t>ERROR</t>
        </is>
      </c>
    </row>
    <row r="869" ht="20" customHeight="1" s="225">
      <c r="A869" s="485" t="inlineStr">
        <is>
          <t>9BV</t>
        </is>
      </c>
      <c r="B869" s="485" t="inlineStr">
        <is>
          <t>QUITO CORDERO NICOLE ARIANNA</t>
        </is>
      </c>
      <c r="C869" s="485" t="inlineStr">
        <is>
          <t>(NÓMINA)</t>
        </is>
      </c>
      <c r="D869" s="485" t="inlineStr">
        <is>
          <t>-</t>
        </is>
      </c>
      <c r="E869" s="485" t="inlineStr">
        <is>
          <t>-</t>
        </is>
      </c>
      <c r="F869" s="485" t="inlineStr">
        <is>
          <t>-</t>
        </is>
      </c>
      <c r="G869" s="485" t="inlineStr">
        <is>
          <t>DESFASE DE NÓMINA</t>
        </is>
      </c>
    </row>
    <row r="870" ht="20" customHeight="1" s="225">
      <c r="A870" s="486" t="inlineStr">
        <is>
          <t>9BV</t>
        </is>
      </c>
      <c r="B870" s="486" t="inlineStr">
        <is>
          <t>QUITO CORDERO NICOLE ARIANNA</t>
        </is>
      </c>
      <c r="C870" s="486" t="inlineStr">
        <is>
          <t>Estudios Sociales</t>
        </is>
      </c>
      <c r="D870" s="486" t="n">
        <v>7.96</v>
      </c>
      <c r="E870" s="486" t="n">
        <v>8.970000000000001</v>
      </c>
      <c r="F870" s="486" t="n">
        <v>1.01</v>
      </c>
      <c r="G870" s="486" t="inlineStr">
        <is>
          <t>ERROR</t>
        </is>
      </c>
    </row>
    <row r="871" ht="20" customHeight="1" s="225">
      <c r="A871" s="486" t="inlineStr">
        <is>
          <t>9BV</t>
        </is>
      </c>
      <c r="B871" s="486" t="inlineStr">
        <is>
          <t>QUITO CORDERO NICOLE ARIANNA</t>
        </is>
      </c>
      <c r="C871" s="486" t="inlineStr">
        <is>
          <t>Inglés</t>
        </is>
      </c>
      <c r="D871" s="486" t="n">
        <v>8.539999999999999</v>
      </c>
      <c r="E871" s="486" t="n">
        <v>9.470000000000001</v>
      </c>
      <c r="F871" s="486" t="n">
        <v>0.93</v>
      </c>
      <c r="G871" s="486" t="inlineStr">
        <is>
          <t>ERROR</t>
        </is>
      </c>
    </row>
    <row r="872" ht="20" customHeight="1" s="225">
      <c r="A872" s="486" t="inlineStr">
        <is>
          <t>9BV</t>
        </is>
      </c>
      <c r="B872" s="486" t="inlineStr">
        <is>
          <t>QUITO CORDERO NICOLE ARIANNA</t>
        </is>
      </c>
      <c r="C872" s="486" t="inlineStr">
        <is>
          <t>Educación Física</t>
        </is>
      </c>
      <c r="D872" s="486" t="n">
        <v>9.31</v>
      </c>
      <c r="E872" s="486" t="n">
        <v>9.19</v>
      </c>
      <c r="F872" s="486" t="n">
        <v>0.12</v>
      </c>
      <c r="G872" s="486" t="inlineStr">
        <is>
          <t>ERROR</t>
        </is>
      </c>
    </row>
    <row r="873" ht="20" customHeight="1" s="225">
      <c r="A873" s="486" t="inlineStr">
        <is>
          <t>9BV</t>
        </is>
      </c>
      <c r="B873" s="486" t="inlineStr">
        <is>
          <t>QUITO CORDERO NICOLE ARIANNA</t>
        </is>
      </c>
      <c r="C873" s="486" t="inlineStr">
        <is>
          <t>Promedio Final / P. General</t>
        </is>
      </c>
      <c r="D873" s="486" t="n">
        <v>8.65</v>
      </c>
      <c r="E873" s="486" t="n">
        <v>8.91</v>
      </c>
      <c r="F873" s="486" t="n">
        <v>0.26</v>
      </c>
      <c r="G873" s="486" t="inlineStr">
        <is>
          <t>ERROR</t>
        </is>
      </c>
    </row>
    <row r="874" ht="20" customHeight="1" s="225">
      <c r="A874" s="485" t="inlineStr">
        <is>
          <t>9BV</t>
        </is>
      </c>
      <c r="B874" s="485" t="inlineStr">
        <is>
          <t>QUITO GUACHICHULLCA STEVEN JOEL</t>
        </is>
      </c>
      <c r="C874" s="485" t="inlineStr">
        <is>
          <t>(NÓMINA)</t>
        </is>
      </c>
      <c r="D874" s="485" t="inlineStr">
        <is>
          <t>-</t>
        </is>
      </c>
      <c r="E874" s="485" t="inlineStr">
        <is>
          <t>-</t>
        </is>
      </c>
      <c r="F874" s="485" t="inlineStr">
        <is>
          <t>-</t>
        </is>
      </c>
      <c r="G874" s="485" t="inlineStr">
        <is>
          <t>DESFASE DE NÓMINA</t>
        </is>
      </c>
    </row>
    <row r="875" ht="20" customHeight="1" s="225">
      <c r="A875" s="486" t="inlineStr">
        <is>
          <t>9BV</t>
        </is>
      </c>
      <c r="B875" s="486" t="inlineStr">
        <is>
          <t>QUITO GUACHICHULLCA STEVEN JOEL</t>
        </is>
      </c>
      <c r="C875" s="486" t="inlineStr">
        <is>
          <t>Estudios Sociales</t>
        </is>
      </c>
      <c r="D875" s="486" t="n">
        <v>9.050000000000001</v>
      </c>
      <c r="E875" s="486" t="n">
        <v>7.65</v>
      </c>
      <c r="F875" s="486" t="n">
        <v>1.4</v>
      </c>
      <c r="G875" s="486" t="inlineStr">
        <is>
          <t>ERROR</t>
        </is>
      </c>
    </row>
    <row r="876" ht="20" customHeight="1" s="225">
      <c r="A876" s="486" t="inlineStr">
        <is>
          <t>9BV</t>
        </is>
      </c>
      <c r="B876" s="486" t="inlineStr">
        <is>
          <t>QUITO GUACHICHULLCA STEVEN JOEL</t>
        </is>
      </c>
      <c r="C876" s="486" t="inlineStr">
        <is>
          <t>Inglés</t>
        </is>
      </c>
      <c r="D876" s="486" t="n">
        <v>8.82</v>
      </c>
      <c r="E876" s="486" t="n">
        <v>7.75</v>
      </c>
      <c r="F876" s="486" t="n">
        <v>1.07</v>
      </c>
      <c r="G876" s="486" t="inlineStr">
        <is>
          <t>ERROR</t>
        </is>
      </c>
    </row>
    <row r="877" ht="20" customHeight="1" s="225">
      <c r="A877" s="486" t="inlineStr">
        <is>
          <t>9BV</t>
        </is>
      </c>
      <c r="B877" s="486" t="inlineStr">
        <is>
          <t>QUITO GUACHICHULLCA STEVEN JOEL</t>
        </is>
      </c>
      <c r="C877" s="486" t="inlineStr">
        <is>
          <t>Promedio Final / P. General</t>
        </is>
      </c>
      <c r="D877" s="486" t="n">
        <v>7.78</v>
      </c>
      <c r="E877" s="486" t="n">
        <v>7.43</v>
      </c>
      <c r="F877" s="486" t="n">
        <v>0.35</v>
      </c>
      <c r="G877" s="486" t="inlineStr">
        <is>
          <t>ERROR</t>
        </is>
      </c>
    </row>
    <row r="878" ht="20" customHeight="1" s="225">
      <c r="A878" s="485" t="inlineStr">
        <is>
          <t>9BV</t>
        </is>
      </c>
      <c r="B878" s="485" t="inlineStr">
        <is>
          <t>QUIZHPE FAJARDO CRISTIAN SEBASTIAN</t>
        </is>
      </c>
      <c r="C878" s="485" t="inlineStr">
        <is>
          <t>(NÓMINA)</t>
        </is>
      </c>
      <c r="D878" s="485" t="inlineStr">
        <is>
          <t>-</t>
        </is>
      </c>
      <c r="E878" s="485" t="inlineStr">
        <is>
          <t>-</t>
        </is>
      </c>
      <c r="F878" s="485" t="inlineStr">
        <is>
          <t>-</t>
        </is>
      </c>
      <c r="G878" s="485" t="inlineStr">
        <is>
          <t>DESFASE DE NÓMINA</t>
        </is>
      </c>
    </row>
    <row r="879" ht="20" customHeight="1" s="225">
      <c r="A879" s="486" t="inlineStr">
        <is>
          <t>9BV</t>
        </is>
      </c>
      <c r="B879" s="486" t="inlineStr">
        <is>
          <t>QUIZHPE FAJARDO CRISTIAN SEBASTIAN</t>
        </is>
      </c>
      <c r="C879" s="486" t="inlineStr">
        <is>
          <t>Estudios Sociales</t>
        </is>
      </c>
      <c r="D879" s="486" t="n">
        <v>7.44</v>
      </c>
      <c r="E879" s="486" t="n">
        <v>8.460000000000001</v>
      </c>
      <c r="F879" s="486" t="n">
        <v>1.02</v>
      </c>
      <c r="G879" s="486" t="inlineStr">
        <is>
          <t>ERROR</t>
        </is>
      </c>
    </row>
    <row r="880" ht="20" customHeight="1" s="225">
      <c r="A880" s="486" t="inlineStr">
        <is>
          <t>9BV</t>
        </is>
      </c>
      <c r="B880" s="486" t="inlineStr">
        <is>
          <t>QUIZHPE FAJARDO CRISTIAN SEBASTIAN</t>
        </is>
      </c>
      <c r="C880" s="486" t="inlineStr">
        <is>
          <t>Inglés</t>
        </is>
      </c>
      <c r="D880" s="486" t="n">
        <v>8.02</v>
      </c>
      <c r="E880" s="486" t="n">
        <v>8.06</v>
      </c>
      <c r="F880" s="486" t="n">
        <v>0.04</v>
      </c>
      <c r="G880" s="486" t="inlineStr">
        <is>
          <t>ERROR</t>
        </is>
      </c>
    </row>
    <row r="881" ht="20" customHeight="1" s="225">
      <c r="A881" s="486" t="inlineStr">
        <is>
          <t>9BV</t>
        </is>
      </c>
      <c r="B881" s="486" t="inlineStr">
        <is>
          <t>QUIZHPE FAJARDO CRISTIAN SEBASTIAN</t>
        </is>
      </c>
      <c r="C881" s="486" t="inlineStr">
        <is>
          <t>Promedio Final / P. General</t>
        </is>
      </c>
      <c r="D881" s="486" t="n">
        <v>7.82</v>
      </c>
      <c r="E881" s="486" t="n">
        <v>7.97</v>
      </c>
      <c r="F881" s="486" t="n">
        <v>0.15</v>
      </c>
      <c r="G881" s="486" t="inlineStr">
        <is>
          <t>ERROR</t>
        </is>
      </c>
    </row>
    <row r="882" ht="20" customHeight="1" s="225">
      <c r="A882" s="485" t="inlineStr">
        <is>
          <t>9BV</t>
        </is>
      </c>
      <c r="B882" s="485" t="inlineStr">
        <is>
          <t>QUIZHPE GUAMANCELA JORDY STEVEN</t>
        </is>
      </c>
      <c r="C882" s="485" t="inlineStr">
        <is>
          <t>(NÓMINA)</t>
        </is>
      </c>
      <c r="D882" s="485" t="inlineStr">
        <is>
          <t>-</t>
        </is>
      </c>
      <c r="E882" s="485" t="inlineStr">
        <is>
          <t>-</t>
        </is>
      </c>
      <c r="F882" s="485" t="inlineStr">
        <is>
          <t>-</t>
        </is>
      </c>
      <c r="G882" s="485" t="inlineStr">
        <is>
          <t>DESFASE DE NÓMINA</t>
        </is>
      </c>
    </row>
    <row r="883" ht="20" customHeight="1" s="225">
      <c r="A883" s="486" t="inlineStr">
        <is>
          <t>9BV</t>
        </is>
      </c>
      <c r="B883" s="486" t="inlineStr">
        <is>
          <t>QUIZHPE GUAMANCELA JORDY STEVEN</t>
        </is>
      </c>
      <c r="C883" s="486" t="inlineStr">
        <is>
          <t>Estudios Sociales</t>
        </is>
      </c>
      <c r="D883" s="486" t="n">
        <v>8.640000000000001</v>
      </c>
      <c r="E883" s="486" t="n">
        <v>7.73</v>
      </c>
      <c r="F883" s="486" t="n">
        <v>0.91</v>
      </c>
      <c r="G883" s="486" t="inlineStr">
        <is>
          <t>ERROR</t>
        </is>
      </c>
    </row>
    <row r="884" ht="20" customHeight="1" s="225">
      <c r="A884" s="486" t="inlineStr">
        <is>
          <t>9BV</t>
        </is>
      </c>
      <c r="B884" s="486" t="inlineStr">
        <is>
          <t>QUIZHPE GUAMANCELA JORDY STEVEN</t>
        </is>
      </c>
      <c r="C884" s="486" t="inlineStr">
        <is>
          <t>Inglés</t>
        </is>
      </c>
      <c r="D884" s="486" t="n">
        <v>7.8</v>
      </c>
      <c r="E884" s="486" t="n">
        <v>8.029999999999999</v>
      </c>
      <c r="F884" s="486" t="n">
        <v>0.23</v>
      </c>
      <c r="G884" s="486" t="inlineStr">
        <is>
          <t>ERROR</t>
        </is>
      </c>
    </row>
    <row r="885" ht="20" customHeight="1" s="225">
      <c r="A885" s="486" t="inlineStr">
        <is>
          <t>9BV</t>
        </is>
      </c>
      <c r="B885" s="486" t="inlineStr">
        <is>
          <t>QUIZHPE GUAMANCELA JORDY STEVEN</t>
        </is>
      </c>
      <c r="C885" s="486" t="inlineStr">
        <is>
          <t>Promedio Final / P. General</t>
        </is>
      </c>
      <c r="D885" s="486" t="n">
        <v>7.82</v>
      </c>
      <c r="E885" s="486" t="n">
        <v>7.73</v>
      </c>
      <c r="F885" s="486" t="n">
        <v>0.09</v>
      </c>
      <c r="G885" s="486" t="inlineStr">
        <is>
          <t>ERROR</t>
        </is>
      </c>
    </row>
    <row r="886" ht="20" customHeight="1" s="225">
      <c r="A886" s="485" t="inlineStr">
        <is>
          <t>9BV</t>
        </is>
      </c>
      <c r="B886" s="485" t="inlineStr">
        <is>
          <t>RAMIREZ JEREZ SEBASTIAN MIGUEL</t>
        </is>
      </c>
      <c r="C886" s="485" t="inlineStr">
        <is>
          <t>(NÓMINA)</t>
        </is>
      </c>
      <c r="D886" s="485" t="inlineStr">
        <is>
          <t>-</t>
        </is>
      </c>
      <c r="E886" s="485" t="inlineStr">
        <is>
          <t>-</t>
        </is>
      </c>
      <c r="F886" s="485" t="inlineStr">
        <is>
          <t>-</t>
        </is>
      </c>
      <c r="G886" s="485" t="inlineStr">
        <is>
          <t>DESFASE DE NÓMINA</t>
        </is>
      </c>
    </row>
    <row r="887" ht="20" customHeight="1" s="225">
      <c r="A887" s="486" t="inlineStr">
        <is>
          <t>9BV</t>
        </is>
      </c>
      <c r="B887" s="486" t="inlineStr">
        <is>
          <t>RAMIREZ JEREZ SEBASTIAN MIGUEL</t>
        </is>
      </c>
      <c r="C887" s="486" t="inlineStr">
        <is>
          <t>Estudios Sociales</t>
        </is>
      </c>
      <c r="D887" s="486" t="n">
        <v>7.09</v>
      </c>
      <c r="E887" s="486" t="n">
        <v>7.77</v>
      </c>
      <c r="F887" s="486" t="n">
        <v>0.68</v>
      </c>
      <c r="G887" s="486" t="inlineStr">
        <is>
          <t>ERROR</t>
        </is>
      </c>
    </row>
    <row r="888" ht="20" customHeight="1" s="225">
      <c r="A888" s="486" t="inlineStr">
        <is>
          <t>9BV</t>
        </is>
      </c>
      <c r="B888" s="486" t="inlineStr">
        <is>
          <t>RAMIREZ JEREZ SEBASTIAN MIGUEL</t>
        </is>
      </c>
      <c r="C888" s="486" t="inlineStr">
        <is>
          <t>Inglés</t>
        </is>
      </c>
      <c r="D888" s="486" t="n">
        <v>8.17</v>
      </c>
      <c r="E888" s="486" t="n">
        <v>7.93</v>
      </c>
      <c r="F888" s="486" t="n">
        <v>0.24</v>
      </c>
      <c r="G888" s="486" t="inlineStr">
        <is>
          <t>ERROR</t>
        </is>
      </c>
    </row>
    <row r="889" ht="20" customHeight="1" s="225">
      <c r="A889" s="486" t="inlineStr">
        <is>
          <t>9BV</t>
        </is>
      </c>
      <c r="B889" s="486" t="inlineStr">
        <is>
          <t>RAMIREZ JEREZ SEBASTIAN MIGUEL</t>
        </is>
      </c>
      <c r="C889" s="486" t="inlineStr">
        <is>
          <t>Promedio Final / P. General</t>
        </is>
      </c>
      <c r="D889" s="486" t="n">
        <v>7.62</v>
      </c>
      <c r="E889" s="486" t="n">
        <v>7.68</v>
      </c>
      <c r="F889" s="486" t="n">
        <v>0.06</v>
      </c>
      <c r="G889" s="486" t="inlineStr">
        <is>
          <t>ERROR</t>
        </is>
      </c>
    </row>
    <row r="890" ht="20" customHeight="1" s="225">
      <c r="A890" s="485" t="inlineStr">
        <is>
          <t>9BV</t>
        </is>
      </c>
      <c r="B890" s="485" t="inlineStr">
        <is>
          <t>REMACHE BARBECHO JORDY MIGUEL</t>
        </is>
      </c>
      <c r="C890" s="485" t="inlineStr">
        <is>
          <t>(NÓMINA)</t>
        </is>
      </c>
      <c r="D890" s="485" t="inlineStr">
        <is>
          <t>-</t>
        </is>
      </c>
      <c r="E890" s="485" t="inlineStr">
        <is>
          <t>-</t>
        </is>
      </c>
      <c r="F890" s="485" t="inlineStr">
        <is>
          <t>-</t>
        </is>
      </c>
      <c r="G890" s="485" t="inlineStr">
        <is>
          <t>DESFASE DE NÓMINA</t>
        </is>
      </c>
    </row>
    <row r="891" ht="20" customHeight="1" s="225">
      <c r="A891" s="486" t="inlineStr">
        <is>
          <t>9BV</t>
        </is>
      </c>
      <c r="B891" s="486" t="inlineStr">
        <is>
          <t>REMACHE BARBECHO JORDY MIGUEL</t>
        </is>
      </c>
      <c r="C891" s="486" t="inlineStr">
        <is>
          <t>Estudios Sociales</t>
        </is>
      </c>
      <c r="D891" s="486" t="n">
        <v>7.44</v>
      </c>
      <c r="E891" s="486" t="n">
        <v>8.779999999999999</v>
      </c>
      <c r="F891" s="486" t="n">
        <v>1.34</v>
      </c>
      <c r="G891" s="486" t="inlineStr">
        <is>
          <t>ERROR</t>
        </is>
      </c>
    </row>
    <row r="892" ht="20" customHeight="1" s="225">
      <c r="A892" s="486" t="inlineStr">
        <is>
          <t>9BV</t>
        </is>
      </c>
      <c r="B892" s="486" t="inlineStr">
        <is>
          <t>REMACHE BARBECHO JORDY MIGUEL</t>
        </is>
      </c>
      <c r="C892" s="486" t="inlineStr">
        <is>
          <t>Inglés</t>
        </is>
      </c>
      <c r="D892" s="486" t="n">
        <v>7.61</v>
      </c>
      <c r="E892" s="486" t="n">
        <v>8.050000000000001</v>
      </c>
      <c r="F892" s="486" t="n">
        <v>0.44</v>
      </c>
      <c r="G892" s="486" t="inlineStr">
        <is>
          <t>ERROR</t>
        </is>
      </c>
    </row>
    <row r="893" ht="20" customHeight="1" s="225">
      <c r="A893" s="486" t="inlineStr">
        <is>
          <t>9BV</t>
        </is>
      </c>
      <c r="B893" s="486" t="inlineStr">
        <is>
          <t>REMACHE BARBECHO JORDY MIGUEL</t>
        </is>
      </c>
      <c r="C893" s="486" t="inlineStr">
        <is>
          <t>Promedio Final / P. General</t>
        </is>
      </c>
      <c r="D893" s="486" t="n">
        <v>7.65</v>
      </c>
      <c r="E893" s="486" t="n">
        <v>7.91</v>
      </c>
      <c r="F893" s="486" t="n">
        <v>0.26</v>
      </c>
      <c r="G893" s="486" t="inlineStr">
        <is>
          <t>ERROR</t>
        </is>
      </c>
    </row>
    <row r="894" ht="20" customHeight="1" s="225">
      <c r="A894" s="485" t="inlineStr">
        <is>
          <t>9BV</t>
        </is>
      </c>
      <c r="B894" s="485" t="inlineStr">
        <is>
          <t>SANCHEZ CAMPOVERDE JEAN CARLOS</t>
        </is>
      </c>
      <c r="C894" s="485" t="inlineStr">
        <is>
          <t>(NÓMINA)</t>
        </is>
      </c>
      <c r="D894" s="485" t="inlineStr">
        <is>
          <t>-</t>
        </is>
      </c>
      <c r="E894" s="485" t="inlineStr">
        <is>
          <t>-</t>
        </is>
      </c>
      <c r="F894" s="485" t="inlineStr">
        <is>
          <t>-</t>
        </is>
      </c>
      <c r="G894" s="485" t="inlineStr">
        <is>
          <t>DESFASE DE NÓMINA</t>
        </is>
      </c>
    </row>
    <row r="895" ht="20" customHeight="1" s="225">
      <c r="A895" s="486" t="inlineStr">
        <is>
          <t>9BV</t>
        </is>
      </c>
      <c r="B895" s="486" t="inlineStr">
        <is>
          <t>SANCHEZ CAMPOVERDE JEAN CARLOS</t>
        </is>
      </c>
      <c r="C895" s="486" t="inlineStr">
        <is>
          <t>Estudios Sociales</t>
        </is>
      </c>
      <c r="D895" s="486" t="n">
        <v>8.83</v>
      </c>
      <c r="E895" s="486" t="n">
        <v>8.76</v>
      </c>
      <c r="F895" s="486" t="n">
        <v>0.07000000000000001</v>
      </c>
      <c r="G895" s="486" t="inlineStr">
        <is>
          <t>ERROR</t>
        </is>
      </c>
    </row>
    <row r="896" ht="20" customHeight="1" s="225">
      <c r="A896" s="486" t="inlineStr">
        <is>
          <t>9BV</t>
        </is>
      </c>
      <c r="B896" s="486" t="inlineStr">
        <is>
          <t>SANCHEZ CAMPOVERDE JEAN CARLOS</t>
        </is>
      </c>
      <c r="C896" s="486" t="inlineStr">
        <is>
          <t>Inglés</t>
        </is>
      </c>
      <c r="D896" s="486" t="n">
        <v>8.279999999999999</v>
      </c>
      <c r="E896" s="486" t="n">
        <v>7.64</v>
      </c>
      <c r="F896" s="486" t="n">
        <v>0.64</v>
      </c>
      <c r="G896" s="486" t="inlineStr">
        <is>
          <t>ERROR</t>
        </is>
      </c>
    </row>
    <row r="897" ht="20" customHeight="1" s="225">
      <c r="A897" s="486" t="inlineStr">
        <is>
          <t>9BV</t>
        </is>
      </c>
      <c r="B897" s="486" t="inlineStr">
        <is>
          <t>SANCHEZ CAMPOVERDE JEAN CARLOS</t>
        </is>
      </c>
      <c r="C897" s="486" t="inlineStr">
        <is>
          <t>Promedio Final / P. General</t>
        </is>
      </c>
      <c r="D897" s="486" t="n">
        <v>8.1</v>
      </c>
      <c r="E897" s="486" t="n">
        <v>7.99</v>
      </c>
      <c r="F897" s="486" t="n">
        <v>0.11</v>
      </c>
      <c r="G897" s="486" t="inlineStr">
        <is>
          <t>ERROR</t>
        </is>
      </c>
    </row>
    <row r="898" ht="20" customHeight="1" s="225">
      <c r="A898" s="485" t="inlineStr">
        <is>
          <t>9BV</t>
        </is>
      </c>
      <c r="B898" s="485" t="inlineStr">
        <is>
          <t>SIMBAÑA GUZHÑAY JUSTIN DAVID</t>
        </is>
      </c>
      <c r="C898" s="485" t="inlineStr">
        <is>
          <t>(NÓMINA)</t>
        </is>
      </c>
      <c r="D898" s="485" t="inlineStr">
        <is>
          <t>-</t>
        </is>
      </c>
      <c r="E898" s="485" t="inlineStr">
        <is>
          <t>-</t>
        </is>
      </c>
      <c r="F898" s="485" t="inlineStr">
        <is>
          <t>-</t>
        </is>
      </c>
      <c r="G898" s="485" t="inlineStr">
        <is>
          <t>DESFASE DE NÓMINA</t>
        </is>
      </c>
    </row>
    <row r="899" ht="20" customHeight="1" s="225">
      <c r="A899" s="486" t="inlineStr">
        <is>
          <t>9BV</t>
        </is>
      </c>
      <c r="B899" s="486" t="inlineStr">
        <is>
          <t>SIMBAÑA GUZHÑAY JUSTIN DAVID</t>
        </is>
      </c>
      <c r="C899" s="486" t="inlineStr">
        <is>
          <t>Ciencias Naturales</t>
        </is>
      </c>
      <c r="D899" s="486" t="n">
        <v>7.74</v>
      </c>
      <c r="E899" s="486" t="n">
        <v>7.98</v>
      </c>
      <c r="F899" s="486" t="n">
        <v>0.24</v>
      </c>
      <c r="G899" s="486" t="inlineStr">
        <is>
          <t>ERROR</t>
        </is>
      </c>
    </row>
    <row r="900" ht="20" customHeight="1" s="225">
      <c r="A900" s="486" t="inlineStr">
        <is>
          <t>9BV</t>
        </is>
      </c>
      <c r="B900" s="486" t="inlineStr">
        <is>
          <t>SIMBAÑA GUZHÑAY JUSTIN DAVID</t>
        </is>
      </c>
      <c r="C900" s="486" t="inlineStr">
        <is>
          <t>Estudios Sociales</t>
        </is>
      </c>
      <c r="D900" s="486" t="n">
        <v>8.9</v>
      </c>
      <c r="E900" s="486" t="n">
        <v>8.449999999999999</v>
      </c>
      <c r="F900" s="486" t="n">
        <v>0.45</v>
      </c>
      <c r="G900" s="486" t="inlineStr">
        <is>
          <t>ERROR</t>
        </is>
      </c>
    </row>
    <row r="901" ht="20" customHeight="1" s="225">
      <c r="A901" s="486" t="inlineStr">
        <is>
          <t>9BV</t>
        </is>
      </c>
      <c r="B901" s="486" t="inlineStr">
        <is>
          <t>SIMBAÑA GUZHÑAY JUSTIN DAVID</t>
        </is>
      </c>
      <c r="C901" s="486" t="inlineStr">
        <is>
          <t>Inglés</t>
        </is>
      </c>
      <c r="D901" s="486" t="n">
        <v>7.83</v>
      </c>
      <c r="E901" s="486" t="n">
        <v>8.52</v>
      </c>
      <c r="F901" s="486" t="n">
        <v>0.6899999999999999</v>
      </c>
      <c r="G901" s="486" t="inlineStr">
        <is>
          <t>ERROR</t>
        </is>
      </c>
    </row>
    <row r="902" ht="20" customHeight="1" s="225">
      <c r="A902" s="486" t="inlineStr">
        <is>
          <t>9BV</t>
        </is>
      </c>
      <c r="B902" s="486" t="inlineStr">
        <is>
          <t>SIMBAÑA GUZHÑAY JUSTIN DAVID</t>
        </is>
      </c>
      <c r="C902" s="486" t="inlineStr">
        <is>
          <t>Promedio Final / P. General</t>
        </is>
      </c>
      <c r="D902" s="486" t="n">
        <v>8.5</v>
      </c>
      <c r="E902" s="486" t="n">
        <v>8.57</v>
      </c>
      <c r="F902" s="486" t="n">
        <v>0.07000000000000001</v>
      </c>
      <c r="G902" s="486" t="inlineStr">
        <is>
          <t>ERROR</t>
        </is>
      </c>
    </row>
    <row r="903" ht="20" customHeight="1" s="225">
      <c r="A903" s="485" t="inlineStr">
        <is>
          <t>9BV</t>
        </is>
      </c>
      <c r="B903" s="485" t="inlineStr">
        <is>
          <t>SIMBAÑA QUEZADA GEOFFREY XAVIER</t>
        </is>
      </c>
      <c r="C903" s="485" t="inlineStr">
        <is>
          <t>(NÓMINA)</t>
        </is>
      </c>
      <c r="D903" s="485" t="inlineStr">
        <is>
          <t>-</t>
        </is>
      </c>
      <c r="E903" s="485" t="inlineStr">
        <is>
          <t>-</t>
        </is>
      </c>
      <c r="F903" s="485" t="inlineStr">
        <is>
          <t>-</t>
        </is>
      </c>
      <c r="G903" s="485" t="inlineStr">
        <is>
          <t>DESFASE DE NÓMINA</t>
        </is>
      </c>
    </row>
    <row r="904" ht="20" customHeight="1" s="225">
      <c r="A904" s="486" t="inlineStr">
        <is>
          <t>9BV</t>
        </is>
      </c>
      <c r="B904" s="486" t="inlineStr">
        <is>
          <t>SIMBAÑA QUEZADA GEOFFREY XAVIER</t>
        </is>
      </c>
      <c r="C904" s="486" t="inlineStr">
        <is>
          <t>Ciencias Naturales</t>
        </is>
      </c>
      <c r="D904" s="486" t="n">
        <v>8.529999999999999</v>
      </c>
      <c r="E904" s="486" t="n">
        <v>8.289999999999999</v>
      </c>
      <c r="F904" s="486" t="n">
        <v>0.24</v>
      </c>
      <c r="G904" s="486" t="inlineStr">
        <is>
          <t>ERROR</t>
        </is>
      </c>
    </row>
    <row r="905" ht="20" customHeight="1" s="225">
      <c r="A905" s="486" t="inlineStr">
        <is>
          <t>9BV</t>
        </is>
      </c>
      <c r="B905" s="486" t="inlineStr">
        <is>
          <t>SIMBAÑA QUEZADA GEOFFREY XAVIER</t>
        </is>
      </c>
      <c r="C905" s="486" t="inlineStr">
        <is>
          <t>Estudios Sociales</t>
        </is>
      </c>
      <c r="D905" s="486" t="n">
        <v>8.029999999999999</v>
      </c>
      <c r="E905" s="486" t="n">
        <v>8.57</v>
      </c>
      <c r="F905" s="486" t="n">
        <v>0.54</v>
      </c>
      <c r="G905" s="486" t="inlineStr">
        <is>
          <t>ERROR</t>
        </is>
      </c>
    </row>
    <row r="906" ht="20" customHeight="1" s="225">
      <c r="A906" s="486" t="inlineStr">
        <is>
          <t>9BV</t>
        </is>
      </c>
      <c r="B906" s="486" t="inlineStr">
        <is>
          <t>SIMBAÑA QUEZADA GEOFFREY XAVIER</t>
        </is>
      </c>
      <c r="C906" s="486" t="inlineStr">
        <is>
          <t>Inglés</t>
        </is>
      </c>
      <c r="D906" s="486" t="n">
        <v>8.630000000000001</v>
      </c>
      <c r="E906" s="486" t="n">
        <v>9.050000000000001</v>
      </c>
      <c r="F906" s="486" t="n">
        <v>0.42</v>
      </c>
      <c r="G906" s="486" t="inlineStr">
        <is>
          <t>ERROR</t>
        </is>
      </c>
    </row>
    <row r="907" ht="20" customHeight="1" s="225">
      <c r="A907" s="486" t="inlineStr">
        <is>
          <t>9BV</t>
        </is>
      </c>
      <c r="B907" s="486" t="inlineStr">
        <is>
          <t>SIMBAÑA QUEZADA GEOFFREY XAVIER</t>
        </is>
      </c>
      <c r="C907" s="486" t="inlineStr">
        <is>
          <t>Promedio Final / P. General</t>
        </is>
      </c>
      <c r="D907" s="486" t="n">
        <v>8.859999999999999</v>
      </c>
      <c r="E907" s="486" t="n">
        <v>8.960000000000001</v>
      </c>
      <c r="F907" s="486" t="n">
        <v>0.1</v>
      </c>
      <c r="G907" s="486" t="inlineStr">
        <is>
          <t>ERROR</t>
        </is>
      </c>
    </row>
    <row r="908" ht="20" customHeight="1" s="225">
      <c r="A908" s="485" t="inlineStr">
        <is>
          <t>9BV</t>
        </is>
      </c>
      <c r="B908" s="485" t="inlineStr">
        <is>
          <t>VALDEZ SARANGO JHONNY SEBASTIAN</t>
        </is>
      </c>
      <c r="C908" s="485" t="inlineStr">
        <is>
          <t>(NÓMINA)</t>
        </is>
      </c>
      <c r="D908" s="485" t="inlineStr">
        <is>
          <t>-</t>
        </is>
      </c>
      <c r="E908" s="485" t="inlineStr">
        <is>
          <t>-</t>
        </is>
      </c>
      <c r="F908" s="485" t="inlineStr">
        <is>
          <t>-</t>
        </is>
      </c>
      <c r="G908" s="485" t="inlineStr">
        <is>
          <t>DESFASE DE NÓMINA</t>
        </is>
      </c>
    </row>
    <row r="909" ht="20" customHeight="1" s="225">
      <c r="A909" s="486" t="inlineStr">
        <is>
          <t>9BV</t>
        </is>
      </c>
      <c r="B909" s="486" t="inlineStr">
        <is>
          <t>VALDEZ SARANGO JHONNY SEBASTIAN</t>
        </is>
      </c>
      <c r="C909" s="486" t="inlineStr">
        <is>
          <t>Estudios Sociales</t>
        </is>
      </c>
      <c r="D909" s="486" t="n">
        <v>8.949999999999999</v>
      </c>
      <c r="E909" s="486" t="n">
        <v>8.24</v>
      </c>
      <c r="F909" s="486" t="n">
        <v>0.71</v>
      </c>
      <c r="G909" s="486" t="inlineStr">
        <is>
          <t>ERROR</t>
        </is>
      </c>
    </row>
    <row r="910" ht="20" customHeight="1" s="225">
      <c r="A910" s="486" t="inlineStr">
        <is>
          <t>9BV</t>
        </is>
      </c>
      <c r="B910" s="486" t="inlineStr">
        <is>
          <t>VALDEZ SARANGO JHONNY SEBASTIAN</t>
        </is>
      </c>
      <c r="C910" s="486" t="inlineStr">
        <is>
          <t>Inglés</t>
        </is>
      </c>
      <c r="D910" s="486" t="n">
        <v>9.199999999999999</v>
      </c>
      <c r="E910" s="486" t="n">
        <v>9.609999999999999</v>
      </c>
      <c r="F910" s="486" t="n">
        <v>0.41</v>
      </c>
      <c r="G910" s="486" t="inlineStr">
        <is>
          <t>ERROR</t>
        </is>
      </c>
    </row>
    <row r="911" ht="20" customHeight="1" s="225">
      <c r="A911" s="486" t="inlineStr">
        <is>
          <t>9BV</t>
        </is>
      </c>
      <c r="B911" s="486" t="inlineStr">
        <is>
          <t>VALDEZ SARANGO JHONNY SEBASTIAN</t>
        </is>
      </c>
      <c r="C911" s="486" t="inlineStr">
        <is>
          <t>Promedio Final / P. General</t>
        </is>
      </c>
      <c r="D911" s="486" t="n">
        <v>9.24</v>
      </c>
      <c r="E911" s="486" t="n">
        <v>9.199999999999999</v>
      </c>
      <c r="F911" s="486" t="n">
        <v>0.04</v>
      </c>
      <c r="G911" s="486" t="inlineStr">
        <is>
          <t>ERROR</t>
        </is>
      </c>
    </row>
    <row r="912" ht="20" customHeight="1" s="225">
      <c r="A912" s="485" t="inlineStr">
        <is>
          <t>9BV</t>
        </is>
      </c>
      <c r="B912" s="485" t="inlineStr">
        <is>
          <t>VELASCO GUAMAN LUIS DAVID</t>
        </is>
      </c>
      <c r="C912" s="485" t="inlineStr">
        <is>
          <t>(NÓMINA)</t>
        </is>
      </c>
      <c r="D912" s="485" t="inlineStr">
        <is>
          <t>-</t>
        </is>
      </c>
      <c r="E912" s="485" t="inlineStr">
        <is>
          <t>-</t>
        </is>
      </c>
      <c r="F912" s="485" t="inlineStr">
        <is>
          <t>-</t>
        </is>
      </c>
      <c r="G912" s="485" t="inlineStr">
        <is>
          <t>DESFASE DE NÓMINA</t>
        </is>
      </c>
    </row>
    <row r="913" ht="20" customHeight="1" s="225">
      <c r="A913" s="486" t="inlineStr">
        <is>
          <t>9BV</t>
        </is>
      </c>
      <c r="B913" s="486" t="inlineStr">
        <is>
          <t>VELASCO GUAMAN LUIS DAVID</t>
        </is>
      </c>
      <c r="C913" s="486" t="inlineStr">
        <is>
          <t>Estudios Sociales</t>
        </is>
      </c>
      <c r="D913" s="486" t="n">
        <v>8.68</v>
      </c>
      <c r="E913" s="486" t="n">
        <v>7.83</v>
      </c>
      <c r="F913" s="486" t="n">
        <v>0.85</v>
      </c>
      <c r="G913" s="486" t="inlineStr">
        <is>
          <t>ERROR</t>
        </is>
      </c>
    </row>
    <row r="914" ht="20" customHeight="1" s="225">
      <c r="A914" s="486" t="inlineStr">
        <is>
          <t>9BV</t>
        </is>
      </c>
      <c r="B914" s="486" t="inlineStr">
        <is>
          <t>VELASCO GUAMAN LUIS DAVID</t>
        </is>
      </c>
      <c r="C914" s="486" t="inlineStr">
        <is>
          <t>Inglés</t>
        </is>
      </c>
      <c r="D914" s="486" t="n">
        <v>8.66</v>
      </c>
      <c r="E914" s="486" t="n">
        <v>7.97</v>
      </c>
      <c r="F914" s="486" t="n">
        <v>0.6899999999999999</v>
      </c>
      <c r="G914" s="486" t="inlineStr">
        <is>
          <t>ERROR</t>
        </is>
      </c>
    </row>
    <row r="915" ht="20" customHeight="1" s="225">
      <c r="A915" s="486" t="inlineStr">
        <is>
          <t>9BV</t>
        </is>
      </c>
      <c r="B915" s="486" t="inlineStr">
        <is>
          <t>VELASCO GUAMAN LUIS DAVID</t>
        </is>
      </c>
      <c r="C915" s="486" t="inlineStr">
        <is>
          <t>Promedio Final / P. General</t>
        </is>
      </c>
      <c r="D915" s="486" t="n">
        <v>7.9</v>
      </c>
      <c r="E915" s="486" t="n">
        <v>7.68</v>
      </c>
      <c r="F915" s="486" t="n">
        <v>0.22</v>
      </c>
      <c r="G915" s="486" t="inlineStr">
        <is>
          <t>ERROR</t>
        </is>
      </c>
    </row>
    <row r="916" ht="20" customHeight="1" s="225">
      <c r="A916" s="485" t="inlineStr">
        <is>
          <t>9BV</t>
        </is>
      </c>
      <c r="B916" s="485" t="inlineStr">
        <is>
          <t>VELESACA ZUÑA KAMILA YULIETH</t>
        </is>
      </c>
      <c r="C916" s="485" t="inlineStr">
        <is>
          <t>(NÓMINA)</t>
        </is>
      </c>
      <c r="D916" s="485" t="inlineStr">
        <is>
          <t>-</t>
        </is>
      </c>
      <c r="E916" s="485" t="inlineStr">
        <is>
          <t>-</t>
        </is>
      </c>
      <c r="F916" s="485" t="inlineStr">
        <is>
          <t>-</t>
        </is>
      </c>
      <c r="G916" s="485" t="inlineStr">
        <is>
          <t>DESFASE DE NÓMINA</t>
        </is>
      </c>
    </row>
    <row r="917" ht="20" customHeight="1" s="225">
      <c r="A917" s="486" t="inlineStr">
        <is>
          <t>9BV</t>
        </is>
      </c>
      <c r="B917" s="486" t="inlineStr">
        <is>
          <t>VELESACA ZUÑA KAMILA YULIETH</t>
        </is>
      </c>
      <c r="C917" s="486" t="inlineStr">
        <is>
          <t>Estudios Sociales</t>
        </is>
      </c>
      <c r="D917" s="486" t="n">
        <v>7.42</v>
      </c>
      <c r="E917" s="486" t="n">
        <v>9.15</v>
      </c>
      <c r="F917" s="486" t="n">
        <v>1.73</v>
      </c>
      <c r="G917" s="486" t="inlineStr">
        <is>
          <t>ERROR</t>
        </is>
      </c>
    </row>
    <row r="918" ht="20" customHeight="1" s="225">
      <c r="A918" s="486" t="inlineStr">
        <is>
          <t>9BV</t>
        </is>
      </c>
      <c r="B918" s="486" t="inlineStr">
        <is>
          <t>VELESACA ZUÑA KAMILA YULIETH</t>
        </is>
      </c>
      <c r="C918" s="486" t="inlineStr">
        <is>
          <t>Inglés</t>
        </is>
      </c>
      <c r="D918" s="486" t="n">
        <v>8.369999999999999</v>
      </c>
      <c r="E918" s="486" t="n">
        <v>7.92</v>
      </c>
      <c r="F918" s="486" t="n">
        <v>0.45</v>
      </c>
      <c r="G918" s="486" t="inlineStr">
        <is>
          <t>ERROR</t>
        </is>
      </c>
    </row>
    <row r="919" ht="20" customHeight="1" s="225">
      <c r="A919" s="486" t="inlineStr">
        <is>
          <t>9BV</t>
        </is>
      </c>
      <c r="B919" s="486" t="inlineStr">
        <is>
          <t>VELESACA ZUÑA KAMILA YULIETH</t>
        </is>
      </c>
      <c r="C919" s="486" t="inlineStr">
        <is>
          <t>Promedio Final / P. General</t>
        </is>
      </c>
      <c r="D919" s="486" t="n">
        <v>7.61</v>
      </c>
      <c r="E919" s="486" t="n">
        <v>7.79</v>
      </c>
      <c r="F919" s="486" t="n">
        <v>0.18</v>
      </c>
      <c r="G919" s="486" t="inlineStr">
        <is>
          <t>ERROR</t>
        </is>
      </c>
    </row>
    <row r="920" ht="20" customHeight="1" s="225">
      <c r="A920" s="485" t="inlineStr">
        <is>
          <t>9BV</t>
        </is>
      </c>
      <c r="B920" s="485" t="inlineStr">
        <is>
          <t>VELIZ CARRION JEFFREY BENJAMIN</t>
        </is>
      </c>
      <c r="C920" s="485" t="inlineStr">
        <is>
          <t>(NÓMINA)</t>
        </is>
      </c>
      <c r="D920" s="485" t="inlineStr">
        <is>
          <t>-</t>
        </is>
      </c>
      <c r="E920" s="485" t="inlineStr">
        <is>
          <t>-</t>
        </is>
      </c>
      <c r="F920" s="485" t="inlineStr">
        <is>
          <t>-</t>
        </is>
      </c>
      <c r="G920" s="485" t="inlineStr">
        <is>
          <t>DESFASE DE NÓMINA</t>
        </is>
      </c>
    </row>
    <row r="921" ht="20" customHeight="1" s="225">
      <c r="A921" s="486" t="inlineStr">
        <is>
          <t>9BV</t>
        </is>
      </c>
      <c r="B921" s="486" t="inlineStr">
        <is>
          <t>VELIZ CARRION JEFFREY BENJAMIN</t>
        </is>
      </c>
      <c r="C921" s="486" t="inlineStr">
        <is>
          <t>Estudios Sociales</t>
        </is>
      </c>
      <c r="D921" s="486" t="n">
        <v>8.779999999999999</v>
      </c>
      <c r="E921" s="486" t="n">
        <v>8.85</v>
      </c>
      <c r="F921" s="486" t="n">
        <v>0.07000000000000001</v>
      </c>
      <c r="G921" s="486" t="inlineStr">
        <is>
          <t>ERROR</t>
        </is>
      </c>
    </row>
    <row r="922" ht="20" customHeight="1" s="225">
      <c r="A922" s="486" t="inlineStr">
        <is>
          <t>9BV</t>
        </is>
      </c>
      <c r="B922" s="486" t="inlineStr">
        <is>
          <t>VELIZ CARRION JEFFREY BENJAMIN</t>
        </is>
      </c>
      <c r="C922" s="486" t="inlineStr">
        <is>
          <t>Inglés</t>
        </is>
      </c>
      <c r="D922" s="486" t="n">
        <v>8.119999999999999</v>
      </c>
      <c r="E922" s="486" t="n">
        <v>9.08</v>
      </c>
      <c r="F922" s="486" t="n">
        <v>0.96</v>
      </c>
      <c r="G922" s="486" t="inlineStr">
        <is>
          <t>ERROR</t>
        </is>
      </c>
    </row>
    <row r="923" ht="20" customHeight="1" s="225">
      <c r="A923" s="486" t="inlineStr">
        <is>
          <t>9BV</t>
        </is>
      </c>
      <c r="B923" s="486" t="inlineStr">
        <is>
          <t>VELIZ CARRION JEFFREY BENJAMIN</t>
        </is>
      </c>
      <c r="C923" s="486" t="inlineStr">
        <is>
          <t>Promedio Final / P. General</t>
        </is>
      </c>
      <c r="D923" s="486" t="n">
        <v>8.859999999999999</v>
      </c>
      <c r="E923" s="486" t="n">
        <v>9.01</v>
      </c>
      <c r="F923" s="486" t="n">
        <v>0.15</v>
      </c>
      <c r="G923" s="486" t="inlineStr">
        <is>
          <t>ERROR</t>
        </is>
      </c>
    </row>
    <row r="924" ht="20" customHeight="1" s="225">
      <c r="A924" s="485" t="inlineStr">
        <is>
          <t>9BV</t>
        </is>
      </c>
      <c r="B924" s="485" t="inlineStr">
        <is>
          <t>ZARATE SIAVICHAY LADAY CATALINA</t>
        </is>
      </c>
      <c r="C924" s="485" t="inlineStr">
        <is>
          <t>SOLO EN DOCENTES</t>
        </is>
      </c>
      <c r="D924" s="485" t="inlineStr">
        <is>
          <t>-</t>
        </is>
      </c>
      <c r="E924" s="485" t="inlineStr">
        <is>
          <t>-</t>
        </is>
      </c>
      <c r="F924" s="485" t="inlineStr">
        <is>
          <t>-</t>
        </is>
      </c>
      <c r="G924" s="485" t="inlineStr">
        <is>
          <t>DESFASE DE NÓMINA</t>
        </is>
      </c>
    </row>
    <row r="925" ht="20" customHeight="1" s="225">
      <c r="A925" s="485" t="inlineStr">
        <is>
          <t>9BV</t>
        </is>
      </c>
      <c r="B925" s="485" t="inlineStr">
        <is>
          <t>MUÑOZ MENDIETA SOFIA DE LOURDES</t>
        </is>
      </c>
      <c r="C925" s="485" t="inlineStr">
        <is>
          <t>SOLO EN SISTEMA</t>
        </is>
      </c>
      <c r="D925" s="485" t="inlineStr">
        <is>
          <t>-</t>
        </is>
      </c>
      <c r="E925" s="485" t="inlineStr">
        <is>
          <t>-</t>
        </is>
      </c>
      <c r="F925" s="485" t="inlineStr">
        <is>
          <t>-</t>
        </is>
      </c>
      <c r="G925" s="485" t="inlineStr">
        <is>
          <t>DESFASE DE NÓMINA</t>
        </is>
      </c>
    </row>
    <row r="926" ht="20" customHeight="1" s="225">
      <c r="A926" s="485" t="inlineStr">
        <is>
          <t>9BV</t>
        </is>
      </c>
      <c r="B926" s="485" t="inlineStr">
        <is>
          <t>ZARATE SIAVICHAY LADY CATALINA</t>
        </is>
      </c>
      <c r="C926" s="485" t="inlineStr">
        <is>
          <t>SOLO EN SISTEMA</t>
        </is>
      </c>
      <c r="D926" s="485" t="inlineStr">
        <is>
          <t>-</t>
        </is>
      </c>
      <c r="E926" s="485" t="inlineStr">
        <is>
          <t>-</t>
        </is>
      </c>
      <c r="F926" s="485" t="inlineStr">
        <is>
          <t>-</t>
        </is>
      </c>
      <c r="G926" s="485" t="inlineStr">
        <is>
          <t>DESFASE DE NÓMINA</t>
        </is>
      </c>
    </row>
    <row r="927" ht="20" customHeight="1" s="225">
      <c r="A927" s="486" t="inlineStr">
        <is>
          <t>10AV</t>
        </is>
      </c>
      <c r="B927" s="486" t="inlineStr">
        <is>
          <t>BERMEO LEMA MARCO ANTONIO</t>
        </is>
      </c>
      <c r="C927" s="486" t="inlineStr">
        <is>
          <t>Estudios Sociales</t>
        </is>
      </c>
      <c r="D927" s="486" t="n">
        <v>8.31</v>
      </c>
      <c r="E927" s="486" t="n">
        <v>8.26</v>
      </c>
      <c r="F927" s="486" t="n">
        <v>0.05</v>
      </c>
      <c r="G927" s="486" t="inlineStr">
        <is>
          <t>ERROR</t>
        </is>
      </c>
    </row>
    <row r="928" ht="20" customHeight="1" s="225">
      <c r="A928" s="486" t="inlineStr">
        <is>
          <t>10AV</t>
        </is>
      </c>
      <c r="B928" s="486" t="inlineStr">
        <is>
          <t>CAGUANA CASTRO LUIS MATEO</t>
        </is>
      </c>
      <c r="C928" s="486" t="inlineStr">
        <is>
          <t>Ciencias Naturales</t>
        </is>
      </c>
      <c r="D928" s="486" t="n">
        <v>7.57</v>
      </c>
      <c r="E928" s="486" t="n">
        <v>7.37</v>
      </c>
      <c r="F928" s="486" t="n">
        <v>0.2</v>
      </c>
      <c r="G928" s="486" t="inlineStr">
        <is>
          <t>ERROR</t>
        </is>
      </c>
    </row>
    <row r="929" ht="20" customHeight="1" s="225">
      <c r="A929" s="486" t="inlineStr">
        <is>
          <t>10AV</t>
        </is>
      </c>
      <c r="B929" s="486" t="inlineStr">
        <is>
          <t>CAGUANA CASTRO LUIS MATEO</t>
        </is>
      </c>
      <c r="C929" s="486" t="inlineStr">
        <is>
          <t>Estudios Sociales</t>
        </is>
      </c>
      <c r="D929" s="486" t="n">
        <v>8.81</v>
      </c>
      <c r="E929" s="486" t="n">
        <v>8.49</v>
      </c>
      <c r="F929" s="486" t="n">
        <v>0.32</v>
      </c>
      <c r="G929" s="486" t="inlineStr">
        <is>
          <t>ERROR</t>
        </is>
      </c>
    </row>
    <row r="930" ht="20" customHeight="1" s="225">
      <c r="A930" s="486" t="inlineStr">
        <is>
          <t>10AV</t>
        </is>
      </c>
      <c r="B930" s="486" t="inlineStr">
        <is>
          <t>CAGUANA CASTRO LUIS MATEO</t>
        </is>
      </c>
      <c r="C930" s="486" t="inlineStr">
        <is>
          <t>Inglés</t>
        </is>
      </c>
      <c r="D930" s="486" t="n">
        <v>7.88</v>
      </c>
      <c r="E930" s="486" t="n">
        <v>8.32</v>
      </c>
      <c r="F930" s="486" t="n">
        <v>0.44</v>
      </c>
      <c r="G930" s="486" t="inlineStr">
        <is>
          <t>ERROR</t>
        </is>
      </c>
    </row>
    <row r="931" ht="20" customHeight="1" s="225">
      <c r="A931" s="486" t="inlineStr">
        <is>
          <t>10AV</t>
        </is>
      </c>
      <c r="B931" s="486" t="inlineStr">
        <is>
          <t>CALLE CAMPOVERDE ERIKA ABIGAHIL</t>
        </is>
      </c>
      <c r="C931" s="486" t="inlineStr">
        <is>
          <t>Inglés</t>
        </is>
      </c>
      <c r="D931" s="486" t="n">
        <v>9.199999999999999</v>
      </c>
      <c r="E931" s="486" t="n">
        <v>9.300000000000001</v>
      </c>
      <c r="F931" s="486" t="n">
        <v>0.1</v>
      </c>
      <c r="G931" s="486" t="inlineStr">
        <is>
          <t>ERROR</t>
        </is>
      </c>
    </row>
    <row r="932" ht="20" customHeight="1" s="225">
      <c r="A932" s="486" t="inlineStr">
        <is>
          <t>10AV</t>
        </is>
      </c>
      <c r="B932" s="486" t="inlineStr">
        <is>
          <t>CAMPOVERDE MARIN ANAHI VALENTINA</t>
        </is>
      </c>
      <c r="C932" s="486" t="inlineStr">
        <is>
          <t>Inglés</t>
        </is>
      </c>
      <c r="D932" s="486" t="n">
        <v>9.08</v>
      </c>
      <c r="E932" s="486" t="n">
        <v>9.140000000000001</v>
      </c>
      <c r="F932" s="486" t="n">
        <v>0.06</v>
      </c>
      <c r="G932" s="486" t="inlineStr">
        <is>
          <t>ERROR</t>
        </is>
      </c>
    </row>
    <row r="933" ht="20" customHeight="1" s="225">
      <c r="A933" s="486" t="inlineStr">
        <is>
          <t>10AV</t>
        </is>
      </c>
      <c r="B933" s="486" t="inlineStr">
        <is>
          <t>CAMPOVERDE VALDEZ DAVID ANDRES</t>
        </is>
      </c>
      <c r="C933" s="486" t="inlineStr">
        <is>
          <t>Inglés</t>
        </is>
      </c>
      <c r="D933" s="486" t="n">
        <v>7.59</v>
      </c>
      <c r="E933" s="486" t="n">
        <v>7.4</v>
      </c>
      <c r="F933" s="486" t="n">
        <v>0.19</v>
      </c>
      <c r="G933" s="486" t="inlineStr">
        <is>
          <t>ERROR</t>
        </is>
      </c>
    </row>
    <row r="934" ht="20" customHeight="1" s="225">
      <c r="A934" s="486" t="inlineStr">
        <is>
          <t>10AV</t>
        </is>
      </c>
      <c r="B934" s="486" t="inlineStr">
        <is>
          <t>CAMPOVERDE VALDEZ DAVID ANDRES</t>
        </is>
      </c>
      <c r="C934" s="486" t="inlineStr">
        <is>
          <t>Promedio Final / P. General</t>
        </is>
      </c>
      <c r="D934" s="486" t="n">
        <v>7.45</v>
      </c>
      <c r="E934" s="486" t="n">
        <v>7.42</v>
      </c>
      <c r="F934" s="486" t="n">
        <v>0.03</v>
      </c>
      <c r="G934" s="486" t="inlineStr">
        <is>
          <t>ERROR</t>
        </is>
      </c>
    </row>
    <row r="935" ht="20" customHeight="1" s="225">
      <c r="A935" s="485" t="inlineStr">
        <is>
          <t>10AV</t>
        </is>
      </c>
      <c r="B935" s="485" t="inlineStr">
        <is>
          <t>CEDEÑO VALENTIN MATIAS EDUARDO</t>
        </is>
      </c>
      <c r="C935" s="485" t="inlineStr">
        <is>
          <t>(NÓMINA)</t>
        </is>
      </c>
      <c r="D935" s="485" t="inlineStr">
        <is>
          <t>-</t>
        </is>
      </c>
      <c r="E935" s="485" t="inlineStr">
        <is>
          <t>-</t>
        </is>
      </c>
      <c r="F935" s="485" t="inlineStr">
        <is>
          <t>-</t>
        </is>
      </c>
      <c r="G935" s="485" t="inlineStr">
        <is>
          <t>DESFASE DE NÓMINA</t>
        </is>
      </c>
    </row>
    <row r="936" ht="20" customHeight="1" s="225">
      <c r="A936" s="485" t="inlineStr">
        <is>
          <t>10AV</t>
        </is>
      </c>
      <c r="B936" s="485" t="inlineStr">
        <is>
          <t>CHACA CAMPOVERDE DENISE VALESKA</t>
        </is>
      </c>
      <c r="C936" s="485" t="inlineStr">
        <is>
          <t>(NÓMINA)</t>
        </is>
      </c>
      <c r="D936" s="485" t="inlineStr">
        <is>
          <t>-</t>
        </is>
      </c>
      <c r="E936" s="485" t="inlineStr">
        <is>
          <t>-</t>
        </is>
      </c>
      <c r="F936" s="485" t="inlineStr">
        <is>
          <t>-</t>
        </is>
      </c>
      <c r="G936" s="485" t="inlineStr">
        <is>
          <t>DESFASE DE NÓMINA</t>
        </is>
      </c>
    </row>
    <row r="937" ht="20" customHeight="1" s="225">
      <c r="A937" s="485" t="inlineStr">
        <is>
          <t>10AV</t>
        </is>
      </c>
      <c r="B937" s="485" t="inlineStr">
        <is>
          <t>CHILLOGALLO PIZARRO STEVEN ADRIAN</t>
        </is>
      </c>
      <c r="C937" s="485" t="inlineStr">
        <is>
          <t>(NÓMINA)</t>
        </is>
      </c>
      <c r="D937" s="485" t="inlineStr">
        <is>
          <t>-</t>
        </is>
      </c>
      <c r="E937" s="485" t="inlineStr">
        <is>
          <t>-</t>
        </is>
      </c>
      <c r="F937" s="485" t="inlineStr">
        <is>
          <t>-</t>
        </is>
      </c>
      <c r="G937" s="485" t="inlineStr">
        <is>
          <t>DESFASE DE NÓMINA</t>
        </is>
      </c>
    </row>
    <row r="938" ht="20" customHeight="1" s="225">
      <c r="A938" s="485" t="inlineStr">
        <is>
          <t>10AV</t>
        </is>
      </c>
      <c r="B938" s="485" t="inlineStr">
        <is>
          <t>CORTE PROAÑO JAIME FERNANDO</t>
        </is>
      </c>
      <c r="C938" s="485" t="inlineStr">
        <is>
          <t>(NÓMINA)</t>
        </is>
      </c>
      <c r="D938" s="485" t="inlineStr">
        <is>
          <t>-</t>
        </is>
      </c>
      <c r="E938" s="485" t="inlineStr">
        <is>
          <t>-</t>
        </is>
      </c>
      <c r="F938" s="485" t="inlineStr">
        <is>
          <t>-</t>
        </is>
      </c>
      <c r="G938" s="485" t="inlineStr">
        <is>
          <t>DESFASE DE NÓMINA</t>
        </is>
      </c>
    </row>
    <row r="939" ht="20" customHeight="1" s="225">
      <c r="A939" s="485" t="inlineStr">
        <is>
          <t>10AV</t>
        </is>
      </c>
      <c r="B939" s="485" t="inlineStr">
        <is>
          <t>CUEVA UZHCA MARJURY LIZBETH</t>
        </is>
      </c>
      <c r="C939" s="485" t="inlineStr">
        <is>
          <t>(NÓMINA)</t>
        </is>
      </c>
      <c r="D939" s="485" t="inlineStr">
        <is>
          <t>-</t>
        </is>
      </c>
      <c r="E939" s="485" t="inlineStr">
        <is>
          <t>-</t>
        </is>
      </c>
      <c r="F939" s="485" t="inlineStr">
        <is>
          <t>-</t>
        </is>
      </c>
      <c r="G939" s="485" t="inlineStr">
        <is>
          <t>DESFASE DE NÓMINA</t>
        </is>
      </c>
    </row>
    <row r="940" ht="20" customHeight="1" s="225">
      <c r="A940" s="486" t="inlineStr">
        <is>
          <t>10AV</t>
        </is>
      </c>
      <c r="B940" s="486" t="inlineStr">
        <is>
          <t>CUEVA UZHCA MARJURY LIZBETH</t>
        </is>
      </c>
      <c r="C940" s="486" t="inlineStr">
        <is>
          <t>Estudios Sociales</t>
        </is>
      </c>
      <c r="D940" s="486" t="n">
        <v>7.72</v>
      </c>
      <c r="E940" s="486" t="n">
        <v>7.9</v>
      </c>
      <c r="F940" s="486" t="n">
        <v>0.18</v>
      </c>
      <c r="G940" s="486" t="inlineStr">
        <is>
          <t>ERROR</t>
        </is>
      </c>
    </row>
    <row r="941" ht="20" customHeight="1" s="225">
      <c r="A941" s="485" t="inlineStr">
        <is>
          <t>10AV</t>
        </is>
      </c>
      <c r="B941" s="485" t="inlineStr">
        <is>
          <t>CUMBE JIMENEZ JOSE ANDRES</t>
        </is>
      </c>
      <c r="C941" s="485" t="inlineStr">
        <is>
          <t>(NÓMINA)</t>
        </is>
      </c>
      <c r="D941" s="485" t="inlineStr">
        <is>
          <t>-</t>
        </is>
      </c>
      <c r="E941" s="485" t="inlineStr">
        <is>
          <t>-</t>
        </is>
      </c>
      <c r="F941" s="485" t="inlineStr">
        <is>
          <t>-</t>
        </is>
      </c>
      <c r="G941" s="485" t="inlineStr">
        <is>
          <t>DESFASE DE NÓMINA</t>
        </is>
      </c>
    </row>
    <row r="942" ht="20" customHeight="1" s="225">
      <c r="A942" s="486" t="inlineStr">
        <is>
          <t>10AV</t>
        </is>
      </c>
      <c r="B942" s="486" t="inlineStr">
        <is>
          <t>CUMBE JIMENEZ JOSE ANDRES</t>
        </is>
      </c>
      <c r="C942" s="486" t="inlineStr">
        <is>
          <t>Matemática</t>
        </is>
      </c>
      <c r="D942" s="486" t="n">
        <v>7</v>
      </c>
      <c r="E942" s="486" t="n">
        <v>7.37</v>
      </c>
      <c r="F942" s="486" t="n">
        <v>0.37</v>
      </c>
      <c r="G942" s="486" t="inlineStr">
        <is>
          <t>ERROR</t>
        </is>
      </c>
    </row>
    <row r="943" ht="20" customHeight="1" s="225">
      <c r="A943" s="486" t="inlineStr">
        <is>
          <t>10AV</t>
        </is>
      </c>
      <c r="B943" s="486" t="inlineStr">
        <is>
          <t>CUMBE JIMENEZ JOSE ANDRES</t>
        </is>
      </c>
      <c r="C943" s="486" t="inlineStr">
        <is>
          <t>Estudios Sociales</t>
        </is>
      </c>
      <c r="D943" s="486" t="n">
        <v>8.380000000000001</v>
      </c>
      <c r="E943" s="486" t="n">
        <v>8.56</v>
      </c>
      <c r="F943" s="486" t="n">
        <v>0.18</v>
      </c>
      <c r="G943" s="486" t="inlineStr">
        <is>
          <t>ERROR</t>
        </is>
      </c>
    </row>
    <row r="944" ht="20" customHeight="1" s="225">
      <c r="A944" s="486" t="inlineStr">
        <is>
          <t>10AV</t>
        </is>
      </c>
      <c r="B944" s="486" t="inlineStr">
        <is>
          <t>CUMBE JIMENEZ JOSE ANDRES</t>
        </is>
      </c>
      <c r="C944" s="486" t="inlineStr">
        <is>
          <t>Promedio Final / P. General</t>
        </is>
      </c>
      <c r="D944" s="486" t="n">
        <v>7.49</v>
      </c>
      <c r="E944" s="486" t="n">
        <v>7.57</v>
      </c>
      <c r="F944" s="486" t="n">
        <v>0.08</v>
      </c>
      <c r="G944" s="486" t="inlineStr">
        <is>
          <t>ERROR</t>
        </is>
      </c>
    </row>
    <row r="945" ht="20" customHeight="1" s="225">
      <c r="A945" s="485" t="inlineStr">
        <is>
          <t>10AV</t>
        </is>
      </c>
      <c r="B945" s="485" t="inlineStr">
        <is>
          <t>ELIZALDE CRUZ EMILY ALEXANDRA</t>
        </is>
      </c>
      <c r="C945" s="485" t="inlineStr">
        <is>
          <t>(NÓMINA)</t>
        </is>
      </c>
      <c r="D945" s="485" t="inlineStr">
        <is>
          <t>-</t>
        </is>
      </c>
      <c r="E945" s="485" t="inlineStr">
        <is>
          <t>-</t>
        </is>
      </c>
      <c r="F945" s="485" t="inlineStr">
        <is>
          <t>-</t>
        </is>
      </c>
      <c r="G945" s="485" t="inlineStr">
        <is>
          <t>DESFASE DE NÓMINA</t>
        </is>
      </c>
    </row>
    <row r="946" ht="20" customHeight="1" s="225">
      <c r="A946" s="485" t="inlineStr">
        <is>
          <t>10AV</t>
        </is>
      </c>
      <c r="B946" s="485" t="inlineStr">
        <is>
          <t>FAJARDO PANDIGUANA MILAGROS GUADALUPE</t>
        </is>
      </c>
      <c r="C946" s="485" t="inlineStr">
        <is>
          <t>(NÓMINA)</t>
        </is>
      </c>
      <c r="D946" s="485" t="inlineStr">
        <is>
          <t>-</t>
        </is>
      </c>
      <c r="E946" s="485" t="inlineStr">
        <is>
          <t>-</t>
        </is>
      </c>
      <c r="F946" s="485" t="inlineStr">
        <is>
          <t>-</t>
        </is>
      </c>
      <c r="G946" s="485" t="inlineStr">
        <is>
          <t>DESFASE DE NÓMINA</t>
        </is>
      </c>
    </row>
    <row r="947" ht="20" customHeight="1" s="225">
      <c r="A947" s="486" t="inlineStr">
        <is>
          <t>10AV</t>
        </is>
      </c>
      <c r="B947" s="486" t="inlineStr">
        <is>
          <t>FAJARDO PANDIGUANA MILAGROS GUADALUPE</t>
        </is>
      </c>
      <c r="C947" s="486" t="inlineStr">
        <is>
          <t>Estudios Sociales</t>
        </is>
      </c>
      <c r="D947" s="486" t="n">
        <v>9.26</v>
      </c>
      <c r="E947" s="486" t="n">
        <v>9.16</v>
      </c>
      <c r="F947" s="486" t="n">
        <v>0.1</v>
      </c>
      <c r="G947" s="486" t="inlineStr">
        <is>
          <t>ERROR</t>
        </is>
      </c>
    </row>
    <row r="948" ht="20" customHeight="1" s="225">
      <c r="A948" s="485" t="inlineStr">
        <is>
          <t>10AV</t>
        </is>
      </c>
      <c r="B948" s="485" t="inlineStr">
        <is>
          <t>FERNANDEZ FERNANDEZ ANAHI ROSARIO</t>
        </is>
      </c>
      <c r="C948" s="485" t="inlineStr">
        <is>
          <t>(NÓMINA)</t>
        </is>
      </c>
      <c r="D948" s="485" t="inlineStr">
        <is>
          <t>-</t>
        </is>
      </c>
      <c r="E948" s="485" t="inlineStr">
        <is>
          <t>-</t>
        </is>
      </c>
      <c r="F948" s="485" t="inlineStr">
        <is>
          <t>-</t>
        </is>
      </c>
      <c r="G948" s="485" t="inlineStr">
        <is>
          <t>DESFASE DE NÓMINA</t>
        </is>
      </c>
    </row>
    <row r="949" ht="20" customHeight="1" s="225">
      <c r="A949" s="485" t="inlineStr">
        <is>
          <t>10AV</t>
        </is>
      </c>
      <c r="B949" s="485" t="inlineStr">
        <is>
          <t>FERNANDEZ NAREA GABRIEL PATRICIO</t>
        </is>
      </c>
      <c r="C949" s="485" t="inlineStr">
        <is>
          <t>(NÓMINA)</t>
        </is>
      </c>
      <c r="D949" s="485" t="inlineStr">
        <is>
          <t>-</t>
        </is>
      </c>
      <c r="E949" s="485" t="inlineStr">
        <is>
          <t>-</t>
        </is>
      </c>
      <c r="F949" s="485" t="inlineStr">
        <is>
          <t>-</t>
        </is>
      </c>
      <c r="G949" s="485" t="inlineStr">
        <is>
          <t>DESFASE DE NÓMINA</t>
        </is>
      </c>
    </row>
    <row r="950" ht="20" customHeight="1" s="225">
      <c r="A950" s="486" t="inlineStr">
        <is>
          <t>10AV</t>
        </is>
      </c>
      <c r="B950" s="486" t="inlineStr">
        <is>
          <t>FERNANDEZ NAREA GABRIEL PATRICIO</t>
        </is>
      </c>
      <c r="C950" s="486" t="inlineStr">
        <is>
          <t>Estudios Sociales</t>
        </is>
      </c>
      <c r="D950" s="486" t="n">
        <v>7.92</v>
      </c>
      <c r="E950" s="486" t="n">
        <v>8.4</v>
      </c>
      <c r="F950" s="486" t="n">
        <v>0.48</v>
      </c>
      <c r="G950" s="486" t="inlineStr">
        <is>
          <t>ERROR</t>
        </is>
      </c>
    </row>
    <row r="951" ht="20" customHeight="1" s="225">
      <c r="A951" s="486" t="inlineStr">
        <is>
          <t>10AV</t>
        </is>
      </c>
      <c r="B951" s="486" t="inlineStr">
        <is>
          <t>FERNANDEZ NAREA GABRIEL PATRICIO</t>
        </is>
      </c>
      <c r="C951" s="486" t="inlineStr">
        <is>
          <t>Promedio Final / P. General</t>
        </is>
      </c>
      <c r="D951" s="486" t="n">
        <v>7.95</v>
      </c>
      <c r="E951" s="486" t="n">
        <v>8.02</v>
      </c>
      <c r="F951" s="486" t="n">
        <v>0.07000000000000001</v>
      </c>
      <c r="G951" s="486" t="inlineStr">
        <is>
          <t>ERROR</t>
        </is>
      </c>
    </row>
    <row r="952" ht="20" customHeight="1" s="225">
      <c r="A952" s="485" t="inlineStr">
        <is>
          <t>10AV</t>
        </is>
      </c>
      <c r="B952" s="485" t="inlineStr">
        <is>
          <t>GOMEZ MINUCHE MARYURI YAMILETH</t>
        </is>
      </c>
      <c r="C952" s="485" t="inlineStr">
        <is>
          <t>(NÓMINA)</t>
        </is>
      </c>
      <c r="D952" s="485" t="inlineStr">
        <is>
          <t>-</t>
        </is>
      </c>
      <c r="E952" s="485" t="inlineStr">
        <is>
          <t>-</t>
        </is>
      </c>
      <c r="F952" s="485" t="inlineStr">
        <is>
          <t>-</t>
        </is>
      </c>
      <c r="G952" s="485" t="inlineStr">
        <is>
          <t>DESFASE DE NÓMINA</t>
        </is>
      </c>
    </row>
    <row r="953" ht="20" customHeight="1" s="225">
      <c r="A953" s="486" t="inlineStr">
        <is>
          <t>10AV</t>
        </is>
      </c>
      <c r="B953" s="486" t="inlineStr">
        <is>
          <t>GOMEZ MINUCHE MARYURI YAMILETH</t>
        </is>
      </c>
      <c r="C953" s="486" t="inlineStr">
        <is>
          <t>Estudios Sociales</t>
        </is>
      </c>
      <c r="D953" s="486" t="n">
        <v>8.69</v>
      </c>
      <c r="E953" s="486" t="n">
        <v>8.640000000000001</v>
      </c>
      <c r="F953" s="486" t="n">
        <v>0.05</v>
      </c>
      <c r="G953" s="486" t="inlineStr">
        <is>
          <t>ERROR</t>
        </is>
      </c>
    </row>
    <row r="954" ht="20" customHeight="1" s="225">
      <c r="A954" s="485" t="inlineStr">
        <is>
          <t>10AV</t>
        </is>
      </c>
      <c r="B954" s="485" t="inlineStr">
        <is>
          <t>GUAILLAS LEON KAREN AYELEN</t>
        </is>
      </c>
      <c r="C954" s="485" t="inlineStr">
        <is>
          <t>(NÓMINA)</t>
        </is>
      </c>
      <c r="D954" s="485" t="inlineStr">
        <is>
          <t>-</t>
        </is>
      </c>
      <c r="E954" s="485" t="inlineStr">
        <is>
          <t>-</t>
        </is>
      </c>
      <c r="F954" s="485" t="inlineStr">
        <is>
          <t>-</t>
        </is>
      </c>
      <c r="G954" s="485" t="inlineStr">
        <is>
          <t>DESFASE DE NÓMINA</t>
        </is>
      </c>
    </row>
    <row r="955" ht="20" customHeight="1" s="225">
      <c r="A955" s="486" t="inlineStr">
        <is>
          <t>10AV</t>
        </is>
      </c>
      <c r="B955" s="486" t="inlineStr">
        <is>
          <t>GUAILLAS LEON KAREN AYELEN</t>
        </is>
      </c>
      <c r="C955" s="486" t="inlineStr">
        <is>
          <t>Estudios Sociales</t>
        </is>
      </c>
      <c r="D955" s="486" t="n">
        <v>9.800000000000001</v>
      </c>
      <c r="E955" s="486" t="n">
        <v>9.84</v>
      </c>
      <c r="F955" s="486" t="n">
        <v>0.04</v>
      </c>
      <c r="G955" s="486" t="inlineStr">
        <is>
          <t>ERROR</t>
        </is>
      </c>
    </row>
    <row r="956" ht="20" customHeight="1" s="225">
      <c r="A956" s="485" t="inlineStr">
        <is>
          <t>10AV</t>
        </is>
      </c>
      <c r="B956" s="485" t="inlineStr">
        <is>
          <t>GUAMBAÑA AREVALO DAYSI ABIGAIL</t>
        </is>
      </c>
      <c r="C956" s="485" t="inlineStr">
        <is>
          <t>(NÓMINA)</t>
        </is>
      </c>
      <c r="D956" s="485" t="inlineStr">
        <is>
          <t>-</t>
        </is>
      </c>
      <c r="E956" s="485" t="inlineStr">
        <is>
          <t>-</t>
        </is>
      </c>
      <c r="F956" s="485" t="inlineStr">
        <is>
          <t>-</t>
        </is>
      </c>
      <c r="G956" s="485" t="inlineStr">
        <is>
          <t>DESFASE DE NÓMINA</t>
        </is>
      </c>
    </row>
    <row r="957" ht="20" customHeight="1" s="225">
      <c r="A957" s="485" t="inlineStr">
        <is>
          <t>10AV</t>
        </is>
      </c>
      <c r="B957" s="485" t="inlineStr">
        <is>
          <t>GUARTASACA BUENO PAULA ABIGAIL</t>
        </is>
      </c>
      <c r="C957" s="485" t="inlineStr">
        <is>
          <t>(NÓMINA)</t>
        </is>
      </c>
      <c r="D957" s="485" t="inlineStr">
        <is>
          <t>-</t>
        </is>
      </c>
      <c r="E957" s="485" t="inlineStr">
        <is>
          <t>-</t>
        </is>
      </c>
      <c r="F957" s="485" t="inlineStr">
        <is>
          <t>-</t>
        </is>
      </c>
      <c r="G957" s="485" t="inlineStr">
        <is>
          <t>DESFASE DE NÓMINA</t>
        </is>
      </c>
    </row>
    <row r="958" ht="20" customHeight="1" s="225">
      <c r="A958" s="485" t="inlineStr">
        <is>
          <t>10AV</t>
        </is>
      </c>
      <c r="B958" s="485" t="inlineStr">
        <is>
          <t>HERAS REYES KAISER MATIAS</t>
        </is>
      </c>
      <c r="C958" s="485" t="inlineStr">
        <is>
          <t>(NÓMINA)</t>
        </is>
      </c>
      <c r="D958" s="485" t="inlineStr">
        <is>
          <t>-</t>
        </is>
      </c>
      <c r="E958" s="485" t="inlineStr">
        <is>
          <t>-</t>
        </is>
      </c>
      <c r="F958" s="485" t="inlineStr">
        <is>
          <t>-</t>
        </is>
      </c>
      <c r="G958" s="485" t="inlineStr">
        <is>
          <t>DESFASE DE NÓMINA</t>
        </is>
      </c>
    </row>
    <row r="959" ht="20" customHeight="1" s="225">
      <c r="A959" s="486" t="inlineStr">
        <is>
          <t>10AV</t>
        </is>
      </c>
      <c r="B959" s="486" t="inlineStr">
        <is>
          <t>HERAS REYES KAISER MATIAS</t>
        </is>
      </c>
      <c r="C959" s="486" t="inlineStr">
        <is>
          <t>Estudios Sociales</t>
        </is>
      </c>
      <c r="D959" s="486" t="n">
        <v>8.52</v>
      </c>
      <c r="E959" s="486" t="n">
        <v>8.08</v>
      </c>
      <c r="F959" s="486" t="n">
        <v>0.44</v>
      </c>
      <c r="G959" s="486" t="inlineStr">
        <is>
          <t>ERROR</t>
        </is>
      </c>
    </row>
    <row r="960" ht="20" customHeight="1" s="225">
      <c r="A960" s="486" t="inlineStr">
        <is>
          <t>10AV</t>
        </is>
      </c>
      <c r="B960" s="486" t="inlineStr">
        <is>
          <t>HERAS REYES KAISER MATIAS</t>
        </is>
      </c>
      <c r="C960" s="486" t="inlineStr">
        <is>
          <t>Promedio Final / P. General</t>
        </is>
      </c>
      <c r="D960" s="486" t="n">
        <v>7.42</v>
      </c>
      <c r="E960" s="486" t="n">
        <v>7.35</v>
      </c>
      <c r="F960" s="486" t="n">
        <v>0.07000000000000001</v>
      </c>
      <c r="G960" s="486" t="inlineStr">
        <is>
          <t>ERROR</t>
        </is>
      </c>
    </row>
    <row r="961" ht="20" customHeight="1" s="225">
      <c r="A961" s="485" t="inlineStr">
        <is>
          <t>10AV</t>
        </is>
      </c>
      <c r="B961" s="485" t="inlineStr">
        <is>
          <t>LLANES CUEVA OMAR RICARDO</t>
        </is>
      </c>
      <c r="C961" s="485" t="inlineStr">
        <is>
          <t>(NÓMINA)</t>
        </is>
      </c>
      <c r="D961" s="485" t="inlineStr">
        <is>
          <t>-</t>
        </is>
      </c>
      <c r="E961" s="485" t="inlineStr">
        <is>
          <t>-</t>
        </is>
      </c>
      <c r="F961" s="485" t="inlineStr">
        <is>
          <t>-</t>
        </is>
      </c>
      <c r="G961" s="485" t="inlineStr">
        <is>
          <t>DESFASE DE NÓMINA</t>
        </is>
      </c>
    </row>
    <row r="962" ht="20" customHeight="1" s="225">
      <c r="A962" s="485" t="inlineStr">
        <is>
          <t>10AV</t>
        </is>
      </c>
      <c r="B962" s="485" t="inlineStr">
        <is>
          <t>LLANGARI GOMEZ JHOEL SANTIAGO</t>
        </is>
      </c>
      <c r="C962" s="485" t="inlineStr">
        <is>
          <t>(NÓMINA)</t>
        </is>
      </c>
      <c r="D962" s="485" t="inlineStr">
        <is>
          <t>-</t>
        </is>
      </c>
      <c r="E962" s="485" t="inlineStr">
        <is>
          <t>-</t>
        </is>
      </c>
      <c r="F962" s="485" t="inlineStr">
        <is>
          <t>-</t>
        </is>
      </c>
      <c r="G962" s="485" t="inlineStr">
        <is>
          <t>DESFASE DE NÓMINA</t>
        </is>
      </c>
    </row>
    <row r="963" ht="20" customHeight="1" s="225">
      <c r="A963" s="486" t="inlineStr">
        <is>
          <t>10AV</t>
        </is>
      </c>
      <c r="B963" s="486" t="inlineStr">
        <is>
          <t>LLANGARI GOMEZ JHOEL SANTIAGO</t>
        </is>
      </c>
      <c r="C963" s="486" t="inlineStr">
        <is>
          <t>Estudios Sociales</t>
        </is>
      </c>
      <c r="D963" s="486" t="n">
        <v>7.1</v>
      </c>
      <c r="E963" s="486" t="n">
        <v>7.29</v>
      </c>
      <c r="F963" s="486" t="n">
        <v>0.19</v>
      </c>
      <c r="G963" s="486" t="inlineStr">
        <is>
          <t>ERROR</t>
        </is>
      </c>
    </row>
    <row r="964" ht="20" customHeight="1" s="225">
      <c r="A964" s="486" t="inlineStr">
        <is>
          <t>10AV</t>
        </is>
      </c>
      <c r="B964" s="486" t="inlineStr">
        <is>
          <t>LLANGARI GOMEZ JHOEL SANTIAGO</t>
        </is>
      </c>
      <c r="C964" s="486" t="inlineStr">
        <is>
          <t>Promedio Final / P. General</t>
        </is>
      </c>
      <c r="D964" s="486" t="n">
        <v>7.16</v>
      </c>
      <c r="E964" s="486" t="n">
        <v>7.19</v>
      </c>
      <c r="F964" s="486" t="n">
        <v>0.03</v>
      </c>
      <c r="G964" s="486" t="inlineStr">
        <is>
          <t>ERROR</t>
        </is>
      </c>
    </row>
    <row r="965" ht="20" customHeight="1" s="225">
      <c r="A965" s="485" t="inlineStr">
        <is>
          <t>10AV</t>
        </is>
      </c>
      <c r="B965" s="485" t="inlineStr">
        <is>
          <t>MARCA PULGARIN DAVID SEBASTIAN</t>
        </is>
      </c>
      <c r="C965" s="485" t="inlineStr">
        <is>
          <t>(NÓMINA)</t>
        </is>
      </c>
      <c r="D965" s="485" t="inlineStr">
        <is>
          <t>-</t>
        </is>
      </c>
      <c r="E965" s="485" t="inlineStr">
        <is>
          <t>-</t>
        </is>
      </c>
      <c r="F965" s="485" t="inlineStr">
        <is>
          <t>-</t>
        </is>
      </c>
      <c r="G965" s="485" t="inlineStr">
        <is>
          <t>DESFASE DE NÓMINA</t>
        </is>
      </c>
    </row>
    <row r="966" ht="20" customHeight="1" s="225">
      <c r="A966" s="486" t="inlineStr">
        <is>
          <t>10AV</t>
        </is>
      </c>
      <c r="B966" s="486" t="inlineStr">
        <is>
          <t>MARCA PULGARIN DAVID SEBASTIAN</t>
        </is>
      </c>
      <c r="C966" s="486" t="inlineStr">
        <is>
          <t>Estudios Sociales</t>
        </is>
      </c>
      <c r="D966" s="486" t="n">
        <v>8.42</v>
      </c>
      <c r="E966" s="486" t="n">
        <v>8.220000000000001</v>
      </c>
      <c r="F966" s="486" t="n">
        <v>0.2</v>
      </c>
      <c r="G966" s="486" t="inlineStr">
        <is>
          <t>ERROR</t>
        </is>
      </c>
    </row>
    <row r="967" ht="20" customHeight="1" s="225">
      <c r="A967" s="486" t="inlineStr">
        <is>
          <t>10AV</t>
        </is>
      </c>
      <c r="B967" s="486" t="inlineStr">
        <is>
          <t>MARCA PULGARIN DAVID SEBASTIAN</t>
        </is>
      </c>
      <c r="C967" s="486" t="inlineStr">
        <is>
          <t>Promedio Final / P. General</t>
        </is>
      </c>
      <c r="D967" s="486" t="n">
        <v>8.630000000000001</v>
      </c>
      <c r="E967" s="486" t="n">
        <v>8.6</v>
      </c>
      <c r="F967" s="486" t="n">
        <v>0.03</v>
      </c>
      <c r="G967" s="486" t="inlineStr">
        <is>
          <t>ERROR</t>
        </is>
      </c>
    </row>
    <row r="968" ht="20" customHeight="1" s="225">
      <c r="A968" s="485" t="inlineStr">
        <is>
          <t>10AV</t>
        </is>
      </c>
      <c r="B968" s="485" t="inlineStr">
        <is>
          <t>MENA FAJARDO KLEBER ALBINO</t>
        </is>
      </c>
      <c r="C968" s="485" t="inlineStr">
        <is>
          <t>(NÓMINA)</t>
        </is>
      </c>
      <c r="D968" s="485" t="inlineStr">
        <is>
          <t>-</t>
        </is>
      </c>
      <c r="E968" s="485" t="inlineStr">
        <is>
          <t>-</t>
        </is>
      </c>
      <c r="F968" s="485" t="inlineStr">
        <is>
          <t>-</t>
        </is>
      </c>
      <c r="G968" s="485" t="inlineStr">
        <is>
          <t>DESFASE DE NÓMINA</t>
        </is>
      </c>
    </row>
    <row r="969" ht="20" customHeight="1" s="225">
      <c r="A969" s="486" t="inlineStr">
        <is>
          <t>10AV</t>
        </is>
      </c>
      <c r="B969" s="486" t="inlineStr">
        <is>
          <t>MENA FAJARDO KLEBER ALBINO</t>
        </is>
      </c>
      <c r="C969" s="486" t="inlineStr">
        <is>
          <t>Estudios Sociales</t>
        </is>
      </c>
      <c r="D969" s="486" t="n">
        <v>8.24</v>
      </c>
      <c r="E969" s="486" t="n">
        <v>8.1</v>
      </c>
      <c r="F969" s="486" t="n">
        <v>0.14</v>
      </c>
      <c r="G969" s="486" t="inlineStr">
        <is>
          <t>ERROR</t>
        </is>
      </c>
    </row>
    <row r="970" ht="20" customHeight="1" s="225">
      <c r="A970" s="486" t="inlineStr">
        <is>
          <t>10AV</t>
        </is>
      </c>
      <c r="B970" s="486" t="inlineStr">
        <is>
          <t>MENA FAJARDO KLEBER ALBINO</t>
        </is>
      </c>
      <c r="C970" s="486" t="inlineStr">
        <is>
          <t>Inglés</t>
        </is>
      </c>
      <c r="D970" s="486" t="n">
        <v>7.67</v>
      </c>
      <c r="E970" s="486" t="n">
        <v>7.38</v>
      </c>
      <c r="F970" s="486" t="n">
        <v>0.29</v>
      </c>
      <c r="G970" s="486" t="inlineStr">
        <is>
          <t>ERROR</t>
        </is>
      </c>
    </row>
    <row r="971" ht="20" customHeight="1" s="225">
      <c r="A971" s="486" t="inlineStr">
        <is>
          <t>10AV</t>
        </is>
      </c>
      <c r="B971" s="486" t="inlineStr">
        <is>
          <t>MENA FAJARDO KLEBER ALBINO</t>
        </is>
      </c>
      <c r="C971" s="486" t="inlineStr">
        <is>
          <t>Promedio Final / P. General</t>
        </is>
      </c>
      <c r="D971" s="486" t="n">
        <v>7.83</v>
      </c>
      <c r="E971" s="486" t="n">
        <v>7.77</v>
      </c>
      <c r="F971" s="486" t="n">
        <v>0.06</v>
      </c>
      <c r="G971" s="486" t="inlineStr">
        <is>
          <t>ERROR</t>
        </is>
      </c>
    </row>
    <row r="972" ht="20" customHeight="1" s="225">
      <c r="A972" s="485" t="inlineStr">
        <is>
          <t>10AV</t>
        </is>
      </c>
      <c r="B972" s="485" t="inlineStr">
        <is>
          <t>MORA SIGUENZA HUGO ALEJANDRO</t>
        </is>
      </c>
      <c r="C972" s="485" t="inlineStr">
        <is>
          <t>(NÓMINA)</t>
        </is>
      </c>
      <c r="D972" s="485" t="inlineStr">
        <is>
          <t>-</t>
        </is>
      </c>
      <c r="E972" s="485" t="inlineStr">
        <is>
          <t>-</t>
        </is>
      </c>
      <c r="F972" s="485" t="inlineStr">
        <is>
          <t>-</t>
        </is>
      </c>
      <c r="G972" s="485" t="inlineStr">
        <is>
          <t>DESFASE DE NÓMINA</t>
        </is>
      </c>
    </row>
    <row r="973" ht="20" customHeight="1" s="225">
      <c r="A973" s="486" t="inlineStr">
        <is>
          <t>10AV</t>
        </is>
      </c>
      <c r="B973" s="486" t="inlineStr">
        <is>
          <t>MORA SIGUENZA HUGO ALEJANDRO</t>
        </is>
      </c>
      <c r="C973" s="486" t="inlineStr">
        <is>
          <t>Estudios Sociales</t>
        </is>
      </c>
      <c r="D973" s="486" t="n">
        <v>7.61</v>
      </c>
      <c r="E973" s="486" t="n">
        <v>7.74</v>
      </c>
      <c r="F973" s="486" t="n">
        <v>0.13</v>
      </c>
      <c r="G973" s="486" t="inlineStr">
        <is>
          <t>ERROR</t>
        </is>
      </c>
    </row>
    <row r="974" ht="20" customHeight="1" s="225">
      <c r="A974" s="485" t="inlineStr">
        <is>
          <t>10AV</t>
        </is>
      </c>
      <c r="B974" s="485" t="inlineStr">
        <is>
          <t>MOROCHO PUCHA JOHNNY PATRICIO</t>
        </is>
      </c>
      <c r="C974" s="485" t="inlineStr">
        <is>
          <t>(NÓMINA)</t>
        </is>
      </c>
      <c r="D974" s="485" t="inlineStr">
        <is>
          <t>-</t>
        </is>
      </c>
      <c r="E974" s="485" t="inlineStr">
        <is>
          <t>-</t>
        </is>
      </c>
      <c r="F974" s="485" t="inlineStr">
        <is>
          <t>-</t>
        </is>
      </c>
      <c r="G974" s="485" t="inlineStr">
        <is>
          <t>DESFASE DE NÓMINA</t>
        </is>
      </c>
    </row>
    <row r="975" ht="20" customHeight="1" s="225">
      <c r="A975" s="486" t="inlineStr">
        <is>
          <t>10AV</t>
        </is>
      </c>
      <c r="B975" s="486" t="inlineStr">
        <is>
          <t>MOROCHO PUCHA JOHNNY PATRICIO</t>
        </is>
      </c>
      <c r="C975" s="486" t="inlineStr">
        <is>
          <t>Estudios Sociales</t>
        </is>
      </c>
      <c r="D975" s="486" t="n">
        <v>7.98</v>
      </c>
      <c r="E975" s="486" t="n">
        <v>7.67</v>
      </c>
      <c r="F975" s="486" t="n">
        <v>0.31</v>
      </c>
      <c r="G975" s="486" t="inlineStr">
        <is>
          <t>ERROR</t>
        </is>
      </c>
    </row>
    <row r="976" ht="20" customHeight="1" s="225">
      <c r="A976" s="486" t="inlineStr">
        <is>
          <t>10AV</t>
        </is>
      </c>
      <c r="B976" s="486" t="inlineStr">
        <is>
          <t>MOROCHO PUCHA JOHNNY PATRICIO</t>
        </is>
      </c>
      <c r="C976" s="486" t="inlineStr">
        <is>
          <t>Inglés</t>
        </is>
      </c>
      <c r="D976" s="486" t="n">
        <v>7.09</v>
      </c>
      <c r="E976" s="486" t="n">
        <v>7.63</v>
      </c>
      <c r="F976" s="486" t="n">
        <v>0.54</v>
      </c>
      <c r="G976" s="486" t="inlineStr">
        <is>
          <t>ERROR</t>
        </is>
      </c>
    </row>
    <row r="977" ht="20" customHeight="1" s="225">
      <c r="A977" s="486" t="inlineStr">
        <is>
          <t>10AV</t>
        </is>
      </c>
      <c r="B977" s="486" t="inlineStr">
        <is>
          <t>MOROCHO PUCHA JOHNNY PATRICIO</t>
        </is>
      </c>
      <c r="C977" s="486" t="inlineStr">
        <is>
          <t>Promedio Final / P. General</t>
        </is>
      </c>
      <c r="D977" s="486" t="n">
        <v>7.42</v>
      </c>
      <c r="E977" s="486" t="n">
        <v>7.45</v>
      </c>
      <c r="F977" s="486" t="n">
        <v>0.03</v>
      </c>
      <c r="G977" s="486" t="inlineStr">
        <is>
          <t>ERROR</t>
        </is>
      </c>
    </row>
    <row r="978" ht="20" customHeight="1" s="225">
      <c r="A978" s="485" t="inlineStr">
        <is>
          <t>10AV</t>
        </is>
      </c>
      <c r="B978" s="485" t="inlineStr">
        <is>
          <t>ORELLANA GUICHAY ALEXANDRA NICOL</t>
        </is>
      </c>
      <c r="C978" s="485" t="inlineStr">
        <is>
          <t>(NÓMINA)</t>
        </is>
      </c>
      <c r="D978" s="485" t="inlineStr">
        <is>
          <t>-</t>
        </is>
      </c>
      <c r="E978" s="485" t="inlineStr">
        <is>
          <t>-</t>
        </is>
      </c>
      <c r="F978" s="485" t="inlineStr">
        <is>
          <t>-</t>
        </is>
      </c>
      <c r="G978" s="485" t="inlineStr">
        <is>
          <t>DESFASE DE NÓMINA</t>
        </is>
      </c>
    </row>
    <row r="979" ht="20" customHeight="1" s="225">
      <c r="A979" s="486" t="inlineStr">
        <is>
          <t>10AV</t>
        </is>
      </c>
      <c r="B979" s="486" t="inlineStr">
        <is>
          <t>ORELLANA GUICHAY ALEXANDRA NICOL</t>
        </is>
      </c>
      <c r="C979" s="486" t="inlineStr">
        <is>
          <t>Lengua y Literatura</t>
        </is>
      </c>
      <c r="D979" s="486" t="n">
        <v>8.48</v>
      </c>
      <c r="E979" s="486" t="n">
        <v>8.289999999999999</v>
      </c>
      <c r="F979" s="486" t="n">
        <v>0.19</v>
      </c>
      <c r="G979" s="486" t="inlineStr">
        <is>
          <t>ERROR</t>
        </is>
      </c>
    </row>
    <row r="980" ht="20" customHeight="1" s="225">
      <c r="A980" s="486" t="inlineStr">
        <is>
          <t>10AV</t>
        </is>
      </c>
      <c r="B980" s="486" t="inlineStr">
        <is>
          <t>ORELLANA GUICHAY ALEXANDRA NICOL</t>
        </is>
      </c>
      <c r="C980" s="486" t="inlineStr">
        <is>
          <t>Promedio Final / P. General</t>
        </is>
      </c>
      <c r="D980" s="486" t="n">
        <v>8.48</v>
      </c>
      <c r="E980" s="486" t="n">
        <v>8.449999999999999</v>
      </c>
      <c r="F980" s="486" t="n">
        <v>0.03</v>
      </c>
      <c r="G980" s="486" t="inlineStr">
        <is>
          <t>ERROR</t>
        </is>
      </c>
    </row>
    <row r="981" ht="20" customHeight="1" s="225">
      <c r="A981" s="485" t="inlineStr">
        <is>
          <t>10AV</t>
        </is>
      </c>
      <c r="B981" s="485" t="inlineStr">
        <is>
          <t>ORELLANA MENDEZ JOHN ALEXANDER</t>
        </is>
      </c>
      <c r="C981" s="485" t="inlineStr">
        <is>
          <t>(NÓMINA)</t>
        </is>
      </c>
      <c r="D981" s="485" t="inlineStr">
        <is>
          <t>-</t>
        </is>
      </c>
      <c r="E981" s="485" t="inlineStr">
        <is>
          <t>-</t>
        </is>
      </c>
      <c r="F981" s="485" t="inlineStr">
        <is>
          <t>-</t>
        </is>
      </c>
      <c r="G981" s="485" t="inlineStr">
        <is>
          <t>DESFASE DE NÓMINA</t>
        </is>
      </c>
    </row>
    <row r="982" ht="20" customHeight="1" s="225">
      <c r="A982" s="486" t="inlineStr">
        <is>
          <t>10AV</t>
        </is>
      </c>
      <c r="B982" s="486" t="inlineStr">
        <is>
          <t>ORELLANA MENDEZ JOHN ALEXANDER</t>
        </is>
      </c>
      <c r="C982" s="486" t="inlineStr">
        <is>
          <t>Estudios Sociales</t>
        </is>
      </c>
      <c r="D982" s="486" t="n">
        <v>8.359999999999999</v>
      </c>
      <c r="E982" s="486" t="n">
        <v>8.800000000000001</v>
      </c>
      <c r="F982" s="486" t="n">
        <v>0.44</v>
      </c>
      <c r="G982" s="486" t="inlineStr">
        <is>
          <t>ERROR</t>
        </is>
      </c>
    </row>
    <row r="983" ht="20" customHeight="1" s="225">
      <c r="A983" s="486" t="inlineStr">
        <is>
          <t>10AV</t>
        </is>
      </c>
      <c r="B983" s="486" t="inlineStr">
        <is>
          <t>ORELLANA MENDEZ JOHN ALEXANDER</t>
        </is>
      </c>
      <c r="C983" s="486" t="inlineStr">
        <is>
          <t>Promedio Final / P. General</t>
        </is>
      </c>
      <c r="D983" s="486" t="n">
        <v>8.09</v>
      </c>
      <c r="E983" s="486" t="n">
        <v>8.15</v>
      </c>
      <c r="F983" s="486" t="n">
        <v>0.06</v>
      </c>
      <c r="G983" s="486" t="inlineStr">
        <is>
          <t>ERROR</t>
        </is>
      </c>
    </row>
    <row r="984" ht="20" customHeight="1" s="225">
      <c r="A984" s="485" t="inlineStr">
        <is>
          <t>10AV</t>
        </is>
      </c>
      <c r="B984" s="485" t="inlineStr">
        <is>
          <t>PASATO UZHCA DENISSE PAOLA</t>
        </is>
      </c>
      <c r="C984" s="485" t="inlineStr">
        <is>
          <t>(NÓMINA)</t>
        </is>
      </c>
      <c r="D984" s="485" t="inlineStr">
        <is>
          <t>-</t>
        </is>
      </c>
      <c r="E984" s="485" t="inlineStr">
        <is>
          <t>-</t>
        </is>
      </c>
      <c r="F984" s="485" t="inlineStr">
        <is>
          <t>-</t>
        </is>
      </c>
      <c r="G984" s="485" t="inlineStr">
        <is>
          <t>DESFASE DE NÓMINA</t>
        </is>
      </c>
    </row>
    <row r="985" ht="20" customHeight="1" s="225">
      <c r="A985" s="486" t="inlineStr">
        <is>
          <t>10AV</t>
        </is>
      </c>
      <c r="B985" s="486" t="inlineStr">
        <is>
          <t>PASATO UZHCA DENISSE PAOLA</t>
        </is>
      </c>
      <c r="C985" s="486" t="inlineStr">
        <is>
          <t>Estudios Sociales</t>
        </is>
      </c>
      <c r="D985" s="486" t="n">
        <v>8.73</v>
      </c>
      <c r="E985" s="486" t="n">
        <v>8.699999999999999</v>
      </c>
      <c r="F985" s="486" t="n">
        <v>0.03</v>
      </c>
      <c r="G985" s="486" t="inlineStr">
        <is>
          <t>ERROR</t>
        </is>
      </c>
    </row>
    <row r="986" ht="20" customHeight="1" s="225">
      <c r="A986" s="485" t="inlineStr">
        <is>
          <t>10AV</t>
        </is>
      </c>
      <c r="B986" s="485" t="inlineStr">
        <is>
          <t>PERALTA LANDI JESSICA PATRICIA</t>
        </is>
      </c>
      <c r="C986" s="485" t="inlineStr">
        <is>
          <t>(NÓMINA)</t>
        </is>
      </c>
      <c r="D986" s="485" t="inlineStr">
        <is>
          <t>-</t>
        </is>
      </c>
      <c r="E986" s="485" t="inlineStr">
        <is>
          <t>-</t>
        </is>
      </c>
      <c r="F986" s="485" t="inlineStr">
        <is>
          <t>-</t>
        </is>
      </c>
      <c r="G986" s="485" t="inlineStr">
        <is>
          <t>DESFASE DE NÓMINA</t>
        </is>
      </c>
    </row>
    <row r="987" ht="20" customHeight="1" s="225">
      <c r="A987" s="486" t="inlineStr">
        <is>
          <t>10AV</t>
        </is>
      </c>
      <c r="B987" s="486" t="inlineStr">
        <is>
          <t>PERALTA LANDI JESSICA PATRICIA</t>
        </is>
      </c>
      <c r="C987" s="486" t="inlineStr">
        <is>
          <t>Estudios Sociales</t>
        </is>
      </c>
      <c r="D987" s="486" t="n">
        <v>8.94</v>
      </c>
      <c r="E987" s="486" t="n">
        <v>9.69</v>
      </c>
      <c r="F987" s="486" t="n">
        <v>0.75</v>
      </c>
      <c r="G987" s="486" t="inlineStr">
        <is>
          <t>ERROR</t>
        </is>
      </c>
    </row>
    <row r="988" ht="20" customHeight="1" s="225">
      <c r="A988" s="486" t="inlineStr">
        <is>
          <t>10AV</t>
        </is>
      </c>
      <c r="B988" s="486" t="inlineStr">
        <is>
          <t>PERALTA LANDI JESSICA PATRICIA</t>
        </is>
      </c>
      <c r="C988" s="486" t="inlineStr">
        <is>
          <t>Educación Física</t>
        </is>
      </c>
      <c r="D988" s="486" t="n">
        <v>9.67</v>
      </c>
      <c r="E988" s="486" t="n">
        <v>9.640000000000001</v>
      </c>
      <c r="F988" s="486" t="n">
        <v>0.03</v>
      </c>
      <c r="G988" s="486" t="inlineStr">
        <is>
          <t>ERROR</t>
        </is>
      </c>
    </row>
    <row r="989" ht="20" customHeight="1" s="225">
      <c r="A989" s="486" t="inlineStr">
        <is>
          <t>10AV</t>
        </is>
      </c>
      <c r="B989" s="486" t="inlineStr">
        <is>
          <t>PERALTA LANDI JESSICA PATRICIA</t>
        </is>
      </c>
      <c r="C989" s="486" t="inlineStr">
        <is>
          <t>Promedio Final / P. General</t>
        </is>
      </c>
      <c r="D989" s="486" t="n">
        <v>9.050000000000001</v>
      </c>
      <c r="E989" s="486" t="n">
        <v>9.15</v>
      </c>
      <c r="F989" s="486" t="n">
        <v>0.1</v>
      </c>
      <c r="G989" s="486" t="inlineStr">
        <is>
          <t>ERROR</t>
        </is>
      </c>
    </row>
    <row r="990" ht="20" customHeight="1" s="225">
      <c r="A990" s="485" t="inlineStr">
        <is>
          <t>10AV</t>
        </is>
      </c>
      <c r="B990" s="485" t="inlineStr">
        <is>
          <t>PEÑA CEDACERO SALOME GUADALUPE</t>
        </is>
      </c>
      <c r="C990" s="485" t="inlineStr">
        <is>
          <t>(NÓMINA)</t>
        </is>
      </c>
      <c r="D990" s="485" t="inlineStr">
        <is>
          <t>-</t>
        </is>
      </c>
      <c r="E990" s="485" t="inlineStr">
        <is>
          <t>-</t>
        </is>
      </c>
      <c r="F990" s="485" t="inlineStr">
        <is>
          <t>-</t>
        </is>
      </c>
      <c r="G990" s="485" t="inlineStr">
        <is>
          <t>DESFASE DE NÓMINA</t>
        </is>
      </c>
    </row>
    <row r="991" ht="20" customHeight="1" s="225">
      <c r="A991" s="486" t="inlineStr">
        <is>
          <t>10AV</t>
        </is>
      </c>
      <c r="B991" s="486" t="inlineStr">
        <is>
          <t>PEÑA CEDACERO SALOME GUADALUPE</t>
        </is>
      </c>
      <c r="C991" s="486" t="inlineStr">
        <is>
          <t>Estudios Sociales</t>
        </is>
      </c>
      <c r="D991" s="486" t="n">
        <v>8.82</v>
      </c>
      <c r="E991" s="486" t="n">
        <v>9.470000000000001</v>
      </c>
      <c r="F991" s="486" t="n">
        <v>0.65</v>
      </c>
      <c r="G991" s="486" t="inlineStr">
        <is>
          <t>ERROR</t>
        </is>
      </c>
    </row>
    <row r="992" ht="20" customHeight="1" s="225">
      <c r="A992" s="486" t="inlineStr">
        <is>
          <t>10AV</t>
        </is>
      </c>
      <c r="B992" s="486" t="inlineStr">
        <is>
          <t>PEÑA CEDACERO SALOME GUADALUPE</t>
        </is>
      </c>
      <c r="C992" s="486" t="inlineStr">
        <is>
          <t>Promedio Final / P. General</t>
        </is>
      </c>
      <c r="D992" s="486" t="n">
        <v>8.69</v>
      </c>
      <c r="E992" s="486" t="n">
        <v>8.779999999999999</v>
      </c>
      <c r="F992" s="486" t="n">
        <v>0.09</v>
      </c>
      <c r="G992" s="486" t="inlineStr">
        <is>
          <t>ERROR</t>
        </is>
      </c>
    </row>
    <row r="993" ht="20" customHeight="1" s="225">
      <c r="A993" s="485" t="inlineStr">
        <is>
          <t>10AV</t>
        </is>
      </c>
      <c r="B993" s="485" t="inlineStr">
        <is>
          <t>POZO ZHAÑAY JUAN DE DIOS</t>
        </is>
      </c>
      <c r="C993" s="485" t="inlineStr">
        <is>
          <t>(NÓMINA)</t>
        </is>
      </c>
      <c r="D993" s="485" t="inlineStr">
        <is>
          <t>-</t>
        </is>
      </c>
      <c r="E993" s="485" t="inlineStr">
        <is>
          <t>-</t>
        </is>
      </c>
      <c r="F993" s="485" t="inlineStr">
        <is>
          <t>-</t>
        </is>
      </c>
      <c r="G993" s="485" t="inlineStr">
        <is>
          <t>DESFASE DE NÓMINA</t>
        </is>
      </c>
    </row>
    <row r="994" ht="20" customHeight="1" s="225">
      <c r="A994" s="486" t="inlineStr">
        <is>
          <t>10AV</t>
        </is>
      </c>
      <c r="B994" s="486" t="inlineStr">
        <is>
          <t>POZO ZHAÑAY JUAN DE DIOS</t>
        </is>
      </c>
      <c r="C994" s="486" t="inlineStr">
        <is>
          <t>Lengua y Literatura</t>
        </is>
      </c>
      <c r="D994" s="486" t="n">
        <v>2.59</v>
      </c>
      <c r="E994" s="486" t="n">
        <v>3.11</v>
      </c>
      <c r="F994" s="486" t="n">
        <v>0.52</v>
      </c>
      <c r="G994" s="486" t="inlineStr">
        <is>
          <t>ERROR</t>
        </is>
      </c>
    </row>
    <row r="995" ht="20" customHeight="1" s="225">
      <c r="A995" s="486" t="inlineStr">
        <is>
          <t>10AV</t>
        </is>
      </c>
      <c r="B995" s="486" t="inlineStr">
        <is>
          <t>POZO ZHAÑAY JUAN DE DIOS</t>
        </is>
      </c>
      <c r="C995" s="486" t="inlineStr">
        <is>
          <t>Matemática</t>
        </is>
      </c>
      <c r="D995" s="486" t="n">
        <v>2.45</v>
      </c>
      <c r="E995" s="486" t="n">
        <v>3.25</v>
      </c>
      <c r="F995" s="486" t="n">
        <v>0.8</v>
      </c>
      <c r="G995" s="486" t="inlineStr">
        <is>
          <t>ERROR</t>
        </is>
      </c>
    </row>
    <row r="996" ht="20" customHeight="1" s="225">
      <c r="A996" s="486" t="inlineStr">
        <is>
          <t>10AV</t>
        </is>
      </c>
      <c r="B996" s="486" t="inlineStr">
        <is>
          <t>POZO ZHAÑAY JUAN DE DIOS</t>
        </is>
      </c>
      <c r="C996" s="486" t="inlineStr">
        <is>
          <t>Ciencias Naturales</t>
        </is>
      </c>
      <c r="D996" s="486" t="n">
        <v>2.47</v>
      </c>
      <c r="E996" s="486" t="n">
        <v>3.33</v>
      </c>
      <c r="F996" s="486" t="n">
        <v>0.86</v>
      </c>
      <c r="G996" s="486" t="inlineStr">
        <is>
          <t>ERROR</t>
        </is>
      </c>
    </row>
    <row r="997" ht="20" customHeight="1" s="225">
      <c r="A997" s="486" t="inlineStr">
        <is>
          <t>10AV</t>
        </is>
      </c>
      <c r="B997" s="486" t="inlineStr">
        <is>
          <t>POZO ZHAÑAY JUAN DE DIOS</t>
        </is>
      </c>
      <c r="C997" s="486" t="inlineStr">
        <is>
          <t>Estudios Sociales</t>
        </is>
      </c>
      <c r="D997" s="486" t="n">
        <v>2.63</v>
      </c>
      <c r="E997" s="486" t="n">
        <v>3.24</v>
      </c>
      <c r="F997" s="486" t="n">
        <v>0.61</v>
      </c>
      <c r="G997" s="486" t="inlineStr">
        <is>
          <t>ERROR</t>
        </is>
      </c>
    </row>
    <row r="998" ht="20" customHeight="1" s="225">
      <c r="A998" s="486" t="inlineStr">
        <is>
          <t>10AV</t>
        </is>
      </c>
      <c r="B998" s="486" t="inlineStr">
        <is>
          <t>POZO ZHAÑAY JUAN DE DIOS</t>
        </is>
      </c>
      <c r="C998" s="486" t="inlineStr">
        <is>
          <t>Promedio Final / P. General</t>
        </is>
      </c>
      <c r="D998" s="486" t="n">
        <v>2.58</v>
      </c>
      <c r="E998" s="486" t="n">
        <v>2.97</v>
      </c>
      <c r="F998" s="486" t="n">
        <v>0.39</v>
      </c>
      <c r="G998" s="486" t="inlineStr">
        <is>
          <t>ERROR</t>
        </is>
      </c>
    </row>
    <row r="999" ht="20" customHeight="1" s="225">
      <c r="A999" s="485" t="inlineStr">
        <is>
          <t>10AV</t>
        </is>
      </c>
      <c r="B999" s="485" t="inlineStr">
        <is>
          <t>SANCHEZ CHALCO ANAHI ALEXANDRA</t>
        </is>
      </c>
      <c r="C999" s="485" t="inlineStr">
        <is>
          <t>(NÓMINA)</t>
        </is>
      </c>
      <c r="D999" s="485" t="inlineStr">
        <is>
          <t>-</t>
        </is>
      </c>
      <c r="E999" s="485" t="inlineStr">
        <is>
          <t>-</t>
        </is>
      </c>
      <c r="F999" s="485" t="inlineStr">
        <is>
          <t>-</t>
        </is>
      </c>
      <c r="G999" s="485" t="inlineStr">
        <is>
          <t>DESFASE DE NÓMINA</t>
        </is>
      </c>
    </row>
    <row r="1000" ht="20" customHeight="1" s="225">
      <c r="A1000" s="486" t="inlineStr">
        <is>
          <t>10AV</t>
        </is>
      </c>
      <c r="B1000" s="486" t="inlineStr">
        <is>
          <t>SANCHEZ CHALCO ANAHI ALEXANDRA</t>
        </is>
      </c>
      <c r="C1000" s="486" t="inlineStr">
        <is>
          <t>Lengua y Literatura</t>
        </is>
      </c>
      <c r="D1000" s="486" t="n">
        <v>7.82</v>
      </c>
      <c r="E1000" s="486" t="n">
        <v>8.369999999999999</v>
      </c>
      <c r="F1000" s="486" t="n">
        <v>0.55</v>
      </c>
      <c r="G1000" s="486" t="inlineStr">
        <is>
          <t>ERROR</t>
        </is>
      </c>
    </row>
    <row r="1001" ht="20" customHeight="1" s="225">
      <c r="A1001" s="486" t="inlineStr">
        <is>
          <t>10AV</t>
        </is>
      </c>
      <c r="B1001" s="486" t="inlineStr">
        <is>
          <t>SANCHEZ CHALCO ANAHI ALEXANDRA</t>
        </is>
      </c>
      <c r="C1001" s="486" t="inlineStr">
        <is>
          <t>Estudios Sociales</t>
        </is>
      </c>
      <c r="D1001" s="486" t="n">
        <v>8.130000000000001</v>
      </c>
      <c r="E1001" s="486" t="n">
        <v>7.66</v>
      </c>
      <c r="F1001" s="486" t="n">
        <v>0.47</v>
      </c>
      <c r="G1001" s="486" t="inlineStr">
        <is>
          <t>ERROR</t>
        </is>
      </c>
    </row>
    <row r="1002" ht="20" customHeight="1" s="225">
      <c r="A1002" s="485" t="inlineStr">
        <is>
          <t>10AV</t>
        </is>
      </c>
      <c r="B1002" s="485" t="inlineStr">
        <is>
          <t>ZARUMA PAREDES MELANIE CAROLINA</t>
        </is>
      </c>
      <c r="C1002" s="485" t="inlineStr">
        <is>
          <t>(NÓMINA)</t>
        </is>
      </c>
      <c r="D1002" s="485" t="inlineStr">
        <is>
          <t>-</t>
        </is>
      </c>
      <c r="E1002" s="485" t="inlineStr">
        <is>
          <t>-</t>
        </is>
      </c>
      <c r="F1002" s="485" t="inlineStr">
        <is>
          <t>-</t>
        </is>
      </c>
      <c r="G1002" s="485" t="inlineStr">
        <is>
          <t>DESFASE DE NÓMINA</t>
        </is>
      </c>
    </row>
    <row r="1003" ht="20" customHeight="1" s="225">
      <c r="A1003" s="485" t="inlineStr">
        <is>
          <t>10AV</t>
        </is>
      </c>
      <c r="B1003" s="485" t="inlineStr">
        <is>
          <t>CARRASCO RODRIGUEZ SAMIR JEREMIAS</t>
        </is>
      </c>
      <c r="C1003" s="485" t="inlineStr">
        <is>
          <t>SOLO EN SISTEMA</t>
        </is>
      </c>
      <c r="D1003" s="485" t="inlineStr">
        <is>
          <t>-</t>
        </is>
      </c>
      <c r="E1003" s="485" t="inlineStr">
        <is>
          <t>-</t>
        </is>
      </c>
      <c r="F1003" s="485" t="inlineStr">
        <is>
          <t>-</t>
        </is>
      </c>
      <c r="G1003" s="485" t="inlineStr">
        <is>
          <t>DESFASE DE NÓMINA</t>
        </is>
      </c>
    </row>
    <row r="1004" ht="20" customHeight="1" s="225">
      <c r="A1004" s="485" t="inlineStr">
        <is>
          <t>10AV</t>
        </is>
      </c>
      <c r="B1004" s="485" t="inlineStr">
        <is>
          <t>CAÑA CASADIEGOS ASTRID SOLANGIE</t>
        </is>
      </c>
      <c r="C1004" s="485" t="inlineStr">
        <is>
          <t>SOLO EN SISTEMA</t>
        </is>
      </c>
      <c r="D1004" s="485" t="inlineStr">
        <is>
          <t>-</t>
        </is>
      </c>
      <c r="E1004" s="485" t="inlineStr">
        <is>
          <t>-</t>
        </is>
      </c>
      <c r="F1004" s="485" t="inlineStr">
        <is>
          <t>-</t>
        </is>
      </c>
      <c r="G1004" s="485" t="inlineStr">
        <is>
          <t>DESFASE DE NÓMINA</t>
        </is>
      </c>
    </row>
    <row r="1005" ht="20" customHeight="1" s="225">
      <c r="A1005" s="486" t="inlineStr">
        <is>
          <t>10BV</t>
        </is>
      </c>
      <c r="B1005" s="486" t="inlineStr">
        <is>
          <t>ANGAMARCA VILE ERICK JOEL</t>
        </is>
      </c>
      <c r="C1005" s="486" t="inlineStr">
        <is>
          <t>Estudios Sociales</t>
        </is>
      </c>
      <c r="D1005" s="486" t="n">
        <v>7.51</v>
      </c>
      <c r="E1005" s="486" t="n">
        <v>7.6</v>
      </c>
      <c r="F1005" s="486" t="n">
        <v>0.09</v>
      </c>
      <c r="G1005" s="486" t="inlineStr">
        <is>
          <t>ERROR</t>
        </is>
      </c>
    </row>
    <row r="1006" ht="20" customHeight="1" s="225">
      <c r="A1006" s="486" t="inlineStr">
        <is>
          <t>10BV</t>
        </is>
      </c>
      <c r="B1006" s="486" t="inlineStr">
        <is>
          <t>AREVALO CUZCO DYLAN SANTIAGO</t>
        </is>
      </c>
      <c r="C1006" s="486" t="inlineStr">
        <is>
          <t>Lengua y Literatura</t>
        </is>
      </c>
      <c r="D1006" s="486" t="n">
        <v>7.76</v>
      </c>
      <c r="E1006" s="486" t="n">
        <v>7.56</v>
      </c>
      <c r="F1006" s="486" t="n">
        <v>0.2</v>
      </c>
      <c r="G1006" s="486" t="inlineStr">
        <is>
          <t>ERROR</t>
        </is>
      </c>
    </row>
    <row r="1007" ht="20" customHeight="1" s="225">
      <c r="A1007" s="486" t="inlineStr">
        <is>
          <t>10BV</t>
        </is>
      </c>
      <c r="B1007" s="486" t="inlineStr">
        <is>
          <t>AREVALO CUZCO DYLAN SANTIAGO</t>
        </is>
      </c>
      <c r="C1007" s="486" t="inlineStr">
        <is>
          <t>Estudios Sociales</t>
        </is>
      </c>
      <c r="D1007" s="486" t="n">
        <v>8.119999999999999</v>
      </c>
      <c r="E1007" s="486" t="n">
        <v>8.24</v>
      </c>
      <c r="F1007" s="486" t="n">
        <v>0.12</v>
      </c>
      <c r="G1007" s="486" t="inlineStr">
        <is>
          <t>ERROR</t>
        </is>
      </c>
    </row>
    <row r="1008" ht="20" customHeight="1" s="225">
      <c r="A1008" s="486" t="inlineStr">
        <is>
          <t>10BV</t>
        </is>
      </c>
      <c r="B1008" s="486" t="inlineStr">
        <is>
          <t>AREVALO CUZCO DYLAN SANTIAGO</t>
        </is>
      </c>
      <c r="C1008" s="486" t="inlineStr">
        <is>
          <t>Inglés</t>
        </is>
      </c>
      <c r="D1008" s="486" t="n">
        <v>8.84</v>
      </c>
      <c r="E1008" s="486" t="n">
        <v>8.609999999999999</v>
      </c>
      <c r="F1008" s="486" t="n">
        <v>0.23</v>
      </c>
      <c r="G1008" s="486" t="inlineStr">
        <is>
          <t>ERROR</t>
        </is>
      </c>
    </row>
    <row r="1009" ht="20" customHeight="1" s="225">
      <c r="A1009" s="486" t="inlineStr">
        <is>
          <t>10BV</t>
        </is>
      </c>
      <c r="B1009" s="486" t="inlineStr">
        <is>
          <t>AREVALO CUZCO DYLAN SANTIAGO</t>
        </is>
      </c>
      <c r="C1009" s="486" t="inlineStr">
        <is>
          <t>Promedio Final / P. General</t>
        </is>
      </c>
      <c r="D1009" s="486" t="n">
        <v>8.140000000000001</v>
      </c>
      <c r="E1009" s="486" t="n">
        <v>8.1</v>
      </c>
      <c r="F1009" s="486" t="n">
        <v>0.04</v>
      </c>
      <c r="G1009" s="486" t="inlineStr">
        <is>
          <t>ERROR</t>
        </is>
      </c>
    </row>
    <row r="1010" ht="20" customHeight="1" s="225">
      <c r="A1010" s="486" t="inlineStr">
        <is>
          <t>10BV</t>
        </is>
      </c>
      <c r="B1010" s="486" t="inlineStr">
        <is>
          <t>CAGUANA LANDY JOHN MATEO</t>
        </is>
      </c>
      <c r="C1010" s="486" t="inlineStr">
        <is>
          <t>Estudios Sociales</t>
        </is>
      </c>
      <c r="D1010" s="486" t="n">
        <v>7.7</v>
      </c>
      <c r="E1010" s="486" t="n">
        <v>7.8</v>
      </c>
      <c r="F1010" s="486" t="n">
        <v>0.1</v>
      </c>
      <c r="G1010" s="486" t="inlineStr">
        <is>
          <t>ERROR</t>
        </is>
      </c>
    </row>
    <row r="1011" ht="20" customHeight="1" s="225">
      <c r="A1011" s="486" t="inlineStr">
        <is>
          <t>10BV</t>
        </is>
      </c>
      <c r="B1011" s="486" t="inlineStr">
        <is>
          <t>CARCHI ZHUNIO JOSTIN ALEXANDER</t>
        </is>
      </c>
      <c r="C1011" s="486" t="inlineStr">
        <is>
          <t>Estudios Sociales</t>
        </is>
      </c>
      <c r="D1011" s="486" t="n">
        <v>7.45</v>
      </c>
      <c r="E1011" s="486" t="n">
        <v>7.95</v>
      </c>
      <c r="F1011" s="486" t="n">
        <v>0.5</v>
      </c>
      <c r="G1011" s="486" t="inlineStr">
        <is>
          <t>ERROR</t>
        </is>
      </c>
    </row>
    <row r="1012" ht="20" customHeight="1" s="225">
      <c r="A1012" s="486" t="inlineStr">
        <is>
          <t>10BV</t>
        </is>
      </c>
      <c r="B1012" s="486" t="inlineStr">
        <is>
          <t>CARCHI ZHUNIO JOSTIN ALEXANDER</t>
        </is>
      </c>
      <c r="C1012" s="486" t="inlineStr">
        <is>
          <t>Promedio Final / P. General</t>
        </is>
      </c>
      <c r="D1012" s="486" t="n">
        <v>7.59</v>
      </c>
      <c r="E1012" s="486" t="n">
        <v>7.66</v>
      </c>
      <c r="F1012" s="486" t="n">
        <v>0.07000000000000001</v>
      </c>
      <c r="G1012" s="486" t="inlineStr">
        <is>
          <t>ERROR</t>
        </is>
      </c>
    </row>
    <row r="1013" ht="20" customHeight="1" s="225">
      <c r="A1013" s="486" t="inlineStr">
        <is>
          <t>10BV</t>
        </is>
      </c>
      <c r="B1013" s="486" t="inlineStr">
        <is>
          <t>CHACON GARZON ODALIS ANABEL</t>
        </is>
      </c>
      <c r="C1013" s="486" t="inlineStr">
        <is>
          <t>Estudios Sociales</t>
        </is>
      </c>
      <c r="D1013" s="486" t="n">
        <v>7.69</v>
      </c>
      <c r="E1013" s="486" t="n">
        <v>8</v>
      </c>
      <c r="F1013" s="486" t="n">
        <v>0.31</v>
      </c>
      <c r="G1013" s="486" t="inlineStr">
        <is>
          <t>ERROR</t>
        </is>
      </c>
    </row>
    <row r="1014" ht="20" customHeight="1" s="225">
      <c r="A1014" s="486" t="inlineStr">
        <is>
          <t>10BV</t>
        </is>
      </c>
      <c r="B1014" s="486" t="inlineStr">
        <is>
          <t>CHACON GARZON ODALIS ANABEL</t>
        </is>
      </c>
      <c r="C1014" s="486" t="inlineStr">
        <is>
          <t>Promedio Final / P. General</t>
        </is>
      </c>
      <c r="D1014" s="486" t="n">
        <v>7.49</v>
      </c>
      <c r="E1014" s="486" t="n">
        <v>7.53</v>
      </c>
      <c r="F1014" s="486" t="n">
        <v>0.04</v>
      </c>
      <c r="G1014" s="486" t="inlineStr">
        <is>
          <t>ERROR</t>
        </is>
      </c>
    </row>
    <row r="1015" ht="20" customHeight="1" s="225">
      <c r="A1015" s="485" t="inlineStr">
        <is>
          <t>10BV</t>
        </is>
      </c>
      <c r="B1015" s="485" t="inlineStr">
        <is>
          <t>CORONADO ZHUNIO LENIN SEBASTIAN</t>
        </is>
      </c>
      <c r="C1015" s="485" t="inlineStr">
        <is>
          <t>(NÓMINA)</t>
        </is>
      </c>
      <c r="D1015" s="485" t="inlineStr">
        <is>
          <t>-</t>
        </is>
      </c>
      <c r="E1015" s="485" t="inlineStr">
        <is>
          <t>-</t>
        </is>
      </c>
      <c r="F1015" s="485" t="inlineStr">
        <is>
          <t>-</t>
        </is>
      </c>
      <c r="G1015" s="485" t="inlineStr">
        <is>
          <t>DESFASE DE NÓMINA</t>
        </is>
      </c>
    </row>
    <row r="1016" ht="20" customHeight="1" s="225">
      <c r="A1016" s="486" t="inlineStr">
        <is>
          <t>10BV</t>
        </is>
      </c>
      <c r="B1016" s="486" t="inlineStr">
        <is>
          <t>CORONADO ZHUNIO LENIN SEBASTIAN</t>
        </is>
      </c>
      <c r="C1016" s="486" t="inlineStr">
        <is>
          <t>Estudios Sociales</t>
        </is>
      </c>
      <c r="D1016" s="486" t="n">
        <v>7.96</v>
      </c>
      <c r="E1016" s="486" t="n">
        <v>7.89</v>
      </c>
      <c r="F1016" s="486" t="n">
        <v>0.07000000000000001</v>
      </c>
      <c r="G1016" s="486" t="inlineStr">
        <is>
          <t>ERROR</t>
        </is>
      </c>
    </row>
    <row r="1017" ht="20" customHeight="1" s="225">
      <c r="A1017" s="485" t="inlineStr">
        <is>
          <t>10BV</t>
        </is>
      </c>
      <c r="B1017" s="485" t="inlineStr">
        <is>
          <t>CORONEL LOZADA BRENDA CAROLINA</t>
        </is>
      </c>
      <c r="C1017" s="485" t="inlineStr">
        <is>
          <t>(NÓMINA)</t>
        </is>
      </c>
      <c r="D1017" s="485" t="inlineStr">
        <is>
          <t>-</t>
        </is>
      </c>
      <c r="E1017" s="485" t="inlineStr">
        <is>
          <t>-</t>
        </is>
      </c>
      <c r="F1017" s="485" t="inlineStr">
        <is>
          <t>-</t>
        </is>
      </c>
      <c r="G1017" s="485" t="inlineStr">
        <is>
          <t>DESFASE DE NÓMINA</t>
        </is>
      </c>
    </row>
    <row r="1018" ht="20" customHeight="1" s="225">
      <c r="A1018" s="486" t="inlineStr">
        <is>
          <t>10BV</t>
        </is>
      </c>
      <c r="B1018" s="486" t="inlineStr">
        <is>
          <t>CORONEL LOZADA BRENDA CAROLINA</t>
        </is>
      </c>
      <c r="C1018" s="486" t="inlineStr">
        <is>
          <t>Estudios Sociales</t>
        </is>
      </c>
      <c r="D1018" s="486" t="n">
        <v>9.140000000000001</v>
      </c>
      <c r="E1018" s="486" t="n">
        <v>9.6</v>
      </c>
      <c r="F1018" s="486" t="n">
        <v>0.46</v>
      </c>
      <c r="G1018" s="486" t="inlineStr">
        <is>
          <t>ERROR</t>
        </is>
      </c>
    </row>
    <row r="1019" ht="20" customHeight="1" s="225">
      <c r="A1019" s="486" t="inlineStr">
        <is>
          <t>10BV</t>
        </is>
      </c>
      <c r="B1019" s="486" t="inlineStr">
        <is>
          <t>CORONEL LOZADA BRENDA CAROLINA</t>
        </is>
      </c>
      <c r="C1019" s="486" t="inlineStr">
        <is>
          <t>Promedio Final / P. General</t>
        </is>
      </c>
      <c r="D1019" s="486" t="n">
        <v>8.73</v>
      </c>
      <c r="E1019" s="486" t="n">
        <v>8.789999999999999</v>
      </c>
      <c r="F1019" s="486" t="n">
        <v>0.06</v>
      </c>
      <c r="G1019" s="486" t="inlineStr">
        <is>
          <t>ERROR</t>
        </is>
      </c>
    </row>
    <row r="1020" ht="20" customHeight="1" s="225">
      <c r="A1020" s="485" t="inlineStr">
        <is>
          <t>10BV</t>
        </is>
      </c>
      <c r="B1020" s="485" t="inlineStr">
        <is>
          <t>GOMEZ PERALTA MARIA VICTORIA</t>
        </is>
      </c>
      <c r="C1020" s="485" t="inlineStr">
        <is>
          <t>(NÓMINA)</t>
        </is>
      </c>
      <c r="D1020" s="485" t="inlineStr">
        <is>
          <t>-</t>
        </is>
      </c>
      <c r="E1020" s="485" t="inlineStr">
        <is>
          <t>-</t>
        </is>
      </c>
      <c r="F1020" s="485" t="inlineStr">
        <is>
          <t>-</t>
        </is>
      </c>
      <c r="G1020" s="485" t="inlineStr">
        <is>
          <t>DESFASE DE NÓMINA</t>
        </is>
      </c>
    </row>
    <row r="1021" ht="20" customHeight="1" s="225">
      <c r="A1021" s="486" t="inlineStr">
        <is>
          <t>10BV</t>
        </is>
      </c>
      <c r="B1021" s="486" t="inlineStr">
        <is>
          <t>GOMEZ PERALTA MARIA VICTORIA</t>
        </is>
      </c>
      <c r="C1021" s="486" t="inlineStr">
        <is>
          <t>Estudios Sociales</t>
        </is>
      </c>
      <c r="D1021" s="486" t="n">
        <v>9.33</v>
      </c>
      <c r="E1021" s="486" t="n">
        <v>9.6</v>
      </c>
      <c r="F1021" s="486" t="n">
        <v>0.27</v>
      </c>
      <c r="G1021" s="486" t="inlineStr">
        <is>
          <t>ERROR</t>
        </is>
      </c>
    </row>
    <row r="1022" ht="20" customHeight="1" s="225">
      <c r="A1022" s="486" t="inlineStr">
        <is>
          <t>10BV</t>
        </is>
      </c>
      <c r="B1022" s="486" t="inlineStr">
        <is>
          <t>GOMEZ PERALTA MARIA VICTORIA</t>
        </is>
      </c>
      <c r="C1022" s="486" t="inlineStr">
        <is>
          <t>Promedio Final / P. General</t>
        </is>
      </c>
      <c r="D1022" s="486" t="n">
        <v>8.69</v>
      </c>
      <c r="E1022" s="486" t="n">
        <v>8.73</v>
      </c>
      <c r="F1022" s="486" t="n">
        <v>0.04</v>
      </c>
      <c r="G1022" s="486" t="inlineStr">
        <is>
          <t>ERROR</t>
        </is>
      </c>
    </row>
    <row r="1023" ht="20" customHeight="1" s="225">
      <c r="A1023" s="485" t="inlineStr">
        <is>
          <t>10BV</t>
        </is>
      </c>
      <c r="B1023" s="485" t="inlineStr">
        <is>
          <t>JARA GONZALEZ BRAD LEANDRO</t>
        </is>
      </c>
      <c r="C1023" s="485" t="inlineStr">
        <is>
          <t>(NÓMINA)</t>
        </is>
      </c>
      <c r="D1023" s="485" t="inlineStr">
        <is>
          <t>-</t>
        </is>
      </c>
      <c r="E1023" s="485" t="inlineStr">
        <is>
          <t>-</t>
        </is>
      </c>
      <c r="F1023" s="485" t="inlineStr">
        <is>
          <t>-</t>
        </is>
      </c>
      <c r="G1023" s="485" t="inlineStr">
        <is>
          <t>DESFASE DE NÓMINA</t>
        </is>
      </c>
    </row>
    <row r="1024" ht="20" customHeight="1" s="225">
      <c r="A1024" s="486" t="inlineStr">
        <is>
          <t>10BV</t>
        </is>
      </c>
      <c r="B1024" s="486" t="inlineStr">
        <is>
          <t>JARA GONZALEZ BRAD LEANDRO</t>
        </is>
      </c>
      <c r="C1024" s="486" t="inlineStr">
        <is>
          <t>Ciencias Naturales</t>
        </is>
      </c>
      <c r="D1024" s="486" t="n">
        <v>7.01</v>
      </c>
      <c r="E1024" s="486" t="n">
        <v>7.05</v>
      </c>
      <c r="F1024" s="486" t="n">
        <v>0.04</v>
      </c>
      <c r="G1024" s="486" t="inlineStr">
        <is>
          <t>ERROR</t>
        </is>
      </c>
    </row>
    <row r="1025" ht="20" customHeight="1" s="225">
      <c r="A1025" s="486" t="inlineStr">
        <is>
          <t>10BV</t>
        </is>
      </c>
      <c r="B1025" s="486" t="inlineStr">
        <is>
          <t>JARA GONZALEZ BRAD LEANDRO</t>
        </is>
      </c>
      <c r="C1025" s="486" t="inlineStr">
        <is>
          <t>Estudios Sociales</t>
        </is>
      </c>
      <c r="D1025" s="486" t="n">
        <v>7.87</v>
      </c>
      <c r="E1025" s="486" t="n">
        <v>8.27</v>
      </c>
      <c r="F1025" s="486" t="n">
        <v>0.4</v>
      </c>
      <c r="G1025" s="486" t="inlineStr">
        <is>
          <t>ERROR</t>
        </is>
      </c>
    </row>
    <row r="1026" ht="20" customHeight="1" s="225">
      <c r="A1026" s="486" t="inlineStr">
        <is>
          <t>10BV</t>
        </is>
      </c>
      <c r="B1026" s="486" t="inlineStr">
        <is>
          <t>JARA GONZALEZ BRAD LEANDRO</t>
        </is>
      </c>
      <c r="C1026" s="486" t="inlineStr">
        <is>
          <t>Promedio Final / P. General</t>
        </is>
      </c>
      <c r="D1026" s="486" t="n">
        <v>7.55</v>
      </c>
      <c r="E1026" s="486" t="n">
        <v>7.61</v>
      </c>
      <c r="F1026" s="486" t="n">
        <v>0.06</v>
      </c>
      <c r="G1026" s="486" t="inlineStr">
        <is>
          <t>ERROR</t>
        </is>
      </c>
    </row>
    <row r="1027" ht="20" customHeight="1" s="225">
      <c r="A1027" s="485" t="inlineStr">
        <is>
          <t>10BV</t>
        </is>
      </c>
      <c r="B1027" s="485" t="inlineStr">
        <is>
          <t>LEON SIAVICHAY DIEGO ESTALIN</t>
        </is>
      </c>
      <c r="C1027" s="485" t="inlineStr">
        <is>
          <t>(NÓMINA)</t>
        </is>
      </c>
      <c r="D1027" s="485" t="inlineStr">
        <is>
          <t>-</t>
        </is>
      </c>
      <c r="E1027" s="485" t="inlineStr">
        <is>
          <t>-</t>
        </is>
      </c>
      <c r="F1027" s="485" t="inlineStr">
        <is>
          <t>-</t>
        </is>
      </c>
      <c r="G1027" s="485" t="inlineStr">
        <is>
          <t>DESFASE DE NÓMINA</t>
        </is>
      </c>
    </row>
    <row r="1028" ht="20" customHeight="1" s="225">
      <c r="A1028" s="486" t="inlineStr">
        <is>
          <t>10BV</t>
        </is>
      </c>
      <c r="B1028" s="486" t="inlineStr">
        <is>
          <t>LEON SIAVICHAY DIEGO ESTALIN</t>
        </is>
      </c>
      <c r="C1028" s="486" t="inlineStr">
        <is>
          <t>Ciencias Naturales</t>
        </is>
      </c>
      <c r="D1028" s="486" t="n">
        <v>7.85</v>
      </c>
      <c r="E1028" s="486" t="n">
        <v>8.369999999999999</v>
      </c>
      <c r="F1028" s="486" t="n">
        <v>0.52</v>
      </c>
      <c r="G1028" s="486" t="inlineStr">
        <is>
          <t>ERROR</t>
        </is>
      </c>
    </row>
    <row r="1029" ht="20" customHeight="1" s="225">
      <c r="A1029" s="486" t="inlineStr">
        <is>
          <t>10BV</t>
        </is>
      </c>
      <c r="B1029" s="486" t="inlineStr">
        <is>
          <t>LEON SIAVICHAY DIEGO ESTALIN</t>
        </is>
      </c>
      <c r="C1029" s="486" t="inlineStr">
        <is>
          <t>Estudios Sociales</t>
        </is>
      </c>
      <c r="D1029" s="486" t="n">
        <v>8.44</v>
      </c>
      <c r="E1029" s="486" t="n">
        <v>8.539999999999999</v>
      </c>
      <c r="F1029" s="486" t="n">
        <v>0.1</v>
      </c>
      <c r="G1029" s="486" t="inlineStr">
        <is>
          <t>ERROR</t>
        </is>
      </c>
    </row>
    <row r="1030" ht="20" customHeight="1" s="225">
      <c r="A1030" s="486" t="inlineStr">
        <is>
          <t>10BV</t>
        </is>
      </c>
      <c r="B1030" s="486" t="inlineStr">
        <is>
          <t>LEON SIAVICHAY DIEGO ESTALIN</t>
        </is>
      </c>
      <c r="C1030" s="486" t="inlineStr">
        <is>
          <t>Promedio Final / P. General</t>
        </is>
      </c>
      <c r="D1030" s="486" t="n">
        <v>8.17</v>
      </c>
      <c r="E1030" s="486" t="n">
        <v>8.26</v>
      </c>
      <c r="F1030" s="486" t="n">
        <v>0.09</v>
      </c>
      <c r="G1030" s="486" t="inlineStr">
        <is>
          <t>ERROR</t>
        </is>
      </c>
    </row>
    <row r="1031" ht="20" customHeight="1" s="225">
      <c r="A1031" s="485" t="inlineStr">
        <is>
          <t>10BV</t>
        </is>
      </c>
      <c r="B1031" s="485" t="inlineStr">
        <is>
          <t>LOPEZ PERALTA PABLO ANDRES</t>
        </is>
      </c>
      <c r="C1031" s="485" t="inlineStr">
        <is>
          <t>(NÓMINA)</t>
        </is>
      </c>
      <c r="D1031" s="485" t="inlineStr">
        <is>
          <t>-</t>
        </is>
      </c>
      <c r="E1031" s="485" t="inlineStr">
        <is>
          <t>-</t>
        </is>
      </c>
      <c r="F1031" s="485" t="inlineStr">
        <is>
          <t>-</t>
        </is>
      </c>
      <c r="G1031" s="485" t="inlineStr">
        <is>
          <t>DESFASE DE NÓMINA</t>
        </is>
      </c>
    </row>
    <row r="1032" ht="20" customHeight="1" s="225">
      <c r="A1032" s="486" t="inlineStr">
        <is>
          <t>10BV</t>
        </is>
      </c>
      <c r="B1032" s="486" t="inlineStr">
        <is>
          <t>LOPEZ PERALTA PABLO ANDRES</t>
        </is>
      </c>
      <c r="C1032" s="486" t="inlineStr">
        <is>
          <t>Ciencias Naturales</t>
        </is>
      </c>
      <c r="D1032" s="486" t="n">
        <v>7.07</v>
      </c>
      <c r="E1032" s="486" t="n">
        <v>7.2</v>
      </c>
      <c r="F1032" s="486" t="n">
        <v>0.13</v>
      </c>
      <c r="G1032" s="486" t="inlineStr">
        <is>
          <t>ERROR</t>
        </is>
      </c>
    </row>
    <row r="1033" ht="20" customHeight="1" s="225">
      <c r="A1033" s="486" t="inlineStr">
        <is>
          <t>10BV</t>
        </is>
      </c>
      <c r="B1033" s="486" t="inlineStr">
        <is>
          <t>LOPEZ PERALTA PABLO ANDRES</t>
        </is>
      </c>
      <c r="C1033" s="486" t="inlineStr">
        <is>
          <t>Estudios Sociales</t>
        </is>
      </c>
      <c r="D1033" s="486" t="n">
        <v>7.27</v>
      </c>
      <c r="E1033" s="486" t="n">
        <v>7.46</v>
      </c>
      <c r="F1033" s="486" t="n">
        <v>0.19</v>
      </c>
      <c r="G1033" s="486" t="inlineStr">
        <is>
          <t>ERROR</t>
        </is>
      </c>
    </row>
    <row r="1034" ht="20" customHeight="1" s="225">
      <c r="A1034" s="486" t="inlineStr">
        <is>
          <t>10BV</t>
        </is>
      </c>
      <c r="B1034" s="486" t="inlineStr">
        <is>
          <t>LOPEZ PERALTA PABLO ANDRES</t>
        </is>
      </c>
      <c r="C1034" s="486" t="inlineStr">
        <is>
          <t>Promedio Final / P. General</t>
        </is>
      </c>
      <c r="D1034" s="486" t="n">
        <v>7.33</v>
      </c>
      <c r="E1034" s="486" t="n">
        <v>7.38</v>
      </c>
      <c r="F1034" s="486" t="n">
        <v>0.05</v>
      </c>
      <c r="G1034" s="486" t="inlineStr">
        <is>
          <t>ERROR</t>
        </is>
      </c>
    </row>
    <row r="1035" ht="20" customHeight="1" s="225">
      <c r="A1035" s="485" t="inlineStr">
        <is>
          <t>10BV</t>
        </is>
      </c>
      <c r="B1035" s="485" t="inlineStr">
        <is>
          <t>MAYANCELA ROMERO ANGELES CAMILA</t>
        </is>
      </c>
      <c r="C1035" s="485" t="inlineStr">
        <is>
          <t>(NÓMINA)</t>
        </is>
      </c>
      <c r="D1035" s="485" t="inlineStr">
        <is>
          <t>-</t>
        </is>
      </c>
      <c r="E1035" s="485" t="inlineStr">
        <is>
          <t>-</t>
        </is>
      </c>
      <c r="F1035" s="485" t="inlineStr">
        <is>
          <t>-</t>
        </is>
      </c>
      <c r="G1035" s="485" t="inlineStr">
        <is>
          <t>DESFASE DE NÓMINA</t>
        </is>
      </c>
    </row>
    <row r="1036" ht="20" customHeight="1" s="225">
      <c r="A1036" s="486" t="inlineStr">
        <is>
          <t>10BV</t>
        </is>
      </c>
      <c r="B1036" s="486" t="inlineStr">
        <is>
          <t>MAYANCELA ROMERO ANGELES CAMILA</t>
        </is>
      </c>
      <c r="C1036" s="486" t="inlineStr">
        <is>
          <t>Ciencias Naturales</t>
        </is>
      </c>
      <c r="D1036" s="486" t="n">
        <v>7.15</v>
      </c>
      <c r="E1036" s="486" t="n">
        <v>7.28</v>
      </c>
      <c r="F1036" s="486" t="n">
        <v>0.13</v>
      </c>
      <c r="G1036" s="486" t="inlineStr">
        <is>
          <t>ERROR</t>
        </is>
      </c>
    </row>
    <row r="1037" ht="20" customHeight="1" s="225">
      <c r="A1037" s="486" t="inlineStr">
        <is>
          <t>10BV</t>
        </is>
      </c>
      <c r="B1037" s="486" t="inlineStr">
        <is>
          <t>MAYANCELA ROMERO ANGELES CAMILA</t>
        </is>
      </c>
      <c r="C1037" s="486" t="inlineStr">
        <is>
          <t>Estudios Sociales</t>
        </is>
      </c>
      <c r="D1037" s="486" t="n">
        <v>7.79</v>
      </c>
      <c r="E1037" s="486" t="n">
        <v>8.039999999999999</v>
      </c>
      <c r="F1037" s="486" t="n">
        <v>0.25</v>
      </c>
      <c r="G1037" s="486" t="inlineStr">
        <is>
          <t>ERROR</t>
        </is>
      </c>
    </row>
    <row r="1038" ht="20" customHeight="1" s="225">
      <c r="A1038" s="486" t="inlineStr">
        <is>
          <t>10BV</t>
        </is>
      </c>
      <c r="B1038" s="486" t="inlineStr">
        <is>
          <t>MAYANCELA ROMERO ANGELES CAMILA</t>
        </is>
      </c>
      <c r="C1038" s="486" t="inlineStr">
        <is>
          <t>Promedio Final / P. General</t>
        </is>
      </c>
      <c r="D1038" s="486" t="n">
        <v>7.76</v>
      </c>
      <c r="E1038" s="486" t="n">
        <v>7.81</v>
      </c>
      <c r="F1038" s="486" t="n">
        <v>0.05</v>
      </c>
      <c r="G1038" s="486" t="inlineStr">
        <is>
          <t>ERROR</t>
        </is>
      </c>
    </row>
    <row r="1039" ht="20" customHeight="1" s="225">
      <c r="A1039" s="485" t="inlineStr">
        <is>
          <t>10BV</t>
        </is>
      </c>
      <c r="B1039" s="485" t="inlineStr">
        <is>
          <t>MENDEZ LANDI EMILY DOMENICA</t>
        </is>
      </c>
      <c r="C1039" s="485" t="inlineStr">
        <is>
          <t>(NÓMINA)</t>
        </is>
      </c>
      <c r="D1039" s="485" t="inlineStr">
        <is>
          <t>-</t>
        </is>
      </c>
      <c r="E1039" s="485" t="inlineStr">
        <is>
          <t>-</t>
        </is>
      </c>
      <c r="F1039" s="485" t="inlineStr">
        <is>
          <t>-</t>
        </is>
      </c>
      <c r="G1039" s="485" t="inlineStr">
        <is>
          <t>DESFASE DE NÓMINA</t>
        </is>
      </c>
    </row>
    <row r="1040" ht="20" customHeight="1" s="225">
      <c r="A1040" s="486" t="inlineStr">
        <is>
          <t>10BV</t>
        </is>
      </c>
      <c r="B1040" s="486" t="inlineStr">
        <is>
          <t>MENDEZ LANDI EMILY DOMENICA</t>
        </is>
      </c>
      <c r="C1040" s="486" t="inlineStr">
        <is>
          <t>Estudios Sociales</t>
        </is>
      </c>
      <c r="D1040" s="486" t="n">
        <v>9.59</v>
      </c>
      <c r="E1040" s="486" t="n">
        <v>9.76</v>
      </c>
      <c r="F1040" s="486" t="n">
        <v>0.17</v>
      </c>
      <c r="G1040" s="486" t="inlineStr">
        <is>
          <t>ERROR</t>
        </is>
      </c>
    </row>
    <row r="1041" ht="20" customHeight="1" s="225">
      <c r="A1041" s="485" t="inlineStr">
        <is>
          <t>10BV</t>
        </is>
      </c>
      <c r="B1041" s="485" t="inlineStr">
        <is>
          <t>MOROCHO URGILES BRIANA ANELY</t>
        </is>
      </c>
      <c r="C1041" s="485" t="inlineStr">
        <is>
          <t>(NÓMINA)</t>
        </is>
      </c>
      <c r="D1041" s="485" t="inlineStr">
        <is>
          <t>-</t>
        </is>
      </c>
      <c r="E1041" s="485" t="inlineStr">
        <is>
          <t>-</t>
        </is>
      </c>
      <c r="F1041" s="485" t="inlineStr">
        <is>
          <t>-</t>
        </is>
      </c>
      <c r="G1041" s="485" t="inlineStr">
        <is>
          <t>DESFASE DE NÓMINA</t>
        </is>
      </c>
    </row>
    <row r="1042" ht="20" customHeight="1" s="225">
      <c r="A1042" s="486" t="inlineStr">
        <is>
          <t>10BV</t>
        </is>
      </c>
      <c r="B1042" s="486" t="inlineStr">
        <is>
          <t>MOROCHO URGILES BRIANA ANELY</t>
        </is>
      </c>
      <c r="C1042" s="486" t="inlineStr">
        <is>
          <t>Estudios Sociales</t>
        </is>
      </c>
      <c r="D1042" s="486" t="n">
        <v>8.25</v>
      </c>
      <c r="E1042" s="486" t="n">
        <v>8.44</v>
      </c>
      <c r="F1042" s="486" t="n">
        <v>0.19</v>
      </c>
      <c r="G1042" s="486" t="inlineStr">
        <is>
          <t>ERROR</t>
        </is>
      </c>
    </row>
    <row r="1043" ht="20" customHeight="1" s="225">
      <c r="A1043" s="486" t="inlineStr">
        <is>
          <t>10BV</t>
        </is>
      </c>
      <c r="B1043" s="486" t="inlineStr">
        <is>
          <t>MOROCHO URGILES BRIANA ANELY</t>
        </is>
      </c>
      <c r="C1043" s="486" t="inlineStr">
        <is>
          <t>Promedio Final / P. General</t>
        </is>
      </c>
      <c r="D1043" s="486" t="n">
        <v>7.41</v>
      </c>
      <c r="E1043" s="486" t="n">
        <v>7.44</v>
      </c>
      <c r="F1043" s="486" t="n">
        <v>0.03</v>
      </c>
      <c r="G1043" s="486" t="inlineStr">
        <is>
          <t>ERROR</t>
        </is>
      </c>
    </row>
    <row r="1044" ht="20" customHeight="1" s="225">
      <c r="A1044" s="485" t="inlineStr">
        <is>
          <t>10BV</t>
        </is>
      </c>
      <c r="B1044" s="485" t="inlineStr">
        <is>
          <t>NACIPUCHA LEMA DANNY ANDRES</t>
        </is>
      </c>
      <c r="C1044" s="485" t="inlineStr">
        <is>
          <t>(NÓMINA)</t>
        </is>
      </c>
      <c r="D1044" s="485" t="inlineStr">
        <is>
          <t>-</t>
        </is>
      </c>
      <c r="E1044" s="485" t="inlineStr">
        <is>
          <t>-</t>
        </is>
      </c>
      <c r="F1044" s="485" t="inlineStr">
        <is>
          <t>-</t>
        </is>
      </c>
      <c r="G1044" s="485" t="inlineStr">
        <is>
          <t>DESFASE DE NÓMINA</t>
        </is>
      </c>
    </row>
    <row r="1045" ht="20" customHeight="1" s="225">
      <c r="A1045" s="485" t="inlineStr">
        <is>
          <t>10BV</t>
        </is>
      </c>
      <c r="B1045" s="485" t="inlineStr">
        <is>
          <t>NAULA QUIZHPE ALAN JOSUE</t>
        </is>
      </c>
      <c r="C1045" s="485" t="inlineStr">
        <is>
          <t>(NÓMINA)</t>
        </is>
      </c>
      <c r="D1045" s="485" t="inlineStr">
        <is>
          <t>-</t>
        </is>
      </c>
      <c r="E1045" s="485" t="inlineStr">
        <is>
          <t>-</t>
        </is>
      </c>
      <c r="F1045" s="485" t="inlineStr">
        <is>
          <t>-</t>
        </is>
      </c>
      <c r="G1045" s="485" t="inlineStr">
        <is>
          <t>DESFASE DE NÓMINA</t>
        </is>
      </c>
    </row>
    <row r="1046" ht="20" customHeight="1" s="225">
      <c r="A1046" s="486" t="inlineStr">
        <is>
          <t>10BV</t>
        </is>
      </c>
      <c r="B1046" s="486" t="inlineStr">
        <is>
          <t>NAULA QUIZHPE ALAN JOSUE</t>
        </is>
      </c>
      <c r="C1046" s="486" t="inlineStr">
        <is>
          <t>Estudios Sociales</t>
        </is>
      </c>
      <c r="D1046" s="486" t="n">
        <v>9.73</v>
      </c>
      <c r="E1046" s="486" t="n">
        <v>9.92</v>
      </c>
      <c r="F1046" s="486" t="n">
        <v>0.19</v>
      </c>
      <c r="G1046" s="486" t="inlineStr">
        <is>
          <t>ERROR</t>
        </is>
      </c>
    </row>
    <row r="1047" ht="20" customHeight="1" s="225">
      <c r="A1047" s="486" t="inlineStr">
        <is>
          <t>10BV</t>
        </is>
      </c>
      <c r="B1047" s="486" t="inlineStr">
        <is>
          <t>NAULA QUIZHPE ALAN JOSUE</t>
        </is>
      </c>
      <c r="C1047" s="486" t="inlineStr">
        <is>
          <t>Promedio Final / P. General</t>
        </is>
      </c>
      <c r="D1047" s="486" t="n">
        <v>9.57</v>
      </c>
      <c r="E1047" s="486" t="n">
        <v>9.6</v>
      </c>
      <c r="F1047" s="486" t="n">
        <v>0.03</v>
      </c>
      <c r="G1047" s="486" t="inlineStr">
        <is>
          <t>ERROR</t>
        </is>
      </c>
    </row>
    <row r="1048" ht="20" customHeight="1" s="225">
      <c r="A1048" s="485" t="inlineStr">
        <is>
          <t>10BV</t>
        </is>
      </c>
      <c r="B1048" s="485" t="inlineStr">
        <is>
          <t>NIVELO ORTIZ AMANDA VICTORIA</t>
        </is>
      </c>
      <c r="C1048" s="485" t="inlineStr">
        <is>
          <t>(NÓMINA)</t>
        </is>
      </c>
      <c r="D1048" s="485" t="inlineStr">
        <is>
          <t>-</t>
        </is>
      </c>
      <c r="E1048" s="485" t="inlineStr">
        <is>
          <t>-</t>
        </is>
      </c>
      <c r="F1048" s="485" t="inlineStr">
        <is>
          <t>-</t>
        </is>
      </c>
      <c r="G1048" s="485" t="inlineStr">
        <is>
          <t>DESFASE DE NÓMINA</t>
        </is>
      </c>
    </row>
    <row r="1049" ht="20" customHeight="1" s="225">
      <c r="A1049" s="486" t="inlineStr">
        <is>
          <t>10BV</t>
        </is>
      </c>
      <c r="B1049" s="486" t="inlineStr">
        <is>
          <t>NIVELO ORTIZ AMANDA VICTORIA</t>
        </is>
      </c>
      <c r="C1049" s="486" t="inlineStr">
        <is>
          <t>Estudios Sociales</t>
        </is>
      </c>
      <c r="D1049" s="486" t="n">
        <v>9.140000000000001</v>
      </c>
      <c r="E1049" s="486" t="n">
        <v>9.66</v>
      </c>
      <c r="F1049" s="486" t="n">
        <v>0.52</v>
      </c>
      <c r="G1049" s="486" t="inlineStr">
        <is>
          <t>ERROR</t>
        </is>
      </c>
    </row>
    <row r="1050" ht="20" customHeight="1" s="225">
      <c r="A1050" s="486" t="inlineStr">
        <is>
          <t>10BV</t>
        </is>
      </c>
      <c r="B1050" s="486" t="inlineStr">
        <is>
          <t>NIVELO ORTIZ AMANDA VICTORIA</t>
        </is>
      </c>
      <c r="C1050" s="486" t="inlineStr">
        <is>
          <t>Promedio Final / P. General</t>
        </is>
      </c>
      <c r="D1050" s="486" t="n">
        <v>9.5</v>
      </c>
      <c r="E1050" s="486" t="n">
        <v>9.57</v>
      </c>
      <c r="F1050" s="486" t="n">
        <v>0.07000000000000001</v>
      </c>
      <c r="G1050" s="486" t="inlineStr">
        <is>
          <t>ERROR</t>
        </is>
      </c>
    </row>
    <row r="1051" ht="20" customHeight="1" s="225">
      <c r="A1051" s="485" t="inlineStr">
        <is>
          <t>10BV</t>
        </is>
      </c>
      <c r="B1051" s="485" t="inlineStr">
        <is>
          <t>PACHAR PIZARRO JESSICA ESTEFANIA</t>
        </is>
      </c>
      <c r="C1051" s="485" t="inlineStr">
        <is>
          <t>(NÓMINA)</t>
        </is>
      </c>
      <c r="D1051" s="485" t="inlineStr">
        <is>
          <t>-</t>
        </is>
      </c>
      <c r="E1051" s="485" t="inlineStr">
        <is>
          <t>-</t>
        </is>
      </c>
      <c r="F1051" s="485" t="inlineStr">
        <is>
          <t>-</t>
        </is>
      </c>
      <c r="G1051" s="485" t="inlineStr">
        <is>
          <t>DESFASE DE NÓMINA</t>
        </is>
      </c>
    </row>
    <row r="1052" ht="20" customHeight="1" s="225">
      <c r="A1052" s="486" t="inlineStr">
        <is>
          <t>10BV</t>
        </is>
      </c>
      <c r="B1052" s="486" t="inlineStr">
        <is>
          <t>PACHAR PIZARRO JESSICA ESTEFANIA</t>
        </is>
      </c>
      <c r="C1052" s="486" t="inlineStr">
        <is>
          <t>Estudios Sociales</t>
        </is>
      </c>
      <c r="D1052" s="486" t="n">
        <v>9.380000000000001</v>
      </c>
      <c r="E1052" s="486" t="n">
        <v>9.51</v>
      </c>
      <c r="F1052" s="486" t="n">
        <v>0.13</v>
      </c>
      <c r="G1052" s="486" t="inlineStr">
        <is>
          <t>ERROR</t>
        </is>
      </c>
    </row>
    <row r="1053" ht="20" customHeight="1" s="225">
      <c r="A1053" s="486" t="inlineStr">
        <is>
          <t>10BV</t>
        </is>
      </c>
      <c r="B1053" s="486" t="inlineStr">
        <is>
          <t>PACHAR PIZARRO JESSICA ESTEFANIA</t>
        </is>
      </c>
      <c r="C1053" s="486" t="inlineStr">
        <is>
          <t>Educación Cultural y Artística</t>
        </is>
      </c>
      <c r="D1053" s="486" t="n">
        <v>9.779999999999999</v>
      </c>
      <c r="E1053" s="486" t="n">
        <v>9.41</v>
      </c>
      <c r="F1053" s="486" t="n">
        <v>0.37</v>
      </c>
      <c r="G1053" s="486" t="inlineStr">
        <is>
          <t>ERROR</t>
        </is>
      </c>
    </row>
    <row r="1054" ht="20" customHeight="1" s="225">
      <c r="A1054" s="486" t="inlineStr">
        <is>
          <t>10BV</t>
        </is>
      </c>
      <c r="B1054" s="486" t="inlineStr">
        <is>
          <t>PACHAR PIZARRO JESSICA ESTEFANIA</t>
        </is>
      </c>
      <c r="C1054" s="486" t="inlineStr">
        <is>
          <t>Promedio Final / P. General</t>
        </is>
      </c>
      <c r="D1054" s="486" t="n">
        <v>9.039999999999999</v>
      </c>
      <c r="E1054" s="486" t="n">
        <v>9.01</v>
      </c>
      <c r="F1054" s="486" t="n">
        <v>0.03</v>
      </c>
      <c r="G1054" s="486" t="inlineStr">
        <is>
          <t>ERROR</t>
        </is>
      </c>
    </row>
    <row r="1055" ht="20" customHeight="1" s="225">
      <c r="A1055" s="485" t="inlineStr">
        <is>
          <t>10BV</t>
        </is>
      </c>
      <c r="B1055" s="485" t="inlineStr">
        <is>
          <t>PALACIOS GUTIERREZ MARIA BELEN</t>
        </is>
      </c>
      <c r="C1055" s="485" t="inlineStr">
        <is>
          <t>(NÓMINA)</t>
        </is>
      </c>
      <c r="D1055" s="485" t="inlineStr">
        <is>
          <t>-</t>
        </is>
      </c>
      <c r="E1055" s="485" t="inlineStr">
        <is>
          <t>-</t>
        </is>
      </c>
      <c r="F1055" s="485" t="inlineStr">
        <is>
          <t>-</t>
        </is>
      </c>
      <c r="G1055" s="485" t="inlineStr">
        <is>
          <t>DESFASE DE NÓMINA</t>
        </is>
      </c>
    </row>
    <row r="1056" ht="20" customHeight="1" s="225">
      <c r="A1056" s="486" t="inlineStr">
        <is>
          <t>10BV</t>
        </is>
      </c>
      <c r="B1056" s="486" t="inlineStr">
        <is>
          <t>PALACIOS GUTIERREZ MARIA BELEN</t>
        </is>
      </c>
      <c r="C1056" s="486" t="inlineStr">
        <is>
          <t>Estudios Sociales</t>
        </is>
      </c>
      <c r="D1056" s="486" t="n">
        <v>8.699999999999999</v>
      </c>
      <c r="E1056" s="486" t="n">
        <v>8.27</v>
      </c>
      <c r="F1056" s="486" t="n">
        <v>0.43</v>
      </c>
      <c r="G1056" s="486" t="inlineStr">
        <is>
          <t>ERROR</t>
        </is>
      </c>
    </row>
    <row r="1057" ht="20" customHeight="1" s="225">
      <c r="A1057" s="486" t="inlineStr">
        <is>
          <t>10BV</t>
        </is>
      </c>
      <c r="B1057" s="486" t="inlineStr">
        <is>
          <t>PALACIOS GUTIERREZ MARIA BELEN</t>
        </is>
      </c>
      <c r="C1057" s="486" t="inlineStr">
        <is>
          <t>Promedio Final / P. General</t>
        </is>
      </c>
      <c r="D1057" s="486" t="n">
        <v>8.32</v>
      </c>
      <c r="E1057" s="486" t="n">
        <v>8.26</v>
      </c>
      <c r="F1057" s="486" t="n">
        <v>0.06</v>
      </c>
      <c r="G1057" s="486" t="inlineStr">
        <is>
          <t>ERROR</t>
        </is>
      </c>
    </row>
    <row r="1058" ht="20" customHeight="1" s="225">
      <c r="A1058" s="485" t="inlineStr">
        <is>
          <t>10BV</t>
        </is>
      </c>
      <c r="B1058" s="485" t="inlineStr">
        <is>
          <t>PIZARRO IDROVO JHONATAN XAVIER</t>
        </is>
      </c>
      <c r="C1058" s="485" t="inlineStr">
        <is>
          <t>(NÓMINA)</t>
        </is>
      </c>
      <c r="D1058" s="485" t="inlineStr">
        <is>
          <t>-</t>
        </is>
      </c>
      <c r="E1058" s="485" t="inlineStr">
        <is>
          <t>-</t>
        </is>
      </c>
      <c r="F1058" s="485" t="inlineStr">
        <is>
          <t>-</t>
        </is>
      </c>
      <c r="G1058" s="485" t="inlineStr">
        <is>
          <t>DESFASE DE NÓMINA</t>
        </is>
      </c>
    </row>
    <row r="1059" ht="20" customHeight="1" s="225">
      <c r="A1059" s="486" t="inlineStr">
        <is>
          <t>10BV</t>
        </is>
      </c>
      <c r="B1059" s="486" t="inlineStr">
        <is>
          <t>PIZARRO IDROVO JHONATAN XAVIER</t>
        </is>
      </c>
      <c r="C1059" s="486" t="inlineStr">
        <is>
          <t>Estudios Sociales</t>
        </is>
      </c>
      <c r="D1059" s="486" t="n">
        <v>9.15</v>
      </c>
      <c r="E1059" s="486" t="n">
        <v>9.92</v>
      </c>
      <c r="F1059" s="486" t="n">
        <v>0.77</v>
      </c>
      <c r="G1059" s="486" t="inlineStr">
        <is>
          <t>ERROR</t>
        </is>
      </c>
    </row>
    <row r="1060" ht="20" customHeight="1" s="225">
      <c r="A1060" s="486" t="inlineStr">
        <is>
          <t>10BV</t>
        </is>
      </c>
      <c r="B1060" s="486" t="inlineStr">
        <is>
          <t>PIZARRO IDROVO JHONATAN XAVIER</t>
        </is>
      </c>
      <c r="C1060" s="486" t="inlineStr">
        <is>
          <t>Promedio Final / P. General</t>
        </is>
      </c>
      <c r="D1060" s="486" t="n">
        <v>8.91</v>
      </c>
      <c r="E1060" s="486" t="n">
        <v>9.02</v>
      </c>
      <c r="F1060" s="486" t="n">
        <v>0.11</v>
      </c>
      <c r="G1060" s="486" t="inlineStr">
        <is>
          <t>ERROR</t>
        </is>
      </c>
    </row>
    <row r="1061" ht="20" customHeight="1" s="225">
      <c r="A1061" s="485" t="inlineStr">
        <is>
          <t>10BV</t>
        </is>
      </c>
      <c r="B1061" s="485" t="inlineStr">
        <is>
          <t>PUETATE PLASENCIA PATRICIA NAYELI</t>
        </is>
      </c>
      <c r="C1061" s="485" t="inlineStr">
        <is>
          <t>(NÓMINA)</t>
        </is>
      </c>
      <c r="D1061" s="485" t="inlineStr">
        <is>
          <t>-</t>
        </is>
      </c>
      <c r="E1061" s="485" t="inlineStr">
        <is>
          <t>-</t>
        </is>
      </c>
      <c r="F1061" s="485" t="inlineStr">
        <is>
          <t>-</t>
        </is>
      </c>
      <c r="G1061" s="485" t="inlineStr">
        <is>
          <t>DESFASE DE NÓMINA</t>
        </is>
      </c>
    </row>
    <row r="1062" ht="20" customHeight="1" s="225">
      <c r="A1062" s="485" t="inlineStr">
        <is>
          <t>10BV</t>
        </is>
      </c>
      <c r="B1062" s="485" t="inlineStr">
        <is>
          <t>PUMA RAMON JHOSTIN ADRIAN</t>
        </is>
      </c>
      <c r="C1062" s="485" t="inlineStr">
        <is>
          <t>(NÓMINA)</t>
        </is>
      </c>
      <c r="D1062" s="485" t="inlineStr">
        <is>
          <t>-</t>
        </is>
      </c>
      <c r="E1062" s="485" t="inlineStr">
        <is>
          <t>-</t>
        </is>
      </c>
      <c r="F1062" s="485" t="inlineStr">
        <is>
          <t>-</t>
        </is>
      </c>
      <c r="G1062" s="485" t="inlineStr">
        <is>
          <t>DESFASE DE NÓMINA</t>
        </is>
      </c>
    </row>
    <row r="1063" ht="20" customHeight="1" s="225">
      <c r="A1063" s="486" t="inlineStr">
        <is>
          <t>10BV</t>
        </is>
      </c>
      <c r="B1063" s="486" t="inlineStr">
        <is>
          <t>PUMA RAMON JHOSTIN ADRIAN</t>
        </is>
      </c>
      <c r="C1063" s="486" t="inlineStr">
        <is>
          <t>Estudios Sociales</t>
        </is>
      </c>
      <c r="D1063" s="486" t="n">
        <v>7.86</v>
      </c>
      <c r="E1063" s="486" t="n">
        <v>8.02</v>
      </c>
      <c r="F1063" s="486" t="n">
        <v>0.16</v>
      </c>
      <c r="G1063" s="486" t="inlineStr">
        <is>
          <t>ERROR</t>
        </is>
      </c>
    </row>
    <row r="1064" ht="20" customHeight="1" s="225">
      <c r="A1064" s="485" t="inlineStr">
        <is>
          <t>10BV</t>
        </is>
      </c>
      <c r="B1064" s="485" t="inlineStr">
        <is>
          <t>QUIZHPI MOROCHO JOSUE MATIAS</t>
        </is>
      </c>
      <c r="C1064" s="485" t="inlineStr">
        <is>
          <t>(NÓMINA)</t>
        </is>
      </c>
      <c r="D1064" s="485" t="inlineStr">
        <is>
          <t>-</t>
        </is>
      </c>
      <c r="E1064" s="485" t="inlineStr">
        <is>
          <t>-</t>
        </is>
      </c>
      <c r="F1064" s="485" t="inlineStr">
        <is>
          <t>-</t>
        </is>
      </c>
      <c r="G1064" s="485" t="inlineStr">
        <is>
          <t>DESFASE DE NÓMINA</t>
        </is>
      </c>
    </row>
    <row r="1065" ht="20" customHeight="1" s="225">
      <c r="A1065" s="485" t="inlineStr">
        <is>
          <t>10BV</t>
        </is>
      </c>
      <c r="B1065" s="485" t="inlineStr">
        <is>
          <t>RAMIREZ JEREZ JOSKARY SARAI</t>
        </is>
      </c>
      <c r="C1065" s="485" t="inlineStr">
        <is>
          <t>(NÓMINA)</t>
        </is>
      </c>
      <c r="D1065" s="485" t="inlineStr">
        <is>
          <t>-</t>
        </is>
      </c>
      <c r="E1065" s="485" t="inlineStr">
        <is>
          <t>-</t>
        </is>
      </c>
      <c r="F1065" s="485" t="inlineStr">
        <is>
          <t>-</t>
        </is>
      </c>
      <c r="G1065" s="485" t="inlineStr">
        <is>
          <t>DESFASE DE NÓMINA</t>
        </is>
      </c>
    </row>
    <row r="1066" ht="20" customHeight="1" s="225">
      <c r="A1066" s="485" t="inlineStr">
        <is>
          <t>10BV</t>
        </is>
      </c>
      <c r="B1066" s="485" t="inlineStr">
        <is>
          <t>ROMERO RAMON KENNYN GABRIEL</t>
        </is>
      </c>
      <c r="C1066" s="485" t="inlineStr">
        <is>
          <t>(NÓMINA)</t>
        </is>
      </c>
      <c r="D1066" s="485" t="inlineStr">
        <is>
          <t>-</t>
        </is>
      </c>
      <c r="E1066" s="485" t="inlineStr">
        <is>
          <t>-</t>
        </is>
      </c>
      <c r="F1066" s="485" t="inlineStr">
        <is>
          <t>-</t>
        </is>
      </c>
      <c r="G1066" s="485" t="inlineStr">
        <is>
          <t>DESFASE DE NÓMINA</t>
        </is>
      </c>
    </row>
    <row r="1067" ht="20" customHeight="1" s="225">
      <c r="A1067" s="486" t="inlineStr">
        <is>
          <t>10BV</t>
        </is>
      </c>
      <c r="B1067" s="486" t="inlineStr">
        <is>
          <t>ROMERO RAMON KENNYN GABRIEL</t>
        </is>
      </c>
      <c r="C1067" s="486" t="inlineStr">
        <is>
          <t>Estudios Sociales</t>
        </is>
      </c>
      <c r="D1067" s="486" t="n">
        <v>9.140000000000001</v>
      </c>
      <c r="E1067" s="486" t="n">
        <v>9.07</v>
      </c>
      <c r="F1067" s="486" t="n">
        <v>0.07000000000000001</v>
      </c>
      <c r="G1067" s="486" t="inlineStr">
        <is>
          <t>ERROR</t>
        </is>
      </c>
    </row>
    <row r="1068" ht="20" customHeight="1" s="225">
      <c r="A1068" s="485" t="inlineStr">
        <is>
          <t>10BV</t>
        </is>
      </c>
      <c r="B1068" s="485" t="inlineStr">
        <is>
          <t>SANTANDER SIGUENCIA DAYANA PATRICIA</t>
        </is>
      </c>
      <c r="C1068" s="485" t="inlineStr">
        <is>
          <t>(NÓMINA)</t>
        </is>
      </c>
      <c r="D1068" s="485" t="inlineStr">
        <is>
          <t>-</t>
        </is>
      </c>
      <c r="E1068" s="485" t="inlineStr">
        <is>
          <t>-</t>
        </is>
      </c>
      <c r="F1068" s="485" t="inlineStr">
        <is>
          <t>-</t>
        </is>
      </c>
      <c r="G1068" s="485" t="inlineStr">
        <is>
          <t>DESFASE DE NÓMINA</t>
        </is>
      </c>
    </row>
    <row r="1069" ht="20" customHeight="1" s="225">
      <c r="A1069" s="486" t="inlineStr">
        <is>
          <t>10BV</t>
        </is>
      </c>
      <c r="B1069" s="486" t="inlineStr">
        <is>
          <t>SANTANDER SIGUENCIA DAYANA PATRICIA</t>
        </is>
      </c>
      <c r="C1069" s="486" t="inlineStr">
        <is>
          <t>Estudios Sociales</t>
        </is>
      </c>
      <c r="D1069" s="486" t="n">
        <v>9.57</v>
      </c>
      <c r="E1069" s="486" t="n">
        <v>9.77</v>
      </c>
      <c r="F1069" s="486" t="n">
        <v>0.2</v>
      </c>
      <c r="G1069" s="486" t="inlineStr">
        <is>
          <t>ERROR</t>
        </is>
      </c>
    </row>
    <row r="1070" ht="20" customHeight="1" s="225">
      <c r="A1070" s="486" t="inlineStr">
        <is>
          <t>10BV</t>
        </is>
      </c>
      <c r="B1070" s="486" t="inlineStr">
        <is>
          <t>SANTANDER SIGUENCIA DAYANA PATRICIA</t>
        </is>
      </c>
      <c r="C1070" s="486" t="inlineStr">
        <is>
          <t>Promedio Final / P. General</t>
        </is>
      </c>
      <c r="D1070" s="486" t="n">
        <v>9.130000000000001</v>
      </c>
      <c r="E1070" s="486" t="n">
        <v>9.16</v>
      </c>
      <c r="F1070" s="486" t="n">
        <v>0.03</v>
      </c>
      <c r="G1070" s="486" t="inlineStr">
        <is>
          <t>ERROR</t>
        </is>
      </c>
    </row>
    <row r="1071" ht="20" customHeight="1" s="225">
      <c r="A1071" s="485" t="inlineStr">
        <is>
          <t>10BV</t>
        </is>
      </c>
      <c r="B1071" s="485" t="inlineStr">
        <is>
          <t>SIBRI CHIQUI ANTOLINI JAVIER</t>
        </is>
      </c>
      <c r="C1071" s="485" t="inlineStr">
        <is>
          <t>(NÓMINA)</t>
        </is>
      </c>
      <c r="D1071" s="485" t="inlineStr">
        <is>
          <t>-</t>
        </is>
      </c>
      <c r="E1071" s="485" t="inlineStr">
        <is>
          <t>-</t>
        </is>
      </c>
      <c r="F1071" s="485" t="inlineStr">
        <is>
          <t>-</t>
        </is>
      </c>
      <c r="G1071" s="485" t="inlineStr">
        <is>
          <t>DESFASE DE NÓMINA</t>
        </is>
      </c>
    </row>
    <row r="1072" ht="20" customHeight="1" s="225">
      <c r="A1072" s="486" t="inlineStr">
        <is>
          <t>10BV</t>
        </is>
      </c>
      <c r="B1072" s="486" t="inlineStr">
        <is>
          <t>SIBRI CHIQUI ANTOLINI JAVIER</t>
        </is>
      </c>
      <c r="C1072" s="486" t="inlineStr">
        <is>
          <t>Estudios Sociales</t>
        </is>
      </c>
      <c r="D1072" s="486" t="n">
        <v>8.449999999999999</v>
      </c>
      <c r="E1072" s="486" t="n">
        <v>9.15</v>
      </c>
      <c r="F1072" s="486" t="n">
        <v>0.7</v>
      </c>
      <c r="G1072" s="486" t="inlineStr">
        <is>
          <t>ERROR</t>
        </is>
      </c>
    </row>
    <row r="1073" ht="20" customHeight="1" s="225">
      <c r="A1073" s="486" t="inlineStr">
        <is>
          <t>10BV</t>
        </is>
      </c>
      <c r="B1073" s="486" t="inlineStr">
        <is>
          <t>SIBRI CHIQUI ANTOLINI JAVIER</t>
        </is>
      </c>
      <c r="C1073" s="486" t="inlineStr">
        <is>
          <t>Promedio Final / P. General</t>
        </is>
      </c>
      <c r="D1073" s="486" t="n">
        <v>7.93</v>
      </c>
      <c r="E1073" s="486" t="n">
        <v>8.029999999999999</v>
      </c>
      <c r="F1073" s="486" t="n">
        <v>0.1</v>
      </c>
      <c r="G1073" s="486" t="inlineStr">
        <is>
          <t>ERROR</t>
        </is>
      </c>
    </row>
    <row r="1074" ht="20" customHeight="1" s="225">
      <c r="A1074" s="485" t="inlineStr">
        <is>
          <t>10BV</t>
        </is>
      </c>
      <c r="B1074" s="485" t="inlineStr">
        <is>
          <t>TENESACA GUAMAN DIANA ESTEFANIA</t>
        </is>
      </c>
      <c r="C1074" s="485" t="inlineStr">
        <is>
          <t>(NÓMINA)</t>
        </is>
      </c>
      <c r="D1074" s="485" t="inlineStr">
        <is>
          <t>-</t>
        </is>
      </c>
      <c r="E1074" s="485" t="inlineStr">
        <is>
          <t>-</t>
        </is>
      </c>
      <c r="F1074" s="485" t="inlineStr">
        <is>
          <t>-</t>
        </is>
      </c>
      <c r="G1074" s="485" t="inlineStr">
        <is>
          <t>DESFASE DE NÓMINA</t>
        </is>
      </c>
    </row>
    <row r="1075" ht="20" customHeight="1" s="225">
      <c r="A1075" s="486" t="inlineStr">
        <is>
          <t>10BV</t>
        </is>
      </c>
      <c r="B1075" s="486" t="inlineStr">
        <is>
          <t>TENESACA GUAMAN DIANA ESTEFANIA</t>
        </is>
      </c>
      <c r="C1075" s="486" t="inlineStr">
        <is>
          <t>Estudios Sociales</t>
        </is>
      </c>
      <c r="D1075" s="486" t="n">
        <v>7.93</v>
      </c>
      <c r="E1075" s="486" t="n">
        <v>8.16</v>
      </c>
      <c r="F1075" s="486" t="n">
        <v>0.23</v>
      </c>
      <c r="G1075" s="486" t="inlineStr">
        <is>
          <t>ERROR</t>
        </is>
      </c>
    </row>
    <row r="1076" ht="20" customHeight="1" s="225">
      <c r="A1076" s="486" t="inlineStr">
        <is>
          <t>10BV</t>
        </is>
      </c>
      <c r="B1076" s="486" t="inlineStr">
        <is>
          <t>TENESACA GUAMAN DIANA ESTEFANIA</t>
        </is>
      </c>
      <c r="C1076" s="486" t="inlineStr">
        <is>
          <t>Promedio Final / P. General</t>
        </is>
      </c>
      <c r="D1076" s="486" t="n">
        <v>8.130000000000001</v>
      </c>
      <c r="E1076" s="486" t="n">
        <v>8.16</v>
      </c>
      <c r="F1076" s="486" t="n">
        <v>0.03</v>
      </c>
      <c r="G1076" s="486" t="inlineStr">
        <is>
          <t>ERROR</t>
        </is>
      </c>
    </row>
    <row r="1077" ht="20" customHeight="1" s="225">
      <c r="A1077" s="485" t="inlineStr">
        <is>
          <t>10BV</t>
        </is>
      </c>
      <c r="B1077" s="485" t="inlineStr">
        <is>
          <t>VASQUEZ ASMAL ANGEL RAFAEL</t>
        </is>
      </c>
      <c r="C1077" s="485" t="inlineStr">
        <is>
          <t>(NÓMINA)</t>
        </is>
      </c>
      <c r="D1077" s="485" t="inlineStr">
        <is>
          <t>-</t>
        </is>
      </c>
      <c r="E1077" s="485" t="inlineStr">
        <is>
          <t>-</t>
        </is>
      </c>
      <c r="F1077" s="485" t="inlineStr">
        <is>
          <t>-</t>
        </is>
      </c>
      <c r="G1077" s="485" t="inlineStr">
        <is>
          <t>DESFASE DE NÓMINA</t>
        </is>
      </c>
    </row>
    <row r="1078" ht="20" customHeight="1" s="225">
      <c r="A1078" s="485" t="inlineStr">
        <is>
          <t>10BV</t>
        </is>
      </c>
      <c r="B1078" s="485" t="inlineStr">
        <is>
          <t>VASQUEZ MATUTE JOHN JAIRO</t>
        </is>
      </c>
      <c r="C1078" s="485" t="inlineStr">
        <is>
          <t>(NÓMINA)</t>
        </is>
      </c>
      <c r="D1078" s="485" t="inlineStr">
        <is>
          <t>-</t>
        </is>
      </c>
      <c r="E1078" s="485" t="inlineStr">
        <is>
          <t>-</t>
        </is>
      </c>
      <c r="F1078" s="485" t="inlineStr">
        <is>
          <t>-</t>
        </is>
      </c>
      <c r="G1078" s="485" t="inlineStr">
        <is>
          <t>DESFASE DE NÓMINA</t>
        </is>
      </c>
    </row>
    <row r="1079" ht="20" customHeight="1" s="225">
      <c r="A1079" s="486" t="inlineStr">
        <is>
          <t>10BV</t>
        </is>
      </c>
      <c r="B1079" s="486" t="inlineStr">
        <is>
          <t>VASQUEZ MATUTE JOHN JAIRO</t>
        </is>
      </c>
      <c r="C1079" s="486" t="inlineStr">
        <is>
          <t>Estudios Sociales</t>
        </is>
      </c>
      <c r="D1079" s="486" t="n">
        <v>9.109999999999999</v>
      </c>
      <c r="E1079" s="486" t="n">
        <v>8.92</v>
      </c>
      <c r="F1079" s="486" t="n">
        <v>0.19</v>
      </c>
      <c r="G1079" s="486" t="inlineStr">
        <is>
          <t>ERROR</t>
        </is>
      </c>
    </row>
    <row r="1080" ht="20" customHeight="1" s="225">
      <c r="A1080" s="486" t="inlineStr">
        <is>
          <t>10BV</t>
        </is>
      </c>
      <c r="B1080" s="486" t="inlineStr">
        <is>
          <t>VASQUEZ MATUTE JOHN JAIRO</t>
        </is>
      </c>
      <c r="C1080" s="486" t="inlineStr">
        <is>
          <t>Promedio Final / P. General</t>
        </is>
      </c>
      <c r="D1080" s="486" t="n">
        <v>8.25</v>
      </c>
      <c r="E1080" s="486" t="n">
        <v>8.220000000000001</v>
      </c>
      <c r="F1080" s="486" t="n">
        <v>0.03</v>
      </c>
      <c r="G1080" s="486" t="inlineStr">
        <is>
          <t>ERROR</t>
        </is>
      </c>
    </row>
    <row r="1081" ht="20" customHeight="1" s="225">
      <c r="A1081" s="485" t="inlineStr">
        <is>
          <t>10BV</t>
        </is>
      </c>
      <c r="B1081" s="485" t="inlineStr">
        <is>
          <t>VIZHÑAY CEDACERO GISSELIE ANABEL</t>
        </is>
      </c>
      <c r="C1081" s="485" t="inlineStr">
        <is>
          <t>(NÓMINA)</t>
        </is>
      </c>
      <c r="D1081" s="485" t="inlineStr">
        <is>
          <t>-</t>
        </is>
      </c>
      <c r="E1081" s="485" t="inlineStr">
        <is>
          <t>-</t>
        </is>
      </c>
      <c r="F1081" s="485" t="inlineStr">
        <is>
          <t>-</t>
        </is>
      </c>
      <c r="G1081" s="485" t="inlineStr">
        <is>
          <t>DESFASE DE NÓMINA</t>
        </is>
      </c>
    </row>
    <row r="1082" ht="20" customHeight="1" s="225">
      <c r="A1082" s="486" t="inlineStr">
        <is>
          <t>10BV</t>
        </is>
      </c>
      <c r="B1082" s="486" t="inlineStr">
        <is>
          <t>VIZHÑAY CEDACERO GISSELIE ANABEL</t>
        </is>
      </c>
      <c r="C1082" s="486" t="inlineStr">
        <is>
          <t>Estudios Sociales</t>
        </is>
      </c>
      <c r="D1082" s="486" t="n">
        <v>8.16</v>
      </c>
      <c r="E1082" s="486" t="n">
        <v>8.44</v>
      </c>
      <c r="F1082" s="486" t="n">
        <v>0.28</v>
      </c>
      <c r="G1082" s="486" t="inlineStr">
        <is>
          <t>ERROR</t>
        </is>
      </c>
    </row>
    <row r="1083" ht="20" customHeight="1" s="225">
      <c r="A1083" s="486" t="inlineStr">
        <is>
          <t>10BV</t>
        </is>
      </c>
      <c r="B1083" s="486" t="inlineStr">
        <is>
          <t>VIZHÑAY CEDACERO GISSELIE ANABEL</t>
        </is>
      </c>
      <c r="C1083" s="486" t="inlineStr">
        <is>
          <t>Promedio Final / P. General</t>
        </is>
      </c>
      <c r="D1083" s="486" t="n">
        <v>8.25</v>
      </c>
      <c r="E1083" s="486" t="n">
        <v>8.289999999999999</v>
      </c>
      <c r="F1083" s="486" t="n">
        <v>0.04</v>
      </c>
      <c r="G1083" s="486" t="inlineStr">
        <is>
          <t>ERROR</t>
        </is>
      </c>
    </row>
    <row r="1084" ht="20" customHeight="1" s="225">
      <c r="A1084" s="485" t="inlineStr">
        <is>
          <t>10BV</t>
        </is>
      </c>
      <c r="B1084" s="485" t="inlineStr">
        <is>
          <t>WAMPASH ATARIGUANA MICHAEL ANDERSON</t>
        </is>
      </c>
      <c r="C1084" s="485" t="inlineStr">
        <is>
          <t>(NÓMINA)</t>
        </is>
      </c>
      <c r="D1084" s="485" t="inlineStr">
        <is>
          <t>-</t>
        </is>
      </c>
      <c r="E1084" s="485" t="inlineStr">
        <is>
          <t>-</t>
        </is>
      </c>
      <c r="F1084" s="485" t="inlineStr">
        <is>
          <t>-</t>
        </is>
      </c>
      <c r="G1084" s="485" t="inlineStr">
        <is>
          <t>DESFASE DE NÓMINA</t>
        </is>
      </c>
    </row>
    <row r="1085" ht="20" customHeight="1" s="225">
      <c r="A1085" s="486" t="inlineStr">
        <is>
          <t>10BV</t>
        </is>
      </c>
      <c r="B1085" s="486" t="inlineStr">
        <is>
          <t>WAMPASH ATARIGUANA MICHAEL ANDERSON</t>
        </is>
      </c>
      <c r="C1085" s="486" t="inlineStr">
        <is>
          <t>Estudios Sociales</t>
        </is>
      </c>
      <c r="D1085" s="486" t="n">
        <v>8.16</v>
      </c>
      <c r="E1085" s="486" t="n">
        <v>8.039999999999999</v>
      </c>
      <c r="F1085" s="486" t="n">
        <v>0.12</v>
      </c>
      <c r="G1085" s="486" t="inlineStr">
        <is>
          <t>ERROR</t>
        </is>
      </c>
    </row>
    <row r="1086" ht="20" customHeight="1" s="225">
      <c r="A1086" s="485" t="inlineStr">
        <is>
          <t>10BV</t>
        </is>
      </c>
      <c r="B1086" s="485" t="inlineStr">
        <is>
          <t>ZHINDON MENDEZ KAREN SOFIA</t>
        </is>
      </c>
      <c r="C1086" s="485" t="inlineStr">
        <is>
          <t>(NÓMINA)</t>
        </is>
      </c>
      <c r="D1086" s="485" t="inlineStr">
        <is>
          <t>-</t>
        </is>
      </c>
      <c r="E1086" s="485" t="inlineStr">
        <is>
          <t>-</t>
        </is>
      </c>
      <c r="F1086" s="485" t="inlineStr">
        <is>
          <t>-</t>
        </is>
      </c>
      <c r="G1086" s="485" t="inlineStr">
        <is>
          <t>DESFASE DE NÓMINA</t>
        </is>
      </c>
    </row>
    <row r="1087" ht="20" customHeight="1" s="225">
      <c r="A1087" s="486" t="inlineStr">
        <is>
          <t>10BV</t>
        </is>
      </c>
      <c r="B1087" s="486" t="inlineStr">
        <is>
          <t>ZHINDON MENDEZ KAREN SOFIA</t>
        </is>
      </c>
      <c r="C1087" s="486" t="inlineStr">
        <is>
          <t>Estudios Sociales</t>
        </is>
      </c>
      <c r="D1087" s="486" t="n">
        <v>9.199999999999999</v>
      </c>
      <c r="E1087" s="486" t="n">
        <v>9.279999999999999</v>
      </c>
      <c r="F1087" s="486" t="n">
        <v>0.08</v>
      </c>
      <c r="G1087" s="486" t="inlineStr">
        <is>
          <t>ERROR</t>
        </is>
      </c>
    </row>
    <row r="1088" ht="20" customHeight="1" s="225">
      <c r="A1088" s="485" t="inlineStr">
        <is>
          <t>10BV</t>
        </is>
      </c>
      <c r="B1088" s="485" t="inlineStr">
        <is>
          <t>ZHININ CORAYZACA ADRIANA DAMARIS</t>
        </is>
      </c>
      <c r="C1088" s="485" t="inlineStr">
        <is>
          <t>(NÓMINA)</t>
        </is>
      </c>
      <c r="D1088" s="485" t="inlineStr">
        <is>
          <t>-</t>
        </is>
      </c>
      <c r="E1088" s="485" t="inlineStr">
        <is>
          <t>-</t>
        </is>
      </c>
      <c r="F1088" s="485" t="inlineStr">
        <is>
          <t>-</t>
        </is>
      </c>
      <c r="G1088" s="485" t="inlineStr">
        <is>
          <t>DESFASE DE NÓMINA</t>
        </is>
      </c>
    </row>
    <row r="1089" ht="20" customHeight="1" s="225">
      <c r="A1089" s="486" t="inlineStr">
        <is>
          <t>10BV</t>
        </is>
      </c>
      <c r="B1089" s="486" t="inlineStr">
        <is>
          <t>ZHININ CORAYZACA ADRIANA DAMARIS</t>
        </is>
      </c>
      <c r="C1089" s="486" t="inlineStr">
        <is>
          <t>Matemática</t>
        </is>
      </c>
      <c r="D1089" s="486" t="n">
        <v>7.78</v>
      </c>
      <c r="E1089" s="486" t="n">
        <v>7.69</v>
      </c>
      <c r="F1089" s="486" t="n">
        <v>0.09</v>
      </c>
      <c r="G1089" s="486" t="inlineStr">
        <is>
          <t>ERROR</t>
        </is>
      </c>
    </row>
    <row r="1090" ht="20" customHeight="1" s="225">
      <c r="A1090" s="486" t="inlineStr">
        <is>
          <t>10BV</t>
        </is>
      </c>
      <c r="B1090" s="486" t="inlineStr">
        <is>
          <t>ZHININ CORAYZACA ADRIANA DAMARIS</t>
        </is>
      </c>
      <c r="C1090" s="486" t="inlineStr">
        <is>
          <t>Estudios Sociales</t>
        </is>
      </c>
      <c r="D1090" s="486" t="n">
        <v>8.06</v>
      </c>
      <c r="E1090" s="486" t="n">
        <v>7.71</v>
      </c>
      <c r="F1090" s="486" t="n">
        <v>0.35</v>
      </c>
      <c r="G1090" s="486" t="inlineStr">
        <is>
          <t>ERROR</t>
        </is>
      </c>
    </row>
    <row r="1091" ht="20" customHeight="1" s="225">
      <c r="A1091" s="486" t="inlineStr">
        <is>
          <t>10BV</t>
        </is>
      </c>
      <c r="B1091" s="486" t="inlineStr">
        <is>
          <t>ZHININ CORAYZACA ADRIANA DAMARIS</t>
        </is>
      </c>
      <c r="C1091" s="486" t="inlineStr">
        <is>
          <t>Promedio Final / P. General</t>
        </is>
      </c>
      <c r="D1091" s="486" t="n">
        <v>8.24</v>
      </c>
      <c r="E1091" s="486" t="n">
        <v>8.17</v>
      </c>
      <c r="F1091" s="486" t="n">
        <v>0.07000000000000001</v>
      </c>
      <c r="G1091" s="486" t="inlineStr">
        <is>
          <t>ERROR</t>
        </is>
      </c>
    </row>
    <row r="1092" ht="20" customHeight="1" s="225">
      <c r="A1092" s="485" t="inlineStr">
        <is>
          <t>10BV</t>
        </is>
      </c>
      <c r="B1092" s="485" t="inlineStr">
        <is>
          <t>ZUMBA CAGUANA NATHALY GISELLA</t>
        </is>
      </c>
      <c r="C1092" s="485" t="inlineStr">
        <is>
          <t>(NÓMINA)</t>
        </is>
      </c>
      <c r="D1092" s="485" t="inlineStr">
        <is>
          <t>-</t>
        </is>
      </c>
      <c r="E1092" s="485" t="inlineStr">
        <is>
          <t>-</t>
        </is>
      </c>
      <c r="F1092" s="485" t="inlineStr">
        <is>
          <t>-</t>
        </is>
      </c>
      <c r="G1092" s="485" t="inlineStr">
        <is>
          <t>DESFASE DE NÓMINA</t>
        </is>
      </c>
    </row>
    <row r="1093" ht="20" customHeight="1" s="225">
      <c r="A1093" s="486" t="inlineStr">
        <is>
          <t>10BV</t>
        </is>
      </c>
      <c r="B1093" s="486" t="inlineStr">
        <is>
          <t>ZUMBA CAGUANA NATHALY GISELLA</t>
        </is>
      </c>
      <c r="C1093" s="486" t="inlineStr">
        <is>
          <t>Estudios Sociales</t>
        </is>
      </c>
      <c r="D1093" s="486" t="n">
        <v>9.77</v>
      </c>
      <c r="E1093" s="486" t="n">
        <v>9.82</v>
      </c>
      <c r="F1093" s="486" t="n">
        <v>0.05</v>
      </c>
      <c r="G1093" s="486" t="inlineStr">
        <is>
          <t>ERROR</t>
        </is>
      </c>
    </row>
    <row r="1094" ht="20" customHeight="1" s="225">
      <c r="A1094" s="485" t="inlineStr">
        <is>
          <t>10BV</t>
        </is>
      </c>
      <c r="B1094" s="485" t="inlineStr">
        <is>
          <t>ZUMBA CHABLAY ANTONY ISMAEL</t>
        </is>
      </c>
      <c r="C1094" s="485" t="inlineStr">
        <is>
          <t>(NÓMINA)</t>
        </is>
      </c>
      <c r="D1094" s="485" t="inlineStr">
        <is>
          <t>-</t>
        </is>
      </c>
      <c r="E1094" s="485" t="inlineStr">
        <is>
          <t>-</t>
        </is>
      </c>
      <c r="F1094" s="485" t="inlineStr">
        <is>
          <t>-</t>
        </is>
      </c>
      <c r="G1094" s="485" t="inlineStr">
        <is>
          <t>DESFASE DE NÓMINA</t>
        </is>
      </c>
    </row>
    <row r="1095" ht="20" customHeight="1" s="225">
      <c r="A1095" s="486" t="inlineStr">
        <is>
          <t>10BV</t>
        </is>
      </c>
      <c r="B1095" s="486" t="inlineStr">
        <is>
          <t>ZUMBA CHABLAY ANTONY ISMAEL</t>
        </is>
      </c>
      <c r="C1095" s="486" t="inlineStr">
        <is>
          <t>Estudios Sociales</t>
        </is>
      </c>
      <c r="D1095" s="486" t="n">
        <v>8.69</v>
      </c>
      <c r="E1095" s="486" t="n">
        <v>8.73</v>
      </c>
      <c r="F1095" s="486" t="n">
        <v>0.04</v>
      </c>
      <c r="G1095" s="486" t="inlineStr">
        <is>
          <t>ERROR</t>
        </is>
      </c>
    </row>
    <row r="1096" ht="20" customHeight="1" s="225">
      <c r="A1096" s="485" t="inlineStr">
        <is>
          <t>10BV</t>
        </is>
      </c>
      <c r="B1096" s="485" t="inlineStr">
        <is>
          <t>NIVICELA ESPINOZA LEIDY SULI</t>
        </is>
      </c>
      <c r="C1096" s="485" t="inlineStr">
        <is>
          <t>(NÓMINA)</t>
        </is>
      </c>
      <c r="D1096" s="485" t="inlineStr">
        <is>
          <t>-</t>
        </is>
      </c>
      <c r="E1096" s="485" t="inlineStr">
        <is>
          <t>-</t>
        </is>
      </c>
      <c r="F1096" s="485" t="inlineStr">
        <is>
          <t>-</t>
        </is>
      </c>
      <c r="G1096" s="485" t="inlineStr">
        <is>
          <t>DESFASE DE NÓMINA</t>
        </is>
      </c>
    </row>
    <row r="1097" ht="20" customHeight="1" s="225">
      <c r="A1097" s="485" t="inlineStr">
        <is>
          <t>10BV</t>
        </is>
      </c>
      <c r="B1097" s="485" t="inlineStr">
        <is>
          <t>CORDERO RONQUILLO TATIANA BRIGGITTE</t>
        </is>
      </c>
      <c r="C1097" s="485" t="inlineStr">
        <is>
          <t>SOLO EN SISTEMA</t>
        </is>
      </c>
      <c r="D1097" s="485" t="inlineStr">
        <is>
          <t>-</t>
        </is>
      </c>
      <c r="E1097" s="485" t="inlineStr">
        <is>
          <t>-</t>
        </is>
      </c>
      <c r="F1097" s="485" t="inlineStr">
        <is>
          <t>-</t>
        </is>
      </c>
      <c r="G1097" s="485" t="inlineStr">
        <is>
          <t>DESFASE DE NÓMINA</t>
        </is>
      </c>
    </row>
    <row r="1098" ht="20" customHeight="1" s="225">
      <c r="A1098" s="485" t="inlineStr">
        <is>
          <t>10BV</t>
        </is>
      </c>
      <c r="B1098" s="485" t="inlineStr">
        <is>
          <t>GOMEZ VASQUEZ LUIS ANTONIO</t>
        </is>
      </c>
      <c r="C1098" s="485" t="inlineStr">
        <is>
          <t>SOLO EN SISTEMA</t>
        </is>
      </c>
      <c r="D1098" s="485" t="inlineStr">
        <is>
          <t>-</t>
        </is>
      </c>
      <c r="E1098" s="485" t="inlineStr">
        <is>
          <t>-</t>
        </is>
      </c>
      <c r="F1098" s="485" t="inlineStr">
        <is>
          <t>-</t>
        </is>
      </c>
      <c r="G1098" s="485" t="inlineStr">
        <is>
          <t>DESFASE DE NÓMINA</t>
        </is>
      </c>
    </row>
    <row r="1099" ht="20" customHeight="1" s="225">
      <c r="A1099" s="485" t="inlineStr">
        <is>
          <t>10BV</t>
        </is>
      </c>
      <c r="B1099" s="485" t="inlineStr">
        <is>
          <t>MAZA AVILA ANGELES PAULINA</t>
        </is>
      </c>
      <c r="C1099" s="485" t="inlineStr">
        <is>
          <t>SOLO EN SISTEMA</t>
        </is>
      </c>
      <c r="D1099" s="485" t="inlineStr">
        <is>
          <t>-</t>
        </is>
      </c>
      <c r="E1099" s="485" t="inlineStr">
        <is>
          <t>-</t>
        </is>
      </c>
      <c r="F1099" s="485" t="inlineStr">
        <is>
          <t>-</t>
        </is>
      </c>
      <c r="G1099" s="485" t="inlineStr">
        <is>
          <t>DESFASE DE NÓMINA</t>
        </is>
      </c>
    </row>
  </sheetData>
  <autoFilter ref="A1:G10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38" customWidth="1" style="225" min="3" max="3"/>
    <col width="5" customWidth="1" style="225" min="4" max="4"/>
    <col width="8" customWidth="1" style="225" min="20" max="20"/>
    <col width="8.851559999999999" customWidth="1" style="225" min="22" max="22"/>
  </cols>
  <sheetData>
    <row r="1" ht="25" customHeight="1" s="225">
      <c r="A1" s="226" t="inlineStr">
        <is>
          <t>DATOS INFORMATIVOS
ESTUDIANTES</t>
        </is>
      </c>
      <c r="B1" s="255" t="n"/>
      <c r="C1" s="256" t="n"/>
      <c r="D1" s="229" t="inlineStr">
        <is>
          <t>CONSOLIDADO TERCER TRIMESTRE</t>
        </is>
      </c>
      <c r="E1" s="255" t="n"/>
      <c r="F1" s="255" t="n"/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6" t="n"/>
    </row>
    <row r="2" ht="35" customHeight="1" s="225">
      <c r="A2" s="230" t="inlineStr">
        <is>
          <t>N°</t>
        </is>
      </c>
      <c r="B2" s="230" t="inlineStr">
        <is>
          <t>CÉDULA</t>
        </is>
      </c>
      <c r="C2" s="230" t="inlineStr">
        <is>
          <t>APELLIDOS/NOMBRES</t>
        </is>
      </c>
      <c r="D2" s="231" t="inlineStr">
        <is>
          <t>LENGUA Y LITERATURA</t>
        </is>
      </c>
      <c r="E2" s="256" t="n"/>
      <c r="F2" s="232" t="inlineStr">
        <is>
          <t>MATEMÁTICA</t>
        </is>
      </c>
      <c r="G2" s="256" t="n"/>
      <c r="H2" s="233" t="inlineStr">
        <is>
          <t>CIENCIAS NATURALES</t>
        </is>
      </c>
      <c r="I2" s="256" t="n"/>
      <c r="J2" s="234" t="inlineStr">
        <is>
          <t>ESTUDIOS SOCIALES</t>
        </is>
      </c>
      <c r="K2" s="256" t="n"/>
      <c r="L2" s="235" t="inlineStr">
        <is>
          <t>INGLÉS</t>
        </is>
      </c>
      <c r="M2" s="256" t="n"/>
      <c r="N2" s="236" t="inlineStr">
        <is>
          <t>ECA</t>
        </is>
      </c>
      <c r="O2" s="256" t="n"/>
      <c r="P2" s="237" t="inlineStr">
        <is>
          <t>EDUCACIÓN FÍSICA</t>
        </is>
      </c>
      <c r="Q2" s="256" t="n"/>
      <c r="R2" s="231" t="inlineStr">
        <is>
          <t>ANIMACIÓN A LA
LECTURA</t>
        </is>
      </c>
      <c r="S2" s="231" t="inlineStr">
        <is>
          <t>CAI</t>
        </is>
      </c>
      <c r="T2" s="238" t="inlineStr">
        <is>
          <t>PROMEDIO</t>
        </is>
      </c>
      <c r="U2" s="238" t="inlineStr">
        <is>
          <t>CUALITATIVA</t>
        </is>
      </c>
    </row>
    <row r="3" ht="65" customHeight="1" s="225">
      <c r="A3" s="257" t="n"/>
      <c r="B3" s="257" t="n"/>
      <c r="C3" s="257" t="n"/>
      <c r="D3" s="240" t="inlineStr">
        <is>
          <t>NOTA</t>
        </is>
      </c>
      <c r="E3" s="240" t="inlineStr">
        <is>
          <t>CUALIT.</t>
        </is>
      </c>
      <c r="F3" s="240" t="inlineStr">
        <is>
          <t>NOTA</t>
        </is>
      </c>
      <c r="G3" s="240" t="inlineStr">
        <is>
          <t>CUALIT.</t>
        </is>
      </c>
      <c r="H3" s="240" t="inlineStr">
        <is>
          <t>NOTA</t>
        </is>
      </c>
      <c r="I3" s="240" t="inlineStr">
        <is>
          <t>CUALIT.</t>
        </is>
      </c>
      <c r="J3" s="240" t="inlineStr">
        <is>
          <t>NOTA</t>
        </is>
      </c>
      <c r="K3" s="240" t="inlineStr">
        <is>
          <t>CUALIT.</t>
        </is>
      </c>
      <c r="L3" s="240" t="inlineStr">
        <is>
          <t>NOTA</t>
        </is>
      </c>
      <c r="M3" s="240" t="inlineStr">
        <is>
          <t>CUALIT.</t>
        </is>
      </c>
      <c r="N3" s="240" t="inlineStr">
        <is>
          <t>NOTA</t>
        </is>
      </c>
      <c r="O3" s="240" t="inlineStr">
        <is>
          <t>CUALIT.</t>
        </is>
      </c>
      <c r="P3" s="240" t="inlineStr">
        <is>
          <t>NOTA</t>
        </is>
      </c>
      <c r="Q3" s="240" t="inlineStr">
        <is>
          <t>CUALIT.</t>
        </is>
      </c>
      <c r="R3" s="240" t="inlineStr">
        <is>
          <t>NOTA</t>
        </is>
      </c>
      <c r="S3" s="240" t="inlineStr">
        <is>
          <t>NOTA</t>
        </is>
      </c>
      <c r="T3" s="257" t="n"/>
      <c r="U3" s="257" t="n"/>
    </row>
    <row r="4" ht="13.55" customHeight="1" s="225">
      <c r="A4" s="241" t="n">
        <v>1</v>
      </c>
      <c r="B4" s="242" t="inlineStr">
        <is>
          <t>152040952</t>
        </is>
      </c>
      <c r="C4" s="242" t="inlineStr">
        <is>
          <t>ALVAREZ PAUCAR HENRY BENITO</t>
        </is>
      </c>
      <c r="D4" s="243" t="n">
        <v>8.34</v>
      </c>
      <c r="E4" s="244" t="inlineStr">
        <is>
          <t>B+</t>
        </is>
      </c>
      <c r="F4" s="243" t="n">
        <v>8.550000000000001</v>
      </c>
      <c r="G4" s="244" t="inlineStr">
        <is>
          <t>A-</t>
        </is>
      </c>
      <c r="H4" s="243" t="n">
        <v>8.640000000000001</v>
      </c>
      <c r="I4" s="244" t="inlineStr">
        <is>
          <t>A-</t>
        </is>
      </c>
      <c r="J4" s="243" t="n">
        <v>8.34</v>
      </c>
      <c r="K4" s="244" t="inlineStr">
        <is>
          <t>B+</t>
        </is>
      </c>
      <c r="L4" s="243" t="n">
        <v>8.359999999999999</v>
      </c>
      <c r="M4" s="244" t="inlineStr">
        <is>
          <t>B+</t>
        </is>
      </c>
      <c r="N4" s="243" t="n">
        <v>8.65</v>
      </c>
      <c r="O4" s="244" t="inlineStr">
        <is>
          <t>A-</t>
        </is>
      </c>
      <c r="P4" s="243" t="n">
        <v>8.68</v>
      </c>
      <c r="Q4" s="244" t="inlineStr">
        <is>
          <t>A-</t>
        </is>
      </c>
      <c r="R4" s="244" t="inlineStr">
        <is>
          <t>A-</t>
        </is>
      </c>
      <c r="S4" s="244" t="inlineStr">
        <is>
          <t>A+</t>
        </is>
      </c>
      <c r="T4" s="243" t="n">
        <v>8.51</v>
      </c>
      <c r="U4" s="244" t="inlineStr">
        <is>
          <t>A-</t>
        </is>
      </c>
    </row>
    <row r="5" ht="13.55" customHeight="1" s="225">
      <c r="A5" s="241" t="n">
        <v>2</v>
      </c>
      <c r="B5" s="242" t="inlineStr">
        <is>
          <t>152029237</t>
        </is>
      </c>
      <c r="C5" s="242" t="inlineStr">
        <is>
          <t>ASMAC CAJAMARCA LESLY GISELLA</t>
        </is>
      </c>
      <c r="D5" s="243" t="n">
        <v>9.630000000000001</v>
      </c>
      <c r="E5" s="244" t="inlineStr">
        <is>
          <t>A+</t>
        </is>
      </c>
      <c r="F5" s="243" t="n">
        <v>9.32</v>
      </c>
      <c r="G5" s="244" t="inlineStr">
        <is>
          <t>A-</t>
        </is>
      </c>
      <c r="H5" s="243" t="n">
        <v>9.06</v>
      </c>
      <c r="I5" s="244" t="inlineStr">
        <is>
          <t>A-</t>
        </is>
      </c>
      <c r="J5" s="243" t="n">
        <v>9.16</v>
      </c>
      <c r="K5" s="244" t="inlineStr">
        <is>
          <t>A-</t>
        </is>
      </c>
      <c r="L5" s="243" t="n">
        <v>9.33</v>
      </c>
      <c r="M5" s="244" t="inlineStr">
        <is>
          <t>A-</t>
        </is>
      </c>
      <c r="N5" s="243" t="n">
        <v>9.34</v>
      </c>
      <c r="O5" s="244" t="inlineStr">
        <is>
          <t>A-</t>
        </is>
      </c>
      <c r="P5" s="243" t="n">
        <v>9.550000000000001</v>
      </c>
      <c r="Q5" s="244" t="inlineStr">
        <is>
          <t>A+</t>
        </is>
      </c>
      <c r="R5" s="244" t="inlineStr">
        <is>
          <t>A+</t>
        </is>
      </c>
      <c r="S5" s="244" t="inlineStr">
        <is>
          <t>A+</t>
        </is>
      </c>
      <c r="T5" s="243" t="n">
        <v>9.34</v>
      </c>
      <c r="U5" s="244" t="inlineStr">
        <is>
          <t>A-</t>
        </is>
      </c>
    </row>
    <row r="6" ht="13.55" customHeight="1" s="225">
      <c r="A6" s="241" t="n">
        <v>3</v>
      </c>
      <c r="B6" s="242" t="inlineStr">
        <is>
          <t>152142252</t>
        </is>
      </c>
      <c r="C6" s="242" t="inlineStr">
        <is>
          <t>BARRETO CABRERA CLARITA FERNANDA</t>
        </is>
      </c>
      <c r="D6" s="243" t="n">
        <v>7.91</v>
      </c>
      <c r="E6" s="244" t="inlineStr">
        <is>
          <t>B+</t>
        </is>
      </c>
      <c r="F6" s="243" t="n">
        <v>8.17</v>
      </c>
      <c r="G6" s="244" t="inlineStr">
        <is>
          <t>B+</t>
        </is>
      </c>
      <c r="H6" s="243" t="n">
        <v>8.789999999999999</v>
      </c>
      <c r="I6" s="244" t="inlineStr">
        <is>
          <t>A-</t>
        </is>
      </c>
      <c r="J6" s="243" t="n">
        <v>8.27</v>
      </c>
      <c r="K6" s="244" t="inlineStr">
        <is>
          <t>B+</t>
        </is>
      </c>
      <c r="L6" s="243" t="n">
        <v>7.96</v>
      </c>
      <c r="M6" s="244" t="inlineStr">
        <is>
          <t>B+</t>
        </is>
      </c>
      <c r="N6" s="243" t="n">
        <v>8.51</v>
      </c>
      <c r="O6" s="244" t="inlineStr">
        <is>
          <t>A-</t>
        </is>
      </c>
      <c r="P6" s="243" t="n">
        <v>8.859999999999999</v>
      </c>
      <c r="Q6" s="244" t="inlineStr">
        <is>
          <t>A-</t>
        </is>
      </c>
      <c r="R6" s="244" t="inlineStr">
        <is>
          <t>B+</t>
        </is>
      </c>
      <c r="S6" s="244" t="inlineStr">
        <is>
          <t>A+</t>
        </is>
      </c>
      <c r="T6" s="243" t="n">
        <v>8.34</v>
      </c>
      <c r="U6" s="244" t="inlineStr">
        <is>
          <t>B+</t>
        </is>
      </c>
    </row>
    <row r="7" ht="13.55" customHeight="1" s="225">
      <c r="A7" s="241" t="n">
        <v>4</v>
      </c>
      <c r="B7" s="242" t="inlineStr">
        <is>
          <t>152100459</t>
        </is>
      </c>
      <c r="C7" s="245" t="inlineStr">
        <is>
          <t>BORDONES LOPEZ CAMILA DANIELA</t>
        </is>
      </c>
      <c r="D7" s="243" t="n">
        <v>8.26</v>
      </c>
      <c r="E7" s="244" t="inlineStr">
        <is>
          <t>B+</t>
        </is>
      </c>
      <c r="F7" s="243" t="n">
        <v>8.619999999999999</v>
      </c>
      <c r="G7" s="244" t="inlineStr">
        <is>
          <t>A-</t>
        </is>
      </c>
      <c r="H7" s="243" t="n">
        <v>8.49</v>
      </c>
      <c r="I7" s="244" t="inlineStr">
        <is>
          <t>B+</t>
        </is>
      </c>
      <c r="J7" s="243" t="n">
        <v>8.75</v>
      </c>
      <c r="K7" s="244" t="inlineStr">
        <is>
          <t>A-</t>
        </is>
      </c>
      <c r="L7" s="243" t="n">
        <v>9.199999999999999</v>
      </c>
      <c r="M7" s="244" t="inlineStr">
        <is>
          <t>A-</t>
        </is>
      </c>
      <c r="N7" s="243" t="n">
        <v>8.67</v>
      </c>
      <c r="O7" s="244" t="inlineStr">
        <is>
          <t>A-</t>
        </is>
      </c>
      <c r="P7" s="246" t="n">
        <v>9.82</v>
      </c>
      <c r="Q7" s="244" t="inlineStr">
        <is>
          <t>A+</t>
        </is>
      </c>
      <c r="R7" s="244" t="inlineStr">
        <is>
          <t>A-</t>
        </is>
      </c>
      <c r="S7" s="244" t="inlineStr">
        <is>
          <t>A-</t>
        </is>
      </c>
      <c r="T7" s="246" t="n">
        <v>8.83</v>
      </c>
      <c r="U7" s="244" t="inlineStr">
        <is>
          <t>A-</t>
        </is>
      </c>
    </row>
    <row r="8" ht="13.55" customHeight="1" s="225">
      <c r="A8" s="241" t="n">
        <v>5</v>
      </c>
      <c r="B8" s="242" t="inlineStr">
        <is>
          <t>152118741</t>
        </is>
      </c>
      <c r="C8" s="242" t="inlineStr">
        <is>
          <t>CANDELARIO CARRERA CATALINA ENA</t>
        </is>
      </c>
      <c r="D8" s="243" t="n">
        <v>9.640000000000001</v>
      </c>
      <c r="E8" s="244" t="inlineStr">
        <is>
          <t>A+</t>
        </is>
      </c>
      <c r="F8" s="243" t="n">
        <v>9.859999999999999</v>
      </c>
      <c r="G8" s="244" t="inlineStr">
        <is>
          <t>A+</t>
        </is>
      </c>
      <c r="H8" s="243" t="n">
        <v>9.77</v>
      </c>
      <c r="I8" s="244" t="inlineStr">
        <is>
          <t>A+</t>
        </is>
      </c>
      <c r="J8" s="243" t="n">
        <v>9.82</v>
      </c>
      <c r="K8" s="244" t="inlineStr">
        <is>
          <t>A+</t>
        </is>
      </c>
      <c r="L8" s="243" t="n">
        <v>9.65</v>
      </c>
      <c r="M8" s="244" t="inlineStr">
        <is>
          <t>A+</t>
        </is>
      </c>
      <c r="N8" s="243" t="n">
        <v>9.630000000000001</v>
      </c>
      <c r="O8" s="244" t="inlineStr">
        <is>
          <t>A+</t>
        </is>
      </c>
      <c r="P8" s="243" t="n">
        <v>9.949999999999999</v>
      </c>
      <c r="Q8" s="244" t="inlineStr">
        <is>
          <t>A+</t>
        </is>
      </c>
      <c r="R8" s="244" t="inlineStr">
        <is>
          <t>A+</t>
        </is>
      </c>
      <c r="S8" s="244" t="inlineStr">
        <is>
          <t>A-</t>
        </is>
      </c>
      <c r="T8" s="243" t="n">
        <v>9.76</v>
      </c>
      <c r="U8" s="244" t="inlineStr">
        <is>
          <t>A+</t>
        </is>
      </c>
    </row>
    <row r="9" ht="13.55" customHeight="1" s="225">
      <c r="A9" s="241" t="n">
        <v>6</v>
      </c>
      <c r="B9" s="242" t="inlineStr">
        <is>
          <t>152020463</t>
        </is>
      </c>
      <c r="C9" s="242" t="inlineStr">
        <is>
          <t>GUAYA LARA ANDRES MATIAS</t>
        </is>
      </c>
      <c r="D9" s="243" t="n">
        <v>8.550000000000001</v>
      </c>
      <c r="E9" s="244" t="inlineStr">
        <is>
          <t>A-</t>
        </is>
      </c>
      <c r="F9" s="243" t="n">
        <v>9.390000000000001</v>
      </c>
      <c r="G9" s="244" t="inlineStr">
        <is>
          <t>A-</t>
        </is>
      </c>
      <c r="H9" s="243" t="n">
        <v>9.33</v>
      </c>
      <c r="I9" s="244" t="inlineStr">
        <is>
          <t>A-</t>
        </is>
      </c>
      <c r="J9" s="243" t="n">
        <v>9.34</v>
      </c>
      <c r="K9" s="244" t="inlineStr">
        <is>
          <t>A-</t>
        </is>
      </c>
      <c r="L9" s="243" t="n">
        <v>9.68</v>
      </c>
      <c r="M9" s="244" t="inlineStr">
        <is>
          <t>A+</t>
        </is>
      </c>
      <c r="N9" s="243" t="n">
        <v>9.380000000000001</v>
      </c>
      <c r="O9" s="244" t="inlineStr">
        <is>
          <t>A-</t>
        </is>
      </c>
      <c r="P9" s="243" t="n">
        <v>9.92</v>
      </c>
      <c r="Q9" s="244" t="inlineStr">
        <is>
          <t>A+</t>
        </is>
      </c>
      <c r="R9" s="244" t="inlineStr">
        <is>
          <t>A-</t>
        </is>
      </c>
      <c r="S9" s="244" t="inlineStr">
        <is>
          <t>A-</t>
        </is>
      </c>
      <c r="T9" s="243" t="n">
        <v>9.369999999999999</v>
      </c>
      <c r="U9" s="244" t="inlineStr">
        <is>
          <t>A-</t>
        </is>
      </c>
    </row>
    <row r="10" ht="13.55" customHeight="1" s="225">
      <c r="A10" s="241" t="n">
        <v>7</v>
      </c>
      <c r="B10" s="242" t="inlineStr">
        <is>
          <t>152097440</t>
        </is>
      </c>
      <c r="C10" s="242" t="inlineStr">
        <is>
          <t>GUERRERO CUN CRISTOPHER DAVID</t>
        </is>
      </c>
      <c r="D10" s="243" t="n">
        <v>7.81</v>
      </c>
      <c r="E10" s="244" t="inlineStr">
        <is>
          <t>B+</t>
        </is>
      </c>
      <c r="F10" s="243" t="n">
        <v>7.67</v>
      </c>
      <c r="G10" s="244" t="inlineStr">
        <is>
          <t>B+</t>
        </is>
      </c>
      <c r="H10" s="243" t="n">
        <v>8.220000000000001</v>
      </c>
      <c r="I10" s="244" t="inlineStr">
        <is>
          <t>B+</t>
        </is>
      </c>
      <c r="J10" s="243" t="n">
        <v>8.18</v>
      </c>
      <c r="K10" s="244" t="inlineStr">
        <is>
          <t>B+</t>
        </is>
      </c>
      <c r="L10" s="243" t="n">
        <v>7.86</v>
      </c>
      <c r="M10" s="244" t="inlineStr">
        <is>
          <t>B+</t>
        </is>
      </c>
      <c r="N10" s="243" t="n">
        <v>8.220000000000001</v>
      </c>
      <c r="O10" s="244" t="inlineStr">
        <is>
          <t>B+</t>
        </is>
      </c>
      <c r="P10" s="243" t="n">
        <v>8.970000000000001</v>
      </c>
      <c r="Q10" s="244" t="inlineStr">
        <is>
          <t>A-</t>
        </is>
      </c>
      <c r="R10" s="244" t="inlineStr">
        <is>
          <t>A-</t>
        </is>
      </c>
      <c r="S10" s="244" t="inlineStr">
        <is>
          <t>B+</t>
        </is>
      </c>
      <c r="T10" s="243" t="n">
        <v>8.130000000000001</v>
      </c>
      <c r="U10" s="244" t="inlineStr">
        <is>
          <t>B+</t>
        </is>
      </c>
    </row>
    <row r="11" ht="13.55" customHeight="1" s="225">
      <c r="A11" s="241" t="n">
        <v>8</v>
      </c>
      <c r="B11" s="242" t="inlineStr">
        <is>
          <t>152142444</t>
        </is>
      </c>
      <c r="C11" s="245" t="inlineStr">
        <is>
          <t>GUIRACOCHA QUITO MATIAS DAVID</t>
        </is>
      </c>
      <c r="D11" s="243" t="n">
        <v>7.28</v>
      </c>
      <c r="E11" s="244" t="inlineStr">
        <is>
          <t>B-</t>
        </is>
      </c>
      <c r="F11" s="243" t="n">
        <v>7.92</v>
      </c>
      <c r="G11" s="244" t="inlineStr">
        <is>
          <t>B+</t>
        </is>
      </c>
      <c r="H11" s="243" t="n">
        <v>8.24</v>
      </c>
      <c r="I11" s="244" t="inlineStr">
        <is>
          <t>B+</t>
        </is>
      </c>
      <c r="J11" s="246" t="n">
        <v>7.73</v>
      </c>
      <c r="K11" s="244" t="inlineStr">
        <is>
          <t>B+</t>
        </is>
      </c>
      <c r="L11" s="243" t="n">
        <v>8.220000000000001</v>
      </c>
      <c r="M11" s="244" t="inlineStr">
        <is>
          <t>B+</t>
        </is>
      </c>
      <c r="N11" s="243" t="n">
        <v>8.039999999999999</v>
      </c>
      <c r="O11" s="244" t="inlineStr">
        <is>
          <t>B+</t>
        </is>
      </c>
      <c r="P11" s="243" t="n">
        <v>9.07</v>
      </c>
      <c r="Q11" s="244" t="inlineStr">
        <is>
          <t>A-</t>
        </is>
      </c>
      <c r="R11" s="244" t="inlineStr">
        <is>
          <t>B+</t>
        </is>
      </c>
      <c r="S11" s="244" t="inlineStr">
        <is>
          <t>A-</t>
        </is>
      </c>
      <c r="T11" s="243" t="n">
        <v>8.07</v>
      </c>
      <c r="U11" s="244" t="inlineStr">
        <is>
          <t>B+</t>
        </is>
      </c>
    </row>
    <row r="12" ht="13.55" customHeight="1" s="225">
      <c r="A12" s="241" t="n">
        <v>9</v>
      </c>
      <c r="B12" s="242" t="inlineStr">
        <is>
          <t>152012128</t>
        </is>
      </c>
      <c r="C12" s="242" t="inlineStr">
        <is>
          <t>HERAS HERAS JHORDY STEVEN</t>
        </is>
      </c>
      <c r="D12" s="243" t="n">
        <v>9.619999999999999</v>
      </c>
      <c r="E12" s="244" t="inlineStr">
        <is>
          <t>A+</t>
        </is>
      </c>
      <c r="F12" s="243" t="n">
        <v>9.74</v>
      </c>
      <c r="G12" s="244" t="inlineStr">
        <is>
          <t>A+</t>
        </is>
      </c>
      <c r="H12" s="243" t="n">
        <v>9.56</v>
      </c>
      <c r="I12" s="244" t="inlineStr">
        <is>
          <t>A+</t>
        </is>
      </c>
      <c r="J12" s="243" t="n">
        <v>9.81</v>
      </c>
      <c r="K12" s="244" t="inlineStr">
        <is>
          <t>A+</t>
        </is>
      </c>
      <c r="L12" s="243" t="n">
        <v>9.970000000000001</v>
      </c>
      <c r="M12" s="244" t="inlineStr">
        <is>
          <t>A+</t>
        </is>
      </c>
      <c r="N12" s="243" t="n">
        <v>9.76</v>
      </c>
      <c r="O12" s="244" t="inlineStr">
        <is>
          <t>A+</t>
        </is>
      </c>
      <c r="P12" s="243" t="n">
        <v>9.66</v>
      </c>
      <c r="Q12" s="244" t="inlineStr">
        <is>
          <t>A+</t>
        </is>
      </c>
      <c r="R12" s="244" t="inlineStr">
        <is>
          <t>A+</t>
        </is>
      </c>
      <c r="S12" s="244" t="inlineStr">
        <is>
          <t>A+</t>
        </is>
      </c>
      <c r="T12" s="243" t="n">
        <v>9.73</v>
      </c>
      <c r="U12" s="244" t="inlineStr">
        <is>
          <t>A+</t>
        </is>
      </c>
    </row>
    <row r="13" ht="13.55" customHeight="1" s="225">
      <c r="A13" s="241" t="n">
        <v>10</v>
      </c>
      <c r="B13" s="242" t="inlineStr">
        <is>
          <t>152115904</t>
        </is>
      </c>
      <c r="C13" s="242" t="inlineStr">
        <is>
          <t>JAMI ZHUNIO NICOLAS SEBASTIAN</t>
        </is>
      </c>
      <c r="D13" s="243" t="n">
        <v>7.6</v>
      </c>
      <c r="E13" s="244" t="inlineStr">
        <is>
          <t>B+</t>
        </is>
      </c>
      <c r="F13" s="243" t="n">
        <v>8.390000000000001</v>
      </c>
      <c r="G13" s="244" t="inlineStr">
        <is>
          <t>B+</t>
        </is>
      </c>
      <c r="H13" s="243" t="n">
        <v>8.81</v>
      </c>
      <c r="I13" s="244" t="inlineStr">
        <is>
          <t>A-</t>
        </is>
      </c>
      <c r="J13" s="243" t="n">
        <v>8.48</v>
      </c>
      <c r="K13" s="244" t="inlineStr">
        <is>
          <t>B+</t>
        </is>
      </c>
      <c r="L13" s="243" t="n">
        <v>7.95</v>
      </c>
      <c r="M13" s="244" t="inlineStr">
        <is>
          <t>B+</t>
        </is>
      </c>
      <c r="N13" s="243" t="n">
        <v>8.609999999999999</v>
      </c>
      <c r="O13" s="244" t="inlineStr">
        <is>
          <t>A-</t>
        </is>
      </c>
      <c r="P13" s="243" t="n">
        <v>8.83</v>
      </c>
      <c r="Q13" s="244" t="inlineStr">
        <is>
          <t>A-</t>
        </is>
      </c>
      <c r="R13" s="244" t="inlineStr">
        <is>
          <t>B+</t>
        </is>
      </c>
      <c r="S13" s="244" t="inlineStr">
        <is>
          <t>A+</t>
        </is>
      </c>
      <c r="T13" s="243" t="n">
        <v>8.380000000000001</v>
      </c>
      <c r="U13" s="244" t="inlineStr">
        <is>
          <t>B+</t>
        </is>
      </c>
    </row>
    <row r="14" ht="13.55" customHeight="1" s="225">
      <c r="A14" s="241" t="n">
        <v>11</v>
      </c>
      <c r="B14" s="242" t="inlineStr">
        <is>
          <t>151986049</t>
        </is>
      </c>
      <c r="C14" s="242" t="inlineStr">
        <is>
          <t>LOJA CORDOVA DANIEL ALEJANDRO</t>
        </is>
      </c>
      <c r="D14" s="243" t="n">
        <v>9.9</v>
      </c>
      <c r="E14" s="244" t="inlineStr">
        <is>
          <t>A+</t>
        </is>
      </c>
      <c r="F14" s="243" t="n">
        <v>9.82</v>
      </c>
      <c r="G14" s="244" t="inlineStr">
        <is>
          <t>A+</t>
        </is>
      </c>
      <c r="H14" s="243" t="n">
        <v>9.699999999999999</v>
      </c>
      <c r="I14" s="244" t="inlineStr">
        <is>
          <t>A+</t>
        </is>
      </c>
      <c r="J14" s="243" t="n">
        <v>9.85</v>
      </c>
      <c r="K14" s="244" t="inlineStr">
        <is>
          <t>A+</t>
        </is>
      </c>
      <c r="L14" s="243" t="n">
        <v>9.93</v>
      </c>
      <c r="M14" s="244" t="inlineStr">
        <is>
          <t>A+</t>
        </is>
      </c>
      <c r="N14" s="243" t="n">
        <v>9.58</v>
      </c>
      <c r="O14" s="244" t="inlineStr">
        <is>
          <t>A+</t>
        </is>
      </c>
      <c r="P14" s="243" t="n">
        <v>9.970000000000001</v>
      </c>
      <c r="Q14" s="244" t="inlineStr">
        <is>
          <t>A+</t>
        </is>
      </c>
      <c r="R14" s="244" t="inlineStr">
        <is>
          <t>A+</t>
        </is>
      </c>
      <c r="S14" s="244" t="inlineStr">
        <is>
          <t>A-</t>
        </is>
      </c>
      <c r="T14" s="243" t="n">
        <v>9.82</v>
      </c>
      <c r="U14" s="244" t="inlineStr">
        <is>
          <t>A+</t>
        </is>
      </c>
    </row>
    <row r="15" ht="13.55" customHeight="1" s="225">
      <c r="A15" s="241" t="n">
        <v>12</v>
      </c>
      <c r="B15" s="242" t="inlineStr">
        <is>
          <t>75811095</t>
        </is>
      </c>
      <c r="C15" s="242" t="inlineStr">
        <is>
          <t>LLIVISACA JARA MISHELL BESABETH</t>
        </is>
      </c>
      <c r="D15" s="243" t="n">
        <v>7.83</v>
      </c>
      <c r="E15" s="244" t="inlineStr">
        <is>
          <t>B+</t>
        </is>
      </c>
      <c r="F15" s="243" t="n">
        <v>8.02</v>
      </c>
      <c r="G15" s="244" t="inlineStr">
        <is>
          <t>B+</t>
        </is>
      </c>
      <c r="H15" s="243" t="n">
        <v>8.42</v>
      </c>
      <c r="I15" s="244" t="inlineStr">
        <is>
          <t>B+</t>
        </is>
      </c>
      <c r="J15" s="243" t="n">
        <v>8.56</v>
      </c>
      <c r="K15" s="244" t="inlineStr">
        <is>
          <t>A-</t>
        </is>
      </c>
      <c r="L15" s="243" t="n">
        <v>7.68</v>
      </c>
      <c r="M15" s="244" t="inlineStr">
        <is>
          <t>B+</t>
        </is>
      </c>
      <c r="N15" s="243" t="n">
        <v>8.630000000000001</v>
      </c>
      <c r="O15" s="244" t="inlineStr">
        <is>
          <t>A-</t>
        </is>
      </c>
      <c r="P15" s="243" t="n">
        <v>9.41</v>
      </c>
      <c r="Q15" s="244" t="inlineStr">
        <is>
          <t>A-</t>
        </is>
      </c>
      <c r="R15" s="244" t="inlineStr">
        <is>
          <t>B-</t>
        </is>
      </c>
      <c r="S15" s="244" t="inlineStr">
        <is>
          <t>A+</t>
        </is>
      </c>
      <c r="T15" s="243" t="n">
        <v>8.369999999999999</v>
      </c>
      <c r="U15" s="244" t="inlineStr">
        <is>
          <t>B+</t>
        </is>
      </c>
    </row>
    <row r="16" ht="13.55" customHeight="1" s="225">
      <c r="A16" s="241" t="n">
        <v>13</v>
      </c>
      <c r="B16" s="242" t="inlineStr">
        <is>
          <t>152123618</t>
        </is>
      </c>
      <c r="C16" s="242" t="inlineStr">
        <is>
          <t>MARMOLEJO TAPIA NICK GEREMIAS</t>
        </is>
      </c>
      <c r="D16" s="243" t="n">
        <v>7.91</v>
      </c>
      <c r="E16" s="244" t="inlineStr">
        <is>
          <t>B+</t>
        </is>
      </c>
      <c r="F16" s="243" t="n">
        <v>8.279999999999999</v>
      </c>
      <c r="G16" s="244" t="inlineStr">
        <is>
          <t>B+</t>
        </is>
      </c>
      <c r="H16" s="243" t="n">
        <v>8.81</v>
      </c>
      <c r="I16" s="244" t="inlineStr">
        <is>
          <t>A-</t>
        </is>
      </c>
      <c r="J16" s="243" t="n">
        <v>8.49</v>
      </c>
      <c r="K16" s="244" t="inlineStr">
        <is>
          <t>B+</t>
        </is>
      </c>
      <c r="L16" s="243" t="n">
        <v>8.859999999999999</v>
      </c>
      <c r="M16" s="244" t="inlineStr">
        <is>
          <t>A-</t>
        </is>
      </c>
      <c r="N16" s="243" t="n">
        <v>8.81</v>
      </c>
      <c r="O16" s="244" t="inlineStr">
        <is>
          <t>A-</t>
        </is>
      </c>
      <c r="P16" s="243" t="n">
        <v>9.609999999999999</v>
      </c>
      <c r="Q16" s="244" t="inlineStr">
        <is>
          <t>A+</t>
        </is>
      </c>
      <c r="R16" s="244" t="inlineStr">
        <is>
          <t>A-</t>
        </is>
      </c>
      <c r="S16" s="244" t="inlineStr">
        <is>
          <t>A+</t>
        </is>
      </c>
      <c r="T16" s="243" t="n">
        <v>8.68</v>
      </c>
      <c r="U16" s="244" t="inlineStr">
        <is>
          <t>A-</t>
        </is>
      </c>
    </row>
    <row r="17" ht="13.55" customHeight="1" s="225">
      <c r="A17" s="241" t="n">
        <v>14</v>
      </c>
      <c r="B17" s="242" t="inlineStr">
        <is>
          <t>152002117</t>
        </is>
      </c>
      <c r="C17" s="242" t="inlineStr">
        <is>
          <t>MIZHQUIRI CARRERA AMELIA VICTORIA</t>
        </is>
      </c>
      <c r="D17" s="243" t="n">
        <v>8.27</v>
      </c>
      <c r="E17" s="244" t="inlineStr">
        <is>
          <t>B+</t>
        </is>
      </c>
      <c r="F17" s="243" t="n">
        <v>8.43</v>
      </c>
      <c r="G17" s="244" t="inlineStr">
        <is>
          <t>B+</t>
        </is>
      </c>
      <c r="H17" s="243" t="n">
        <v>8.390000000000001</v>
      </c>
      <c r="I17" s="244" t="inlineStr">
        <is>
          <t>B+</t>
        </is>
      </c>
      <c r="J17" s="243" t="n">
        <v>8.67</v>
      </c>
      <c r="K17" s="244" t="inlineStr">
        <is>
          <t>A-</t>
        </is>
      </c>
      <c r="L17" s="243" t="n">
        <v>8.74</v>
      </c>
      <c r="M17" s="244" t="inlineStr">
        <is>
          <t>A-</t>
        </is>
      </c>
      <c r="N17" s="243" t="n">
        <v>8.359999999999999</v>
      </c>
      <c r="O17" s="244" t="inlineStr">
        <is>
          <t>B+</t>
        </is>
      </c>
      <c r="P17" s="243" t="n">
        <v>9.24</v>
      </c>
      <c r="Q17" s="244" t="inlineStr">
        <is>
          <t>A-</t>
        </is>
      </c>
      <c r="R17" s="244" t="inlineStr">
        <is>
          <t>A+</t>
        </is>
      </c>
      <c r="S17" s="244" t="inlineStr">
        <is>
          <t>A+</t>
        </is>
      </c>
      <c r="T17" s="243" t="n">
        <v>8.58</v>
      </c>
      <c r="U17" s="244" t="inlineStr">
        <is>
          <t>A-</t>
        </is>
      </c>
    </row>
    <row r="18" ht="13.55" customHeight="1" s="225">
      <c r="A18" s="241" t="n">
        <v>15</v>
      </c>
      <c r="B18" s="242" t="inlineStr">
        <is>
          <t>152039301</t>
        </is>
      </c>
      <c r="C18" s="242" t="inlineStr">
        <is>
          <t>MORA GUNCAY AARON ISRAEL</t>
        </is>
      </c>
      <c r="D18" s="243" t="n">
        <v>9.99</v>
      </c>
      <c r="E18" s="244" t="inlineStr">
        <is>
          <t>A+</t>
        </is>
      </c>
      <c r="F18" s="243" t="n">
        <v>9.800000000000001</v>
      </c>
      <c r="G18" s="244" t="inlineStr">
        <is>
          <t>A+</t>
        </is>
      </c>
      <c r="H18" s="243" t="n">
        <v>9.880000000000001</v>
      </c>
      <c r="I18" s="244" t="inlineStr">
        <is>
          <t>A+</t>
        </is>
      </c>
      <c r="J18" s="243" t="n">
        <v>9.970000000000001</v>
      </c>
      <c r="K18" s="244" t="inlineStr">
        <is>
          <t>A+</t>
        </is>
      </c>
      <c r="L18" s="243" t="n">
        <v>10</v>
      </c>
      <c r="M18" s="244" t="inlineStr">
        <is>
          <t>A+</t>
        </is>
      </c>
      <c r="N18" s="243" t="n">
        <v>9.970000000000001</v>
      </c>
      <c r="O18" s="244" t="inlineStr">
        <is>
          <t>A+</t>
        </is>
      </c>
      <c r="P18" s="243" t="n">
        <v>10</v>
      </c>
      <c r="Q18" s="244" t="inlineStr">
        <is>
          <t>A+</t>
        </is>
      </c>
      <c r="R18" s="244" t="inlineStr">
        <is>
          <t>A+</t>
        </is>
      </c>
      <c r="S18" s="244" t="inlineStr">
        <is>
          <t>A+</t>
        </is>
      </c>
      <c r="T18" s="243" t="n">
        <v>9.94</v>
      </c>
      <c r="U18" s="244" t="inlineStr">
        <is>
          <t>A+</t>
        </is>
      </c>
    </row>
    <row r="19" ht="13.55" customHeight="1" s="225">
      <c r="A19" s="241" t="n">
        <v>16</v>
      </c>
      <c r="B19" s="242" t="inlineStr">
        <is>
          <t>152055245</t>
        </is>
      </c>
      <c r="C19" s="242" t="inlineStr">
        <is>
          <t>MORQUECHO SALAU MELISSA MAYLIN</t>
        </is>
      </c>
      <c r="D19" s="243" t="n">
        <v>8.07</v>
      </c>
      <c r="E19" s="244" t="inlineStr">
        <is>
          <t>B+</t>
        </is>
      </c>
      <c r="F19" s="243" t="n">
        <v>8.380000000000001</v>
      </c>
      <c r="G19" s="244" t="inlineStr">
        <is>
          <t>B+</t>
        </is>
      </c>
      <c r="H19" s="243" t="n">
        <v>8.779999999999999</v>
      </c>
      <c r="I19" s="244" t="inlineStr">
        <is>
          <t>A-</t>
        </is>
      </c>
      <c r="J19" s="243" t="n">
        <v>8.699999999999999</v>
      </c>
      <c r="K19" s="244" t="inlineStr">
        <is>
          <t>A-</t>
        </is>
      </c>
      <c r="L19" s="243" t="n">
        <v>8.710000000000001</v>
      </c>
      <c r="M19" s="244" t="inlineStr">
        <is>
          <t>A-</t>
        </is>
      </c>
      <c r="N19" s="243" t="n">
        <v>8.779999999999999</v>
      </c>
      <c r="O19" s="244" t="inlineStr">
        <is>
          <t>A-</t>
        </is>
      </c>
      <c r="P19" s="243" t="n">
        <v>9.17</v>
      </c>
      <c r="Q19" s="244" t="inlineStr">
        <is>
          <t>A-</t>
        </is>
      </c>
      <c r="R19" s="244" t="inlineStr">
        <is>
          <t>A-</t>
        </is>
      </c>
      <c r="S19" s="244" t="inlineStr">
        <is>
          <t>A+</t>
        </is>
      </c>
      <c r="T19" s="243" t="n">
        <v>8.66</v>
      </c>
      <c r="U19" s="244" t="inlineStr">
        <is>
          <t>A-</t>
        </is>
      </c>
    </row>
    <row r="20" ht="13.55" customHeight="1" s="225">
      <c r="A20" s="241" t="n">
        <v>17</v>
      </c>
      <c r="B20" s="242" t="inlineStr">
        <is>
          <t>152076265</t>
        </is>
      </c>
      <c r="C20" s="242" t="inlineStr">
        <is>
          <t>ONCE CAJILIMA EMELY SOFIA</t>
        </is>
      </c>
      <c r="D20" s="243" t="n">
        <v>9.460000000000001</v>
      </c>
      <c r="E20" s="244" t="inlineStr">
        <is>
          <t>A+</t>
        </is>
      </c>
      <c r="F20" s="243" t="n">
        <v>9.59</v>
      </c>
      <c r="G20" s="244" t="inlineStr">
        <is>
          <t>A+</t>
        </is>
      </c>
      <c r="H20" s="243" t="n">
        <v>9.470000000000001</v>
      </c>
      <c r="I20" s="244" t="inlineStr">
        <is>
          <t>A-</t>
        </is>
      </c>
      <c r="J20" s="243" t="n">
        <v>9.380000000000001</v>
      </c>
      <c r="K20" s="244" t="inlineStr">
        <is>
          <t>A-</t>
        </is>
      </c>
      <c r="L20" s="243" t="n">
        <v>9.59</v>
      </c>
      <c r="M20" s="244" t="inlineStr">
        <is>
          <t>A+</t>
        </is>
      </c>
      <c r="N20" s="243" t="n">
        <v>9.23</v>
      </c>
      <c r="O20" s="244" t="inlineStr">
        <is>
          <t>A-</t>
        </is>
      </c>
      <c r="P20" s="243" t="n">
        <v>9.869999999999999</v>
      </c>
      <c r="Q20" s="244" t="inlineStr">
        <is>
          <t>A+</t>
        </is>
      </c>
      <c r="R20" s="244" t="inlineStr">
        <is>
          <t>A+</t>
        </is>
      </c>
      <c r="S20" s="244" t="inlineStr">
        <is>
          <t>A+</t>
        </is>
      </c>
      <c r="T20" s="243" t="n">
        <v>9.51</v>
      </c>
      <c r="U20" s="244" t="inlineStr">
        <is>
          <t>A+</t>
        </is>
      </c>
    </row>
    <row r="21" ht="13.55" customHeight="1" s="225">
      <c r="A21" s="241" t="n">
        <v>18</v>
      </c>
      <c r="B21" s="242" t="inlineStr">
        <is>
          <t>152011755</t>
        </is>
      </c>
      <c r="C21" s="242" t="inlineStr">
        <is>
          <t>PATIÑO ZAGAL EDISSON JOSUE</t>
        </is>
      </c>
      <c r="D21" s="243" t="n">
        <v>8.08</v>
      </c>
      <c r="E21" s="244" t="inlineStr">
        <is>
          <t>B+</t>
        </is>
      </c>
      <c r="F21" s="243" t="n">
        <v>8.720000000000001</v>
      </c>
      <c r="G21" s="244" t="inlineStr">
        <is>
          <t>A-</t>
        </is>
      </c>
      <c r="H21" s="243" t="n">
        <v>8.529999999999999</v>
      </c>
      <c r="I21" s="244" t="inlineStr">
        <is>
          <t>A-</t>
        </is>
      </c>
      <c r="J21" s="243" t="n">
        <v>8.49</v>
      </c>
      <c r="K21" s="244" t="inlineStr">
        <is>
          <t>B+</t>
        </is>
      </c>
      <c r="L21" s="243" t="n">
        <v>8.029999999999999</v>
      </c>
      <c r="M21" s="244" t="inlineStr">
        <is>
          <t>B+</t>
        </is>
      </c>
      <c r="N21" s="243" t="n">
        <v>8.539999999999999</v>
      </c>
      <c r="O21" s="244" t="inlineStr">
        <is>
          <t>A-</t>
        </is>
      </c>
      <c r="P21" s="243" t="n">
        <v>8.710000000000001</v>
      </c>
      <c r="Q21" s="244" t="inlineStr">
        <is>
          <t>A-</t>
        </is>
      </c>
      <c r="R21" s="244" t="inlineStr">
        <is>
          <t>B+</t>
        </is>
      </c>
      <c r="S21" s="244" t="inlineStr">
        <is>
          <t>A+</t>
        </is>
      </c>
      <c r="T21" s="243" t="n">
        <v>8.44</v>
      </c>
      <c r="U21" s="244" t="inlineStr">
        <is>
          <t>B+</t>
        </is>
      </c>
    </row>
    <row r="22" ht="13.55" customHeight="1" s="225">
      <c r="A22" s="241" t="n">
        <v>19</v>
      </c>
      <c r="B22" s="242" t="inlineStr">
        <is>
          <t>152048401</t>
        </is>
      </c>
      <c r="C22" s="242" t="inlineStr">
        <is>
          <t>PINEDA PEREZ GABRIEL NICOLAS</t>
        </is>
      </c>
      <c r="D22" s="243" t="n">
        <v>9.33</v>
      </c>
      <c r="E22" s="244" t="inlineStr">
        <is>
          <t>A-</t>
        </is>
      </c>
      <c r="F22" s="243" t="n">
        <v>9.140000000000001</v>
      </c>
      <c r="G22" s="244" t="inlineStr">
        <is>
          <t>A-</t>
        </is>
      </c>
      <c r="H22" s="243" t="n">
        <v>9.220000000000001</v>
      </c>
      <c r="I22" s="244" t="inlineStr">
        <is>
          <t>A-</t>
        </is>
      </c>
      <c r="J22" s="243" t="n">
        <v>9.33</v>
      </c>
      <c r="K22" s="244" t="inlineStr">
        <is>
          <t>A-</t>
        </is>
      </c>
      <c r="L22" s="243" t="n">
        <v>9.77</v>
      </c>
      <c r="M22" s="244" t="inlineStr">
        <is>
          <t>A+</t>
        </is>
      </c>
      <c r="N22" s="243" t="n">
        <v>9.19</v>
      </c>
      <c r="O22" s="244" t="inlineStr">
        <is>
          <t>A-</t>
        </is>
      </c>
      <c r="P22" s="243" t="n">
        <v>9.59</v>
      </c>
      <c r="Q22" s="244" t="inlineStr">
        <is>
          <t>A+</t>
        </is>
      </c>
      <c r="R22" s="244" t="inlineStr">
        <is>
          <t>A+</t>
        </is>
      </c>
      <c r="S22" s="244" t="inlineStr">
        <is>
          <t>A+</t>
        </is>
      </c>
      <c r="T22" s="243" t="n">
        <v>9.369999999999999</v>
      </c>
      <c r="U22" s="244" t="inlineStr">
        <is>
          <t>A-</t>
        </is>
      </c>
    </row>
    <row r="23" ht="13.55" customHeight="1" s="225">
      <c r="A23" s="241" t="n">
        <v>20</v>
      </c>
      <c r="B23" s="242" t="inlineStr">
        <is>
          <t>152123500</t>
        </is>
      </c>
      <c r="C23" s="242" t="inlineStr">
        <is>
          <t>QUINDE SARMIENTO MELANIE VALENTINA</t>
        </is>
      </c>
      <c r="D23" s="243" t="n">
        <v>8.289999999999999</v>
      </c>
      <c r="E23" s="244" t="inlineStr">
        <is>
          <t>B+</t>
        </is>
      </c>
      <c r="F23" s="243" t="n">
        <v>8.720000000000001</v>
      </c>
      <c r="G23" s="244" t="inlineStr">
        <is>
          <t>A-</t>
        </is>
      </c>
      <c r="H23" s="243" t="n">
        <v>9</v>
      </c>
      <c r="I23" s="244" t="inlineStr">
        <is>
          <t>A-</t>
        </is>
      </c>
      <c r="J23" s="243" t="n">
        <v>8.85</v>
      </c>
      <c r="K23" s="244" t="inlineStr">
        <is>
          <t>A-</t>
        </is>
      </c>
      <c r="L23" s="243" t="n">
        <v>8.41</v>
      </c>
      <c r="M23" s="244" t="inlineStr">
        <is>
          <t>B+</t>
        </is>
      </c>
      <c r="N23" s="243" t="n">
        <v>8.970000000000001</v>
      </c>
      <c r="O23" s="244" t="inlineStr">
        <is>
          <t>A-</t>
        </is>
      </c>
      <c r="P23" s="243" t="n">
        <v>9.83</v>
      </c>
      <c r="Q23" s="244" t="inlineStr">
        <is>
          <t>A+</t>
        </is>
      </c>
      <c r="R23" s="244" t="inlineStr">
        <is>
          <t>A-</t>
        </is>
      </c>
      <c r="S23" s="244" t="inlineStr">
        <is>
          <t>A+</t>
        </is>
      </c>
      <c r="T23" s="243" t="n">
        <v>8.869999999999999</v>
      </c>
      <c r="U23" s="244" t="inlineStr">
        <is>
          <t>A-</t>
        </is>
      </c>
    </row>
    <row r="24" ht="13.55" customHeight="1" s="225">
      <c r="A24" s="241" t="n">
        <v>21</v>
      </c>
      <c r="B24" s="242" t="inlineStr">
        <is>
          <t>152148219</t>
        </is>
      </c>
      <c r="C24" s="242" t="inlineStr">
        <is>
          <t>QUITO GUIRACOCHA DYLAN ADRIEL</t>
        </is>
      </c>
      <c r="D24" s="243" t="n">
        <v>8.99</v>
      </c>
      <c r="E24" s="244" t="inlineStr">
        <is>
          <t>A-</t>
        </is>
      </c>
      <c r="F24" s="243" t="n">
        <v>9.15</v>
      </c>
      <c r="G24" s="244" t="inlineStr">
        <is>
          <t>A-</t>
        </is>
      </c>
      <c r="H24" s="243" t="n">
        <v>8.949999999999999</v>
      </c>
      <c r="I24" s="244" t="inlineStr">
        <is>
          <t>A-</t>
        </is>
      </c>
      <c r="J24" s="243" t="n">
        <v>9.109999999999999</v>
      </c>
      <c r="K24" s="244" t="inlineStr">
        <is>
          <t>A-</t>
        </is>
      </c>
      <c r="L24" s="243" t="n">
        <v>9.16</v>
      </c>
      <c r="M24" s="244" t="inlineStr">
        <is>
          <t>A-</t>
        </is>
      </c>
      <c r="N24" s="243" t="n">
        <v>9.17</v>
      </c>
      <c r="O24" s="244" t="inlineStr">
        <is>
          <t>A-</t>
        </is>
      </c>
      <c r="P24" s="243" t="n">
        <v>9.449999999999999</v>
      </c>
      <c r="Q24" s="244" t="inlineStr">
        <is>
          <t>A-</t>
        </is>
      </c>
      <c r="R24" s="244" t="inlineStr">
        <is>
          <t>A+</t>
        </is>
      </c>
      <c r="S24" s="244" t="inlineStr">
        <is>
          <t>A+</t>
        </is>
      </c>
      <c r="T24" s="243" t="n">
        <v>9.140000000000001</v>
      </c>
      <c r="U24" s="244" t="inlineStr">
        <is>
          <t>A-</t>
        </is>
      </c>
    </row>
    <row r="25" ht="13.55" customHeight="1" s="225">
      <c r="A25" s="241" t="n">
        <v>22</v>
      </c>
      <c r="B25" s="242" t="inlineStr">
        <is>
          <t>152010144</t>
        </is>
      </c>
      <c r="C25" s="242" t="inlineStr">
        <is>
          <t>QUIZHPI SIGUENCIA FATIMA ELIZABETH</t>
        </is>
      </c>
      <c r="D25" s="243" t="n">
        <v>9.01</v>
      </c>
      <c r="E25" s="244" t="inlineStr">
        <is>
          <t>A-</t>
        </is>
      </c>
      <c r="F25" s="243" t="n">
        <v>9.27</v>
      </c>
      <c r="G25" s="244" t="inlineStr">
        <is>
          <t>A-</t>
        </is>
      </c>
      <c r="H25" s="243" t="n">
        <v>9.25</v>
      </c>
      <c r="I25" s="244" t="inlineStr">
        <is>
          <t>A-</t>
        </is>
      </c>
      <c r="J25" s="243" t="n">
        <v>9.25</v>
      </c>
      <c r="K25" s="244" t="inlineStr">
        <is>
          <t>A-</t>
        </is>
      </c>
      <c r="L25" s="243" t="n">
        <v>8.300000000000001</v>
      </c>
      <c r="M25" s="244" t="inlineStr">
        <is>
          <t>B+</t>
        </is>
      </c>
      <c r="N25" s="243" t="n">
        <v>8.82</v>
      </c>
      <c r="O25" s="244" t="inlineStr">
        <is>
          <t>A-</t>
        </is>
      </c>
      <c r="P25" s="243" t="n">
        <v>9.69</v>
      </c>
      <c r="Q25" s="244" t="inlineStr">
        <is>
          <t>A+</t>
        </is>
      </c>
      <c r="R25" s="244" t="inlineStr">
        <is>
          <t>A+</t>
        </is>
      </c>
      <c r="S25" s="244" t="inlineStr">
        <is>
          <t>A+</t>
        </is>
      </c>
      <c r="T25" s="243" t="n">
        <v>9.08</v>
      </c>
      <c r="U25" s="244" t="inlineStr">
        <is>
          <t>A-</t>
        </is>
      </c>
    </row>
    <row r="26" ht="13.55" customHeight="1" s="225">
      <c r="A26" s="241" t="n">
        <v>23</v>
      </c>
      <c r="B26" s="242" t="inlineStr">
        <is>
          <t>1757286748</t>
        </is>
      </c>
      <c r="C26" s="242" t="inlineStr">
        <is>
          <t>RIVERA RAMIREZ DUBRASCA AITANA</t>
        </is>
      </c>
      <c r="D26" s="243" t="n">
        <v>7.53</v>
      </c>
      <c r="E26" s="244" t="inlineStr">
        <is>
          <t>B+</t>
        </is>
      </c>
      <c r="F26" s="243" t="n">
        <v>8.27</v>
      </c>
      <c r="G26" s="244" t="inlineStr">
        <is>
          <t>B+</t>
        </is>
      </c>
      <c r="H26" s="243" t="n">
        <v>8.720000000000001</v>
      </c>
      <c r="I26" s="244" t="inlineStr">
        <is>
          <t>A-</t>
        </is>
      </c>
      <c r="J26" s="243" t="n">
        <v>8.800000000000001</v>
      </c>
      <c r="K26" s="244" t="inlineStr">
        <is>
          <t>A-</t>
        </is>
      </c>
      <c r="L26" s="243" t="n">
        <v>8.94</v>
      </c>
      <c r="M26" s="244" t="inlineStr">
        <is>
          <t>A-</t>
        </is>
      </c>
      <c r="N26" s="243" t="n">
        <v>8.73</v>
      </c>
      <c r="O26" s="244" t="inlineStr">
        <is>
          <t>A-</t>
        </is>
      </c>
      <c r="P26" s="243" t="n">
        <v>9.4</v>
      </c>
      <c r="Q26" s="244" t="inlineStr">
        <is>
          <t>A-</t>
        </is>
      </c>
      <c r="R26" s="244" t="inlineStr">
        <is>
          <t>B+</t>
        </is>
      </c>
      <c r="S26" s="244" t="inlineStr">
        <is>
          <t>A+</t>
        </is>
      </c>
      <c r="T26" s="243" t="n">
        <v>8.630000000000001</v>
      </c>
      <c r="U26" s="244" t="inlineStr">
        <is>
          <t>A-</t>
        </is>
      </c>
    </row>
    <row r="27" ht="13.55" customHeight="1" s="225">
      <c r="A27" s="241" t="n">
        <v>24</v>
      </c>
      <c r="B27" s="242" t="inlineStr">
        <is>
          <t>152117982</t>
        </is>
      </c>
      <c r="C27" s="242" t="inlineStr">
        <is>
          <t>ROMERO PINEDA ALLISON CAMILA</t>
        </is>
      </c>
      <c r="D27" s="243" t="n">
        <v>7.14</v>
      </c>
      <c r="E27" s="244" t="inlineStr">
        <is>
          <t>B-</t>
        </is>
      </c>
      <c r="F27" s="243" t="n">
        <v>7.32</v>
      </c>
      <c r="G27" s="244" t="inlineStr">
        <is>
          <t>B-</t>
        </is>
      </c>
      <c r="H27" s="243" t="n">
        <v>7.55</v>
      </c>
      <c r="I27" s="244" t="inlineStr">
        <is>
          <t>B+</t>
        </is>
      </c>
      <c r="J27" s="243" t="n">
        <v>7.72</v>
      </c>
      <c r="K27" s="244" t="inlineStr">
        <is>
          <t>B+</t>
        </is>
      </c>
      <c r="L27" s="243" t="n">
        <v>8.289999999999999</v>
      </c>
      <c r="M27" s="244" t="inlineStr">
        <is>
          <t>B+</t>
        </is>
      </c>
      <c r="N27" s="243" t="n">
        <v>7.91</v>
      </c>
      <c r="O27" s="244" t="inlineStr">
        <is>
          <t>B+</t>
        </is>
      </c>
      <c r="P27" s="243" t="n">
        <v>9.539999999999999</v>
      </c>
      <c r="Q27" s="244" t="inlineStr">
        <is>
          <t>A+</t>
        </is>
      </c>
      <c r="R27" s="244" t="inlineStr">
        <is>
          <t>B-</t>
        </is>
      </c>
      <c r="S27" s="244" t="inlineStr">
        <is>
          <t>A+</t>
        </is>
      </c>
      <c r="T27" s="243" t="n">
        <v>7.92</v>
      </c>
      <c r="U27" s="244" t="inlineStr">
        <is>
          <t>B+</t>
        </is>
      </c>
    </row>
    <row r="28" ht="13.55" customHeight="1" s="225">
      <c r="A28" s="241" t="n">
        <v>25</v>
      </c>
      <c r="B28" s="242" t="inlineStr">
        <is>
          <t>152047055</t>
        </is>
      </c>
      <c r="C28" s="242" t="inlineStr">
        <is>
          <t>SAMANIEGO CABRERA DAYRA AIMEE</t>
        </is>
      </c>
      <c r="D28" s="243" t="n">
        <v>9.119999999999999</v>
      </c>
      <c r="E28" s="244" t="inlineStr">
        <is>
          <t>A-</t>
        </is>
      </c>
      <c r="F28" s="243" t="n">
        <v>9.27</v>
      </c>
      <c r="G28" s="244" t="inlineStr">
        <is>
          <t>A-</t>
        </is>
      </c>
      <c r="H28" s="243" t="n">
        <v>9.18</v>
      </c>
      <c r="I28" s="244" t="inlineStr">
        <is>
          <t>A-</t>
        </is>
      </c>
      <c r="J28" s="243" t="n">
        <v>8.82</v>
      </c>
      <c r="K28" s="244" t="inlineStr">
        <is>
          <t>A-</t>
        </is>
      </c>
      <c r="L28" s="243" t="n">
        <v>8.83</v>
      </c>
      <c r="M28" s="244" t="inlineStr">
        <is>
          <t>A-</t>
        </is>
      </c>
      <c r="N28" s="243" t="n">
        <v>8.73</v>
      </c>
      <c r="O28" s="244" t="inlineStr">
        <is>
          <t>A-</t>
        </is>
      </c>
      <c r="P28" s="243" t="n">
        <v>9.74</v>
      </c>
      <c r="Q28" s="244" t="inlineStr">
        <is>
          <t>A+</t>
        </is>
      </c>
      <c r="R28" s="244" t="inlineStr">
        <is>
          <t>A+</t>
        </is>
      </c>
      <c r="S28" s="244" t="inlineStr">
        <is>
          <t>A+</t>
        </is>
      </c>
      <c r="T28" s="243" t="n">
        <v>9.1</v>
      </c>
      <c r="U28" s="244" t="inlineStr">
        <is>
          <t>A-</t>
        </is>
      </c>
    </row>
    <row r="29" ht="13.55" customHeight="1" s="225">
      <c r="A29" s="241" t="n">
        <v>26</v>
      </c>
      <c r="B29" s="242" t="inlineStr">
        <is>
          <t>751768607</t>
        </is>
      </c>
      <c r="C29" s="242" t="inlineStr">
        <is>
          <t>SANCHEZ NARANJO ELIAS JARED</t>
        </is>
      </c>
      <c r="D29" s="243" t="n">
        <v>9.01</v>
      </c>
      <c r="E29" s="244" t="inlineStr">
        <is>
          <t>A-</t>
        </is>
      </c>
      <c r="F29" s="243" t="n">
        <v>8.85</v>
      </c>
      <c r="G29" s="244" t="inlineStr">
        <is>
          <t>A-</t>
        </is>
      </c>
      <c r="H29" s="243" t="n">
        <v>9.08</v>
      </c>
      <c r="I29" s="244" t="inlineStr">
        <is>
          <t>A-</t>
        </is>
      </c>
      <c r="J29" s="243" t="n">
        <v>8.6</v>
      </c>
      <c r="K29" s="244" t="inlineStr">
        <is>
          <t>A-</t>
        </is>
      </c>
      <c r="L29" s="243" t="n">
        <v>9.15</v>
      </c>
      <c r="M29" s="244" t="inlineStr">
        <is>
          <t>A-</t>
        </is>
      </c>
      <c r="N29" s="243" t="n">
        <v>8.85</v>
      </c>
      <c r="O29" s="244" t="inlineStr">
        <is>
          <t>A-</t>
        </is>
      </c>
      <c r="P29" s="243" t="n">
        <v>9.699999999999999</v>
      </c>
      <c r="Q29" s="244" t="inlineStr">
        <is>
          <t>A+</t>
        </is>
      </c>
      <c r="R29" s="244" t="inlineStr">
        <is>
          <t>A+</t>
        </is>
      </c>
      <c r="S29" s="244" t="inlineStr">
        <is>
          <t>A+</t>
        </is>
      </c>
      <c r="T29" s="243" t="n">
        <v>9.029999999999999</v>
      </c>
      <c r="U29" s="244" t="inlineStr">
        <is>
          <t>A-</t>
        </is>
      </c>
    </row>
    <row r="30" ht="13.55" customHeight="1" s="225">
      <c r="A30" s="241" t="n">
        <v>27</v>
      </c>
      <c r="B30" s="242" t="inlineStr">
        <is>
          <t>152120465</t>
        </is>
      </c>
      <c r="C30" s="242" t="inlineStr">
        <is>
          <t>SANMARTIN IDROVO JHOAN SEBASTIAN</t>
        </is>
      </c>
      <c r="D30" s="243" t="n">
        <v>8.51</v>
      </c>
      <c r="E30" s="244" t="inlineStr">
        <is>
          <t>A-</t>
        </is>
      </c>
      <c r="F30" s="243" t="n">
        <v>8.59</v>
      </c>
      <c r="G30" s="244" t="inlineStr">
        <is>
          <t>A-</t>
        </is>
      </c>
      <c r="H30" s="243" t="n">
        <v>8.99</v>
      </c>
      <c r="I30" s="244" t="inlineStr">
        <is>
          <t>A-</t>
        </is>
      </c>
      <c r="J30" s="243" t="n">
        <v>9.140000000000001</v>
      </c>
      <c r="K30" s="244" t="inlineStr">
        <is>
          <t>A-</t>
        </is>
      </c>
      <c r="L30" s="243" t="n">
        <v>8.81</v>
      </c>
      <c r="M30" s="244" t="inlineStr">
        <is>
          <t>A-</t>
        </is>
      </c>
      <c r="N30" s="243" t="n">
        <v>8.58</v>
      </c>
      <c r="O30" s="244" t="inlineStr">
        <is>
          <t>A-</t>
        </is>
      </c>
      <c r="P30" s="243" t="n">
        <v>8.779999999999999</v>
      </c>
      <c r="Q30" s="244" t="inlineStr">
        <is>
          <t>A-</t>
        </is>
      </c>
      <c r="R30" s="244" t="inlineStr">
        <is>
          <t>A-</t>
        </is>
      </c>
      <c r="S30" s="244" t="inlineStr">
        <is>
          <t>A+</t>
        </is>
      </c>
      <c r="T30" s="243" t="n">
        <v>8.77</v>
      </c>
      <c r="U30" s="244" t="inlineStr">
        <is>
          <t>A-</t>
        </is>
      </c>
    </row>
    <row r="31" ht="13.55" customHeight="1" s="225">
      <c r="A31" s="241" t="n">
        <v>28</v>
      </c>
      <c r="B31" s="242" t="inlineStr">
        <is>
          <t>152054052</t>
        </is>
      </c>
      <c r="C31" s="242" t="inlineStr">
        <is>
          <t>SIBRI PULGARIN JORDAN SEBASTIAN</t>
        </is>
      </c>
      <c r="D31" s="243" t="n">
        <v>9.15</v>
      </c>
      <c r="E31" s="244" t="inlineStr">
        <is>
          <t>A-</t>
        </is>
      </c>
      <c r="F31" s="243" t="n">
        <v>9.02</v>
      </c>
      <c r="G31" s="244" t="inlineStr">
        <is>
          <t>A-</t>
        </is>
      </c>
      <c r="H31" s="243" t="n">
        <v>9.039999999999999</v>
      </c>
      <c r="I31" s="244" t="inlineStr">
        <is>
          <t>A-</t>
        </is>
      </c>
      <c r="J31" s="243" t="n">
        <v>8.92</v>
      </c>
      <c r="K31" s="244" t="inlineStr">
        <is>
          <t>A-</t>
        </is>
      </c>
      <c r="L31" s="243" t="n">
        <v>9.15</v>
      </c>
      <c r="M31" s="244" t="inlineStr">
        <is>
          <t>A-</t>
        </is>
      </c>
      <c r="N31" s="243" t="n">
        <v>9.140000000000001</v>
      </c>
      <c r="O31" s="244" t="inlineStr">
        <is>
          <t>A-</t>
        </is>
      </c>
      <c r="P31" s="243" t="n">
        <v>9.43</v>
      </c>
      <c r="Q31" s="244" t="inlineStr">
        <is>
          <t>A-</t>
        </is>
      </c>
      <c r="R31" s="244" t="inlineStr">
        <is>
          <t>A-</t>
        </is>
      </c>
      <c r="S31" s="244" t="inlineStr">
        <is>
          <t>A+</t>
        </is>
      </c>
      <c r="T31" s="243" t="n">
        <v>9.119999999999999</v>
      </c>
      <c r="U31" s="244" t="inlineStr">
        <is>
          <t>A-</t>
        </is>
      </c>
    </row>
    <row r="32" ht="13.55" customHeight="1" s="225">
      <c r="A32" s="241" t="n">
        <v>29</v>
      </c>
      <c r="B32" s="242" t="inlineStr">
        <is>
          <t>152125728</t>
        </is>
      </c>
      <c r="C32" s="242" t="inlineStr">
        <is>
          <t>SIMBAÑA REYES DANNA MISHEL</t>
        </is>
      </c>
      <c r="D32" s="243" t="n">
        <v>7.26</v>
      </c>
      <c r="E32" s="244" t="inlineStr">
        <is>
          <t>B-</t>
        </is>
      </c>
      <c r="F32" s="243" t="n">
        <v>8.130000000000001</v>
      </c>
      <c r="G32" s="244" t="inlineStr">
        <is>
          <t>B+</t>
        </is>
      </c>
      <c r="H32" s="243" t="n">
        <v>8.9</v>
      </c>
      <c r="I32" s="244" t="inlineStr">
        <is>
          <t>A-</t>
        </is>
      </c>
      <c r="J32" s="243" t="n">
        <v>8.69</v>
      </c>
      <c r="K32" s="244" t="inlineStr">
        <is>
          <t>A-</t>
        </is>
      </c>
      <c r="L32" s="243" t="n">
        <v>8.92</v>
      </c>
      <c r="M32" s="244" t="inlineStr">
        <is>
          <t>A-</t>
        </is>
      </c>
      <c r="N32" s="243" t="n">
        <v>8.52</v>
      </c>
      <c r="O32" s="244" t="inlineStr">
        <is>
          <t>A-</t>
        </is>
      </c>
      <c r="P32" s="243" t="n">
        <v>9.85</v>
      </c>
      <c r="Q32" s="244" t="inlineStr">
        <is>
          <t>A+</t>
        </is>
      </c>
      <c r="R32" s="244" t="inlineStr">
        <is>
          <t>B-</t>
        </is>
      </c>
      <c r="S32" s="244" t="inlineStr">
        <is>
          <t>A+</t>
        </is>
      </c>
      <c r="T32" s="243" t="n">
        <v>8.609999999999999</v>
      </c>
      <c r="U32" s="244" t="inlineStr">
        <is>
          <t>A-</t>
        </is>
      </c>
    </row>
    <row r="33" ht="13.55" customHeight="1" s="225">
      <c r="A33" s="241" t="n">
        <v>30</v>
      </c>
      <c r="B33" s="242" t="inlineStr">
        <is>
          <t>151995222</t>
        </is>
      </c>
      <c r="C33" s="242" t="inlineStr">
        <is>
          <t>SUQUZHAÑAY LOOR THIAGO ISAAC</t>
        </is>
      </c>
      <c r="D33" s="243" t="n">
        <v>7.32</v>
      </c>
      <c r="E33" s="244" t="inlineStr">
        <is>
          <t>B-</t>
        </is>
      </c>
      <c r="F33" s="243" t="n">
        <v>8.119999999999999</v>
      </c>
      <c r="G33" s="244" t="inlineStr">
        <is>
          <t>B+</t>
        </is>
      </c>
      <c r="H33" s="243" t="n">
        <v>8.050000000000001</v>
      </c>
      <c r="I33" s="244" t="inlineStr">
        <is>
          <t>B+</t>
        </is>
      </c>
      <c r="J33" s="243" t="n">
        <v>8.34</v>
      </c>
      <c r="K33" s="244" t="inlineStr">
        <is>
          <t>B+</t>
        </is>
      </c>
      <c r="L33" s="243" t="n">
        <v>7.99</v>
      </c>
      <c r="M33" s="244" t="inlineStr">
        <is>
          <t>B+</t>
        </is>
      </c>
      <c r="N33" s="243" t="n">
        <v>7.74</v>
      </c>
      <c r="O33" s="244" t="inlineStr">
        <is>
          <t>B+</t>
        </is>
      </c>
      <c r="P33" s="243" t="n">
        <v>9.07</v>
      </c>
      <c r="Q33" s="244" t="inlineStr">
        <is>
          <t>A-</t>
        </is>
      </c>
      <c r="R33" s="244" t="inlineStr">
        <is>
          <t>B-</t>
        </is>
      </c>
      <c r="S33" s="244" t="inlineStr">
        <is>
          <t>A+</t>
        </is>
      </c>
      <c r="T33" s="243" t="n">
        <v>8.09</v>
      </c>
      <c r="U33" s="244" t="inlineStr">
        <is>
          <t>B+</t>
        </is>
      </c>
    </row>
    <row r="34" ht="13.55" customHeight="1" s="225">
      <c r="A34" s="241" t="n">
        <v>31</v>
      </c>
      <c r="B34" s="242" t="inlineStr">
        <is>
          <t>152046926</t>
        </is>
      </c>
      <c r="C34" s="245" t="inlineStr">
        <is>
          <t>UZHCA GUZHÑAY DYLAN YADIEL</t>
        </is>
      </c>
      <c r="D34" s="243" t="n">
        <v>9.859999999999999</v>
      </c>
      <c r="E34" s="244" t="inlineStr">
        <is>
          <t>A+</t>
        </is>
      </c>
      <c r="F34" s="243" t="n">
        <v>9.84</v>
      </c>
      <c r="G34" s="244" t="inlineStr">
        <is>
          <t>A+</t>
        </is>
      </c>
      <c r="H34" s="246" t="n">
        <v>9.84</v>
      </c>
      <c r="I34" s="244" t="inlineStr">
        <is>
          <t>A+</t>
        </is>
      </c>
      <c r="J34" s="243" t="n">
        <v>9.800000000000001</v>
      </c>
      <c r="K34" s="244" t="inlineStr">
        <is>
          <t>A+</t>
        </is>
      </c>
      <c r="L34" s="243" t="n">
        <v>9.869999999999999</v>
      </c>
      <c r="M34" s="244" t="inlineStr">
        <is>
          <t>A+</t>
        </is>
      </c>
      <c r="N34" s="243" t="n">
        <v>9.84</v>
      </c>
      <c r="O34" s="244" t="inlineStr">
        <is>
          <t>A+</t>
        </is>
      </c>
      <c r="P34" s="243" t="n">
        <v>9.890000000000001</v>
      </c>
      <c r="Q34" s="244" t="inlineStr">
        <is>
          <t>A+</t>
        </is>
      </c>
      <c r="R34" s="244" t="inlineStr">
        <is>
          <t>A-</t>
        </is>
      </c>
      <c r="S34" s="244" t="inlineStr">
        <is>
          <t>A+</t>
        </is>
      </c>
      <c r="T34" s="246" t="n">
        <v>9.85</v>
      </c>
      <c r="U34" s="244" t="inlineStr">
        <is>
          <t>A+</t>
        </is>
      </c>
    </row>
    <row r="35" ht="13.55" customHeight="1" s="225">
      <c r="A35" s="241" t="n">
        <v>32</v>
      </c>
      <c r="B35" s="242" t="inlineStr">
        <is>
          <t>1350062410</t>
        </is>
      </c>
      <c r="C35" s="242" t="inlineStr">
        <is>
          <t>ZAMBRANO BARREIRO ZULEIKA BRIGITTE</t>
        </is>
      </c>
      <c r="D35" s="243" t="n">
        <v>8.81</v>
      </c>
      <c r="E35" s="244" t="inlineStr">
        <is>
          <t>A-</t>
        </is>
      </c>
      <c r="F35" s="243" t="n">
        <v>9.09</v>
      </c>
      <c r="G35" s="244" t="inlineStr">
        <is>
          <t>A-</t>
        </is>
      </c>
      <c r="H35" s="243" t="n">
        <v>9.23</v>
      </c>
      <c r="I35" s="244" t="inlineStr">
        <is>
          <t>A-</t>
        </is>
      </c>
      <c r="J35" s="243" t="n">
        <v>9.130000000000001</v>
      </c>
      <c r="K35" s="244" t="inlineStr">
        <is>
          <t>A-</t>
        </is>
      </c>
      <c r="L35" s="243" t="n">
        <v>9.4</v>
      </c>
      <c r="M35" s="244" t="inlineStr">
        <is>
          <t>A-</t>
        </is>
      </c>
      <c r="N35" s="243" t="n">
        <v>8.81</v>
      </c>
      <c r="O35" s="244" t="inlineStr">
        <is>
          <t>A-</t>
        </is>
      </c>
      <c r="P35" s="243" t="n">
        <v>9.550000000000001</v>
      </c>
      <c r="Q35" s="244" t="inlineStr">
        <is>
          <t>A+</t>
        </is>
      </c>
      <c r="R35" s="244" t="inlineStr">
        <is>
          <t>A-</t>
        </is>
      </c>
      <c r="S35" s="244" t="inlineStr">
        <is>
          <t>A+</t>
        </is>
      </c>
      <c r="T35" s="243" t="n">
        <v>9.15</v>
      </c>
      <c r="U35" s="244" t="inlineStr">
        <is>
          <t>A-</t>
        </is>
      </c>
    </row>
  </sheetData>
  <mergeCells count="14">
    <mergeCell ref="L2:M2"/>
    <mergeCell ref="F2:G2"/>
    <mergeCell ref="H2:I2"/>
    <mergeCell ref="D2:E2"/>
    <mergeCell ref="A1:C1"/>
    <mergeCell ref="D1:U1"/>
    <mergeCell ref="C2:C3"/>
    <mergeCell ref="J2:K2"/>
    <mergeCell ref="U2:U3"/>
    <mergeCell ref="N2:O2"/>
    <mergeCell ref="P2:Q2"/>
    <mergeCell ref="B2:B3"/>
    <mergeCell ref="A2:A3"/>
    <mergeCell ref="T2:T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38" customWidth="1" style="225" min="3" max="3"/>
    <col width="5" customWidth="1" style="225" min="4" max="4"/>
    <col width="6" customWidth="1" style="225" min="20" max="20"/>
    <col width="12" customWidth="1" style="225" min="23" max="23"/>
    <col width="8.851559999999999" customWidth="1" style="225" min="24" max="24"/>
  </cols>
  <sheetData>
    <row r="1" ht="25" customHeight="1" s="225">
      <c r="A1" s="226" t="inlineStr">
        <is>
          <t>DATOS INFORMATIVOS
ESTUDIANTES</t>
        </is>
      </c>
      <c r="B1" s="255" t="n"/>
      <c r="C1" s="256" t="n"/>
      <c r="D1" s="229" t="inlineStr">
        <is>
          <t>CONSOLIDADO FINAL</t>
        </is>
      </c>
      <c r="E1" s="255" t="n"/>
      <c r="F1" s="255" t="n"/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6" t="n"/>
    </row>
    <row r="2" ht="55" customHeight="1" s="225">
      <c r="A2" s="258" t="inlineStr">
        <is>
          <t>N°</t>
        </is>
      </c>
      <c r="B2" s="258" t="inlineStr">
        <is>
          <t>CÉDULA</t>
        </is>
      </c>
      <c r="C2" s="258" t="inlineStr">
        <is>
          <t>APELLIDOS/NOMBRES</t>
        </is>
      </c>
      <c r="D2" s="258" t="inlineStr">
        <is>
          <t>LENGUA Y LITERATURA</t>
        </is>
      </c>
      <c r="E2" s="256" t="n"/>
      <c r="F2" s="259" t="inlineStr">
        <is>
          <t>MATEMÁTICA</t>
        </is>
      </c>
      <c r="G2" s="256" t="n"/>
      <c r="H2" s="260" t="inlineStr">
        <is>
          <t>CIENCIAS NATURALES</t>
        </is>
      </c>
      <c r="I2" s="256" t="n"/>
      <c r="J2" s="261" t="inlineStr">
        <is>
          <t>ESTUDIOS SOCIALES</t>
        </is>
      </c>
      <c r="K2" s="256" t="n"/>
      <c r="L2" s="262" t="inlineStr">
        <is>
          <t>INGLÉS</t>
        </is>
      </c>
      <c r="M2" s="256" t="n"/>
      <c r="N2" s="263" t="inlineStr">
        <is>
          <t>ECA</t>
        </is>
      </c>
      <c r="O2" s="256" t="n"/>
      <c r="P2" s="264" t="inlineStr">
        <is>
          <t>EDUCACIÓN FÍSICA</t>
        </is>
      </c>
      <c r="Q2" s="256" t="n"/>
      <c r="R2" s="265" t="inlineStr">
        <is>
          <t>ANIMACIÓN A
LA LECTURA</t>
        </is>
      </c>
      <c r="S2" s="266" t="inlineStr">
        <is>
          <t>CAI</t>
        </is>
      </c>
      <c r="T2" s="267" t="inlineStr">
        <is>
          <t>PROMEDIO</t>
        </is>
      </c>
      <c r="U2" s="267" t="inlineStr">
        <is>
          <t>CUALITATIVA</t>
        </is>
      </c>
      <c r="V2" s="267" t="inlineStr">
        <is>
          <t>COMPORTAMIENTO</t>
        </is>
      </c>
      <c r="W2" s="267" t="inlineStr">
        <is>
          <t>PROMOCIÓN</t>
        </is>
      </c>
    </row>
    <row r="3" ht="65" customHeight="1" s="225">
      <c r="A3" s="257" t="n"/>
      <c r="B3" s="257" t="n"/>
      <c r="C3" s="257" t="n"/>
      <c r="D3" s="268" t="inlineStr">
        <is>
          <t>NOTA</t>
        </is>
      </c>
      <c r="E3" s="268" t="inlineStr">
        <is>
          <t>CUALIT.</t>
        </is>
      </c>
      <c r="F3" s="268" t="inlineStr">
        <is>
          <t>NOTA</t>
        </is>
      </c>
      <c r="G3" s="268" t="inlineStr">
        <is>
          <t>CUALIT.</t>
        </is>
      </c>
      <c r="H3" s="268" t="inlineStr">
        <is>
          <t>NOTA</t>
        </is>
      </c>
      <c r="I3" s="268" t="inlineStr">
        <is>
          <t>CUALIT.</t>
        </is>
      </c>
      <c r="J3" s="268" t="inlineStr">
        <is>
          <t>NOTA</t>
        </is>
      </c>
      <c r="K3" s="268" t="inlineStr">
        <is>
          <t>CUALIT.</t>
        </is>
      </c>
      <c r="L3" s="268" t="inlineStr">
        <is>
          <t>NOTA</t>
        </is>
      </c>
      <c r="M3" s="268" t="inlineStr">
        <is>
          <t>CUALIT.</t>
        </is>
      </c>
      <c r="N3" s="268" t="inlineStr">
        <is>
          <t>NOTA</t>
        </is>
      </c>
      <c r="O3" s="268" t="inlineStr">
        <is>
          <t>CUALIT.</t>
        </is>
      </c>
      <c r="P3" s="268" t="inlineStr">
        <is>
          <t>NOTA</t>
        </is>
      </c>
      <c r="Q3" s="268" t="inlineStr">
        <is>
          <t>CUALIT.</t>
        </is>
      </c>
      <c r="R3" s="268" t="inlineStr">
        <is>
          <t>NOTA</t>
        </is>
      </c>
      <c r="S3" s="268" t="inlineStr">
        <is>
          <t>NOTA</t>
        </is>
      </c>
      <c r="T3" s="257" t="n"/>
      <c r="U3" s="257" t="n"/>
      <c r="V3" s="257" t="n"/>
      <c r="W3" s="257" t="n"/>
    </row>
    <row r="4" ht="13.55" customHeight="1" s="225">
      <c r="A4" s="241" t="n">
        <v>1</v>
      </c>
      <c r="B4" s="242" t="inlineStr">
        <is>
          <t>0152015798</t>
        </is>
      </c>
      <c r="C4" s="242" t="inlineStr">
        <is>
          <t>ABAD CUZCO DIEGO MATHIAS</t>
        </is>
      </c>
      <c r="D4" s="243" t="n">
        <v>9.31</v>
      </c>
      <c r="E4" s="244" t="inlineStr">
        <is>
          <t>A-</t>
        </is>
      </c>
      <c r="F4" s="243" t="n">
        <v>9.57</v>
      </c>
      <c r="G4" s="244" t="inlineStr">
        <is>
          <t>A+</t>
        </is>
      </c>
      <c r="H4" s="243" t="n">
        <v>9.609999999999999</v>
      </c>
      <c r="I4" s="244" t="inlineStr">
        <is>
          <t>A+</t>
        </is>
      </c>
      <c r="J4" s="243" t="n">
        <v>9.640000000000001</v>
      </c>
      <c r="K4" s="244" t="inlineStr">
        <is>
          <t>A+</t>
        </is>
      </c>
      <c r="L4" s="243" t="n">
        <v>9.31</v>
      </c>
      <c r="M4" s="244" t="inlineStr">
        <is>
          <t>A-</t>
        </is>
      </c>
      <c r="N4" s="243" t="n">
        <v>9.57</v>
      </c>
      <c r="O4" s="244" t="inlineStr">
        <is>
          <t>A+</t>
        </is>
      </c>
      <c r="P4" s="243" t="n">
        <v>9.380000000000001</v>
      </c>
      <c r="Q4" s="244" t="inlineStr">
        <is>
          <t>A-</t>
        </is>
      </c>
      <c r="R4" s="243" t="n">
        <v>9.029999999999999</v>
      </c>
      <c r="S4" s="244" t="inlineStr">
        <is>
          <t>A+</t>
        </is>
      </c>
      <c r="T4" s="243" t="n">
        <v>9.48</v>
      </c>
      <c r="U4" s="244" t="inlineStr">
        <is>
          <t>A-</t>
        </is>
      </c>
      <c r="V4" s="244" t="inlineStr">
        <is>
          <t>S</t>
        </is>
      </c>
      <c r="W4" s="244" t="inlineStr">
        <is>
          <t>PROMOVIDO</t>
        </is>
      </c>
    </row>
    <row r="5" ht="13.55" customHeight="1" s="225">
      <c r="A5" s="241" t="n">
        <v>2</v>
      </c>
      <c r="B5" s="242" t="inlineStr">
        <is>
          <t>0152067120</t>
        </is>
      </c>
      <c r="C5" s="242" t="inlineStr">
        <is>
          <t>ALVAREZ MOROCHO JOAQUIN ESTEBAN</t>
        </is>
      </c>
      <c r="D5" s="243" t="n">
        <v>9.619999999999999</v>
      </c>
      <c r="E5" s="244" t="inlineStr">
        <is>
          <t>A+</t>
        </is>
      </c>
      <c r="F5" s="243" t="n">
        <v>9.640000000000001</v>
      </c>
      <c r="G5" s="244" t="inlineStr">
        <is>
          <t>A+</t>
        </is>
      </c>
      <c r="H5" s="243" t="n">
        <v>9.720000000000001</v>
      </c>
      <c r="I5" s="244" t="inlineStr">
        <is>
          <t>A+</t>
        </is>
      </c>
      <c r="J5" s="243" t="n">
        <v>9.57</v>
      </c>
      <c r="K5" s="244" t="inlineStr">
        <is>
          <t>A+</t>
        </is>
      </c>
      <c r="L5" s="243" t="n">
        <v>9.68</v>
      </c>
      <c r="M5" s="244" t="inlineStr">
        <is>
          <t>A+</t>
        </is>
      </c>
      <c r="N5" s="243" t="n">
        <v>9.51</v>
      </c>
      <c r="O5" s="244" t="inlineStr">
        <is>
          <t>A+</t>
        </is>
      </c>
      <c r="P5" s="243" t="n">
        <v>9.67</v>
      </c>
      <c r="Q5" s="244" t="inlineStr">
        <is>
          <t>A+</t>
        </is>
      </c>
      <c r="R5" s="243" t="n">
        <v>9.25</v>
      </c>
      <c r="S5" s="244" t="inlineStr">
        <is>
          <t>A+</t>
        </is>
      </c>
      <c r="T5" s="243" t="n">
        <v>9.630000000000001</v>
      </c>
      <c r="U5" s="244" t="inlineStr">
        <is>
          <t>A+</t>
        </is>
      </c>
      <c r="V5" s="244" t="inlineStr">
        <is>
          <t>S</t>
        </is>
      </c>
      <c r="W5" s="244" t="inlineStr">
        <is>
          <t>PROMOVIDO</t>
        </is>
      </c>
    </row>
    <row r="6" ht="13.55" customHeight="1" s="225">
      <c r="A6" s="241" t="n">
        <v>3</v>
      </c>
      <c r="B6" s="242" t="inlineStr">
        <is>
          <t>0152126880</t>
        </is>
      </c>
      <c r="C6" s="242" t="inlineStr">
        <is>
          <t>AUCAPIÑA CHISAGUANO ANTHONY SEBASTIAN</t>
        </is>
      </c>
      <c r="D6" s="243" t="n">
        <v>9.19</v>
      </c>
      <c r="E6" s="244" t="inlineStr">
        <is>
          <t>A-</t>
        </is>
      </c>
      <c r="F6" s="243" t="n">
        <v>9.470000000000001</v>
      </c>
      <c r="G6" s="244" t="inlineStr">
        <is>
          <t>A-</t>
        </is>
      </c>
      <c r="H6" s="243" t="n">
        <v>9.529999999999999</v>
      </c>
      <c r="I6" s="244" t="inlineStr">
        <is>
          <t>A+</t>
        </is>
      </c>
      <c r="J6" s="243" t="n">
        <v>9.720000000000001</v>
      </c>
      <c r="K6" s="244" t="inlineStr">
        <is>
          <t>A+</t>
        </is>
      </c>
      <c r="L6" s="243" t="n">
        <v>9.15</v>
      </c>
      <c r="M6" s="244" t="inlineStr">
        <is>
          <t>A-</t>
        </is>
      </c>
      <c r="N6" s="243" t="n">
        <v>9</v>
      </c>
      <c r="O6" s="244" t="inlineStr">
        <is>
          <t>A-</t>
        </is>
      </c>
      <c r="P6" s="243" t="n">
        <v>9.06</v>
      </c>
      <c r="Q6" s="244" t="inlineStr">
        <is>
          <t>A-</t>
        </is>
      </c>
      <c r="R6" s="243" t="n">
        <v>9.109999999999999</v>
      </c>
      <c r="S6" s="244" t="inlineStr">
        <is>
          <t>A+</t>
        </is>
      </c>
      <c r="T6" s="243" t="n">
        <v>9.300000000000001</v>
      </c>
      <c r="U6" s="244" t="inlineStr">
        <is>
          <t>A-</t>
        </is>
      </c>
      <c r="V6" s="244" t="inlineStr">
        <is>
          <t>S</t>
        </is>
      </c>
      <c r="W6" s="244" t="inlineStr">
        <is>
          <t>PROMOVIDO</t>
        </is>
      </c>
    </row>
    <row r="7" ht="13.55" customHeight="1" s="225">
      <c r="A7" s="241" t="n">
        <v>4</v>
      </c>
      <c r="B7" s="242" t="inlineStr">
        <is>
          <t>0152021143</t>
        </is>
      </c>
      <c r="C7" s="242" t="inlineStr">
        <is>
          <t>BACUILIMA SANMARTIN NICOLAS FABRICIO</t>
        </is>
      </c>
      <c r="D7" s="243" t="n">
        <v>9.949999999999999</v>
      </c>
      <c r="E7" s="244" t="inlineStr">
        <is>
          <t>A+</t>
        </is>
      </c>
      <c r="F7" s="243" t="n">
        <v>9.76</v>
      </c>
      <c r="G7" s="244" t="inlineStr">
        <is>
          <t>A+</t>
        </is>
      </c>
      <c r="H7" s="243" t="n">
        <v>9.65</v>
      </c>
      <c r="I7" s="244" t="inlineStr">
        <is>
          <t>A+</t>
        </is>
      </c>
      <c r="J7" s="243" t="n">
        <v>9.75</v>
      </c>
      <c r="K7" s="244" t="inlineStr">
        <is>
          <t>A+</t>
        </is>
      </c>
      <c r="L7" s="243" t="n">
        <v>9.66</v>
      </c>
      <c r="M7" s="244" t="inlineStr">
        <is>
          <t>A+</t>
        </is>
      </c>
      <c r="N7" s="243" t="n">
        <v>9.960000000000001</v>
      </c>
      <c r="O7" s="244" t="inlineStr">
        <is>
          <t>A+</t>
        </is>
      </c>
      <c r="P7" s="243" t="n">
        <v>9.75</v>
      </c>
      <c r="Q7" s="244" t="inlineStr">
        <is>
          <t>A+</t>
        </is>
      </c>
      <c r="R7" s="243" t="n">
        <v>9.92</v>
      </c>
      <c r="S7" s="244" t="inlineStr">
        <is>
          <t>A+</t>
        </is>
      </c>
      <c r="T7" s="243" t="n">
        <v>9.779999999999999</v>
      </c>
      <c r="U7" s="244" t="inlineStr">
        <is>
          <t>A+</t>
        </is>
      </c>
      <c r="V7" s="244" t="inlineStr">
        <is>
          <t>S</t>
        </is>
      </c>
      <c r="W7" s="244" t="inlineStr">
        <is>
          <t>PROMOVIDO</t>
        </is>
      </c>
    </row>
    <row r="8" ht="13.55" customHeight="1" s="225">
      <c r="A8" s="241" t="n">
        <v>5</v>
      </c>
      <c r="B8" s="242" t="inlineStr">
        <is>
          <t>0152098109</t>
        </is>
      </c>
      <c r="C8" s="242" t="inlineStr">
        <is>
          <t>CALLE LOJA MANUEL FABRICIO</t>
        </is>
      </c>
      <c r="D8" s="243" t="n">
        <v>9.19</v>
      </c>
      <c r="E8" s="244" t="inlineStr">
        <is>
          <t>A-</t>
        </is>
      </c>
      <c r="F8" s="243" t="n">
        <v>9.49</v>
      </c>
      <c r="G8" s="244" t="inlineStr">
        <is>
          <t>A-</t>
        </is>
      </c>
      <c r="H8" s="243" t="n">
        <v>9.390000000000001</v>
      </c>
      <c r="I8" s="244" t="inlineStr">
        <is>
          <t>A-</t>
        </is>
      </c>
      <c r="J8" s="243" t="n">
        <v>9.48</v>
      </c>
      <c r="K8" s="244" t="inlineStr">
        <is>
          <t>A-</t>
        </is>
      </c>
      <c r="L8" s="243" t="n">
        <v>9.9</v>
      </c>
      <c r="M8" s="244" t="inlineStr">
        <is>
          <t>A+</t>
        </is>
      </c>
      <c r="N8" s="243" t="n">
        <v>9.449999999999999</v>
      </c>
      <c r="O8" s="244" t="inlineStr">
        <is>
          <t>A-</t>
        </is>
      </c>
      <c r="P8" s="243" t="n">
        <v>9.550000000000001</v>
      </c>
      <c r="Q8" s="244" t="inlineStr">
        <is>
          <t>A+</t>
        </is>
      </c>
      <c r="R8" s="243" t="n">
        <v>9.029999999999999</v>
      </c>
      <c r="S8" s="244" t="inlineStr">
        <is>
          <t>A+</t>
        </is>
      </c>
      <c r="T8" s="243" t="n">
        <v>9.49</v>
      </c>
      <c r="U8" s="244" t="inlineStr">
        <is>
          <t>A-</t>
        </is>
      </c>
      <c r="V8" s="244" t="inlineStr">
        <is>
          <t>S</t>
        </is>
      </c>
      <c r="W8" s="244" t="inlineStr">
        <is>
          <t>PROMOVIDO</t>
        </is>
      </c>
    </row>
    <row r="9" ht="13.55" customHeight="1" s="225">
      <c r="A9" s="241" t="n">
        <v>6</v>
      </c>
      <c r="B9" s="242" t="inlineStr">
        <is>
          <t>0152017752</t>
        </is>
      </c>
      <c r="C9" s="242" t="inlineStr">
        <is>
          <t>CARABAJO ROMERO SCARLETT XIMENA</t>
        </is>
      </c>
      <c r="D9" s="243" t="n">
        <v>9.31</v>
      </c>
      <c r="E9" s="244" t="inlineStr">
        <is>
          <t>A-</t>
        </is>
      </c>
      <c r="F9" s="243" t="n">
        <v>9.6</v>
      </c>
      <c r="G9" s="244" t="inlineStr">
        <is>
          <t>A+</t>
        </is>
      </c>
      <c r="H9" s="243" t="n">
        <v>9.57</v>
      </c>
      <c r="I9" s="244" t="inlineStr">
        <is>
          <t>A+</t>
        </is>
      </c>
      <c r="J9" s="243" t="n">
        <v>9.74</v>
      </c>
      <c r="K9" s="244" t="inlineStr">
        <is>
          <t>A+</t>
        </is>
      </c>
      <c r="L9" s="243" t="n">
        <v>9.779999999999999</v>
      </c>
      <c r="M9" s="244" t="inlineStr">
        <is>
          <t>A+</t>
        </is>
      </c>
      <c r="N9" s="243" t="n">
        <v>9.4</v>
      </c>
      <c r="O9" s="244" t="inlineStr">
        <is>
          <t>A-</t>
        </is>
      </c>
      <c r="P9" s="243" t="n">
        <v>9.51</v>
      </c>
      <c r="Q9" s="244" t="inlineStr">
        <is>
          <t>A+</t>
        </is>
      </c>
      <c r="R9" s="243" t="n">
        <v>9</v>
      </c>
      <c r="S9" s="244" t="inlineStr">
        <is>
          <t>A+</t>
        </is>
      </c>
      <c r="T9" s="243" t="n">
        <v>9.56</v>
      </c>
      <c r="U9" s="244" t="inlineStr">
        <is>
          <t>A+</t>
        </is>
      </c>
      <c r="V9" s="244" t="inlineStr">
        <is>
          <t>S</t>
        </is>
      </c>
      <c r="W9" s="244" t="inlineStr">
        <is>
          <t>PROMOVIDO</t>
        </is>
      </c>
    </row>
    <row r="10" ht="13.55" customHeight="1" s="225">
      <c r="A10" s="241" t="n">
        <v>7</v>
      </c>
      <c r="B10" s="242" t="inlineStr">
        <is>
          <t>0152063319</t>
        </is>
      </c>
      <c r="C10" s="242" t="inlineStr">
        <is>
          <t>CHIMBO SALTO ANA ABIGAIL</t>
        </is>
      </c>
      <c r="D10" s="243" t="n">
        <v>9.42</v>
      </c>
      <c r="E10" s="244" t="inlineStr">
        <is>
          <t>A-</t>
        </is>
      </c>
      <c r="F10" s="243" t="n">
        <v>9.27</v>
      </c>
      <c r="G10" s="244" t="inlineStr">
        <is>
          <t>A-</t>
        </is>
      </c>
      <c r="H10" s="243" t="n">
        <v>9.02</v>
      </c>
      <c r="I10" s="244" t="inlineStr">
        <is>
          <t>A-</t>
        </is>
      </c>
      <c r="J10" s="243" t="n">
        <v>9.460000000000001</v>
      </c>
      <c r="K10" s="244" t="inlineStr">
        <is>
          <t>A-</t>
        </is>
      </c>
      <c r="L10" s="243" t="n">
        <v>9.34</v>
      </c>
      <c r="M10" s="244" t="inlineStr">
        <is>
          <t>A-</t>
        </is>
      </c>
      <c r="N10" s="243" t="n">
        <v>9.08</v>
      </c>
      <c r="O10" s="244" t="inlineStr">
        <is>
          <t>A-</t>
        </is>
      </c>
      <c r="P10" s="243" t="n">
        <v>9.119999999999999</v>
      </c>
      <c r="Q10" s="244" t="inlineStr">
        <is>
          <t>A-</t>
        </is>
      </c>
      <c r="R10" s="243" t="n">
        <v>9.4</v>
      </c>
      <c r="S10" s="244" t="inlineStr">
        <is>
          <t>A+</t>
        </is>
      </c>
      <c r="T10" s="243" t="n">
        <v>9.24</v>
      </c>
      <c r="U10" s="244" t="inlineStr">
        <is>
          <t>A-</t>
        </is>
      </c>
      <c r="V10" s="244" t="inlineStr">
        <is>
          <t>S</t>
        </is>
      </c>
      <c r="W10" s="244" t="inlineStr">
        <is>
          <t>PROMOVIDO</t>
        </is>
      </c>
    </row>
    <row r="11" ht="13.55" customHeight="1" s="225">
      <c r="A11" s="241" t="n">
        <v>8</v>
      </c>
      <c r="B11" s="242" t="inlineStr">
        <is>
          <t>0152002572</t>
        </is>
      </c>
      <c r="C11" s="242" t="inlineStr">
        <is>
          <t>CORONEL BERMEO YESLY SAMARA</t>
        </is>
      </c>
      <c r="D11" s="243" t="n">
        <v>9.48</v>
      </c>
      <c r="E11" s="244" t="inlineStr">
        <is>
          <t>A-</t>
        </is>
      </c>
      <c r="F11" s="243" t="n">
        <v>9.5</v>
      </c>
      <c r="G11" s="244" t="inlineStr">
        <is>
          <t>A+</t>
        </is>
      </c>
      <c r="H11" s="243" t="n">
        <v>9.69</v>
      </c>
      <c r="I11" s="244" t="inlineStr">
        <is>
          <t>A+</t>
        </is>
      </c>
      <c r="J11" s="243" t="n">
        <v>9.859999999999999</v>
      </c>
      <c r="K11" s="244" t="inlineStr">
        <is>
          <t>A+</t>
        </is>
      </c>
      <c r="L11" s="243" t="n">
        <v>9.960000000000001</v>
      </c>
      <c r="M11" s="244" t="inlineStr">
        <is>
          <t>A+</t>
        </is>
      </c>
      <c r="N11" s="243" t="n">
        <v>9.52</v>
      </c>
      <c r="O11" s="244" t="inlineStr">
        <is>
          <t>A+</t>
        </is>
      </c>
      <c r="P11" s="243" t="n">
        <v>9.69</v>
      </c>
      <c r="Q11" s="244" t="inlineStr">
        <is>
          <t>A+</t>
        </is>
      </c>
      <c r="R11" s="243" t="n">
        <v>9.529999999999999</v>
      </c>
      <c r="S11" s="244" t="inlineStr">
        <is>
          <t>A+</t>
        </is>
      </c>
      <c r="T11" s="243" t="n">
        <v>9.67</v>
      </c>
      <c r="U11" s="244" t="inlineStr">
        <is>
          <t>A+</t>
        </is>
      </c>
      <c r="V11" s="244" t="inlineStr">
        <is>
          <t>S</t>
        </is>
      </c>
      <c r="W11" s="244" t="inlineStr">
        <is>
          <t>PROMOVIDO</t>
        </is>
      </c>
    </row>
    <row r="12" ht="13.55" customHeight="1" s="225">
      <c r="A12" s="241" t="n">
        <v>9</v>
      </c>
      <c r="B12" s="242" t="inlineStr">
        <is>
          <t>0152131686</t>
        </is>
      </c>
      <c r="C12" s="242" t="inlineStr">
        <is>
          <t>ELIZALDE MALLA DANNA VALENTINA</t>
        </is>
      </c>
      <c r="D12" s="243" t="n">
        <v>9.890000000000001</v>
      </c>
      <c r="E12" s="244" t="inlineStr">
        <is>
          <t>A+</t>
        </is>
      </c>
      <c r="F12" s="243" t="n">
        <v>9.83</v>
      </c>
      <c r="G12" s="244" t="inlineStr">
        <is>
          <t>A+</t>
        </is>
      </c>
      <c r="H12" s="243" t="n">
        <v>9.48</v>
      </c>
      <c r="I12" s="244" t="inlineStr">
        <is>
          <t>A-</t>
        </is>
      </c>
      <c r="J12" s="243" t="n">
        <v>9.789999999999999</v>
      </c>
      <c r="K12" s="244" t="inlineStr">
        <is>
          <t>A+</t>
        </is>
      </c>
      <c r="L12" s="243" t="n">
        <v>9.949999999999999</v>
      </c>
      <c r="M12" s="244" t="inlineStr">
        <is>
          <t>A+</t>
        </is>
      </c>
      <c r="N12" s="243" t="n">
        <v>9.710000000000001</v>
      </c>
      <c r="O12" s="244" t="inlineStr">
        <is>
          <t>A+</t>
        </is>
      </c>
      <c r="P12" s="243" t="n">
        <v>9.75</v>
      </c>
      <c r="Q12" s="244" t="inlineStr">
        <is>
          <t>A+</t>
        </is>
      </c>
      <c r="R12" s="243" t="n">
        <v>9.800000000000001</v>
      </c>
      <c r="S12" s="244" t="inlineStr">
        <is>
          <t>A+</t>
        </is>
      </c>
      <c r="T12" s="243" t="n">
        <v>9.77</v>
      </c>
      <c r="U12" s="244" t="inlineStr">
        <is>
          <t>A+</t>
        </is>
      </c>
      <c r="V12" s="244" t="inlineStr">
        <is>
          <t>S</t>
        </is>
      </c>
      <c r="W12" s="244" t="inlineStr">
        <is>
          <t>PROMOVIDO</t>
        </is>
      </c>
    </row>
    <row r="13" ht="13.55" customHeight="1" s="225">
      <c r="A13" s="241" t="n">
        <v>10</v>
      </c>
      <c r="B13" s="242" t="inlineStr">
        <is>
          <t>1352995284</t>
        </is>
      </c>
      <c r="C13" s="242" t="inlineStr">
        <is>
          <t>GARCIA VELEZ THIAGO JOSE</t>
        </is>
      </c>
      <c r="D13" s="243" t="n">
        <v>9.949999999999999</v>
      </c>
      <c r="E13" s="244" t="inlineStr">
        <is>
          <t>A+</t>
        </is>
      </c>
      <c r="F13" s="243" t="n">
        <v>9.619999999999999</v>
      </c>
      <c r="G13" s="244" t="inlineStr">
        <is>
          <t>A+</t>
        </is>
      </c>
      <c r="H13" s="243" t="n">
        <v>9.449999999999999</v>
      </c>
      <c r="I13" s="244" t="inlineStr">
        <is>
          <t>A-</t>
        </is>
      </c>
      <c r="J13" s="243" t="n">
        <v>9.779999999999999</v>
      </c>
      <c r="K13" s="244" t="inlineStr">
        <is>
          <t>A+</t>
        </is>
      </c>
      <c r="L13" s="243" t="n">
        <v>9.84</v>
      </c>
      <c r="M13" s="244" t="inlineStr">
        <is>
          <t>A+</t>
        </is>
      </c>
      <c r="N13" s="243" t="n">
        <v>9.43</v>
      </c>
      <c r="O13" s="244" t="inlineStr">
        <is>
          <t>A-</t>
        </is>
      </c>
      <c r="P13" s="243" t="n">
        <v>9.73</v>
      </c>
      <c r="Q13" s="244" t="inlineStr">
        <is>
          <t>A+</t>
        </is>
      </c>
      <c r="R13" s="243" t="n">
        <v>9.42</v>
      </c>
      <c r="S13" s="244" t="inlineStr">
        <is>
          <t>A+</t>
        </is>
      </c>
      <c r="T13" s="243" t="n">
        <v>9.69</v>
      </c>
      <c r="U13" s="244" t="inlineStr">
        <is>
          <t>A+</t>
        </is>
      </c>
      <c r="V13" s="244" t="inlineStr">
        <is>
          <t>S</t>
        </is>
      </c>
      <c r="W13" s="244" t="inlineStr">
        <is>
          <t>PROMOVIDO</t>
        </is>
      </c>
    </row>
    <row r="14" ht="13.55" customHeight="1" s="225">
      <c r="A14" s="241" t="n">
        <v>11</v>
      </c>
      <c r="B14" s="242" t="inlineStr">
        <is>
          <t>0152106571</t>
        </is>
      </c>
      <c r="C14" s="242" t="inlineStr">
        <is>
          <t>JIMENEZ JACHERO SANTIAGO EMILIO</t>
        </is>
      </c>
      <c r="D14" s="243" t="n">
        <v>7.64</v>
      </c>
      <c r="E14" s="244" t="inlineStr">
        <is>
          <t>B+</t>
        </is>
      </c>
      <c r="F14" s="243" t="n">
        <v>7.89</v>
      </c>
      <c r="G14" s="244" t="inlineStr">
        <is>
          <t>B+</t>
        </is>
      </c>
      <c r="H14" s="243" t="n">
        <v>8.06</v>
      </c>
      <c r="I14" s="244" t="inlineStr">
        <is>
          <t>B+</t>
        </is>
      </c>
      <c r="J14" s="243" t="n">
        <v>7.85</v>
      </c>
      <c r="K14" s="244" t="inlineStr">
        <is>
          <t>B+</t>
        </is>
      </c>
      <c r="L14" s="243" t="n">
        <v>7.92</v>
      </c>
      <c r="M14" s="244" t="inlineStr">
        <is>
          <t>B+</t>
        </is>
      </c>
      <c r="N14" s="243" t="n">
        <v>8.67</v>
      </c>
      <c r="O14" s="244" t="inlineStr">
        <is>
          <t>A-</t>
        </is>
      </c>
      <c r="P14" s="243" t="n">
        <v>8.09</v>
      </c>
      <c r="Q14" s="244" t="inlineStr">
        <is>
          <t>B+</t>
        </is>
      </c>
      <c r="R14" s="243" t="n">
        <v>7.52</v>
      </c>
      <c r="S14" s="244" t="inlineStr">
        <is>
          <t>A+</t>
        </is>
      </c>
      <c r="T14" s="243" t="n">
        <v>8.02</v>
      </c>
      <c r="U14" s="244" t="inlineStr">
        <is>
          <t>B+</t>
        </is>
      </c>
      <c r="V14" s="244" t="inlineStr">
        <is>
          <t>S</t>
        </is>
      </c>
      <c r="W14" s="244" t="inlineStr">
        <is>
          <t>PROMOVIDO</t>
        </is>
      </c>
    </row>
    <row r="15" ht="13.55" customHeight="1" s="225">
      <c r="A15" s="241" t="n">
        <v>12</v>
      </c>
      <c r="B15" s="242" t="inlineStr">
        <is>
          <t>0152119160</t>
        </is>
      </c>
      <c r="C15" s="245" t="inlineStr">
        <is>
          <t>LEMA CUNUHAY SAMANTHA VANESA</t>
        </is>
      </c>
      <c r="D15" s="246" t="n">
        <v>9.359999999999999</v>
      </c>
      <c r="E15" s="244" t="inlineStr">
        <is>
          <t>A-</t>
        </is>
      </c>
      <c r="F15" s="243" t="n">
        <v>9.470000000000001</v>
      </c>
      <c r="G15" s="244" t="inlineStr">
        <is>
          <t>A-</t>
        </is>
      </c>
      <c r="H15" s="243" t="n">
        <v>9.460000000000001</v>
      </c>
      <c r="I15" s="244" t="inlineStr">
        <is>
          <t>A-</t>
        </is>
      </c>
      <c r="J15" s="243" t="n">
        <v>9.43</v>
      </c>
      <c r="K15" s="244" t="inlineStr">
        <is>
          <t>A-</t>
        </is>
      </c>
      <c r="L15" s="243" t="n">
        <v>9.359999999999999</v>
      </c>
      <c r="M15" s="244" t="inlineStr">
        <is>
          <t>A-</t>
        </is>
      </c>
      <c r="N15" s="243" t="n">
        <v>9.630000000000001</v>
      </c>
      <c r="O15" s="244" t="inlineStr">
        <is>
          <t>A+</t>
        </is>
      </c>
      <c r="P15" s="243" t="n">
        <v>9.33</v>
      </c>
      <c r="Q15" s="244" t="inlineStr">
        <is>
          <t>A-</t>
        </is>
      </c>
      <c r="R15" s="243" t="n">
        <v>9.1</v>
      </c>
      <c r="S15" s="244" t="inlineStr">
        <is>
          <t>A+</t>
        </is>
      </c>
      <c r="T15" s="243" t="n">
        <v>9.43</v>
      </c>
      <c r="U15" s="244" t="inlineStr">
        <is>
          <t>A-</t>
        </is>
      </c>
      <c r="V15" s="244" t="inlineStr">
        <is>
          <t>S</t>
        </is>
      </c>
      <c r="W15" s="244" t="inlineStr">
        <is>
          <t>PROMOVIDO</t>
        </is>
      </c>
    </row>
    <row r="16" ht="13.55" customHeight="1" s="225">
      <c r="A16" s="241" t="n">
        <v>13</v>
      </c>
      <c r="B16" s="242" t="inlineStr">
        <is>
          <t>0152117776</t>
        </is>
      </c>
      <c r="C16" s="242" t="inlineStr">
        <is>
          <t>LLIVISACA SANCHEZ MAILEN DANIELA</t>
        </is>
      </c>
      <c r="D16" s="243" t="n">
        <v>9.43</v>
      </c>
      <c r="E16" s="244" t="inlineStr">
        <is>
          <t>A-</t>
        </is>
      </c>
      <c r="F16" s="243" t="n">
        <v>9.210000000000001</v>
      </c>
      <c r="G16" s="244" t="inlineStr">
        <is>
          <t>A-</t>
        </is>
      </c>
      <c r="H16" s="243" t="n">
        <v>9.220000000000001</v>
      </c>
      <c r="I16" s="244" t="inlineStr">
        <is>
          <t>A-</t>
        </is>
      </c>
      <c r="J16" s="243" t="n">
        <v>9.16</v>
      </c>
      <c r="K16" s="244" t="inlineStr">
        <is>
          <t>A-</t>
        </is>
      </c>
      <c r="L16" s="243" t="n">
        <v>8.640000000000001</v>
      </c>
      <c r="M16" s="244" t="inlineStr">
        <is>
          <t>A-</t>
        </is>
      </c>
      <c r="N16" s="243" t="n">
        <v>9.35</v>
      </c>
      <c r="O16" s="244" t="inlineStr">
        <is>
          <t>A-</t>
        </is>
      </c>
      <c r="P16" s="243" t="n">
        <v>8.390000000000001</v>
      </c>
      <c r="Q16" s="244" t="inlineStr">
        <is>
          <t>B+</t>
        </is>
      </c>
      <c r="R16" s="243" t="n">
        <v>9.6</v>
      </c>
      <c r="S16" s="244" t="inlineStr">
        <is>
          <t>A+</t>
        </is>
      </c>
      <c r="T16" s="243" t="n">
        <v>9.06</v>
      </c>
      <c r="U16" s="244" t="inlineStr">
        <is>
          <t>A-</t>
        </is>
      </c>
      <c r="V16" s="244" t="inlineStr">
        <is>
          <t>S</t>
        </is>
      </c>
      <c r="W16" s="244" t="inlineStr">
        <is>
          <t>PROMOVIDO</t>
        </is>
      </c>
    </row>
    <row r="17" ht="13.55" customHeight="1" s="225">
      <c r="A17" s="241" t="n">
        <v>14</v>
      </c>
      <c r="B17" s="242" t="inlineStr">
        <is>
          <t>1450597503</t>
        </is>
      </c>
      <c r="C17" s="242" t="inlineStr">
        <is>
          <t>MENDOZA LIA SAMARA</t>
        </is>
      </c>
      <c r="D17" s="243" t="n">
        <v>9.17</v>
      </c>
      <c r="E17" s="244" t="inlineStr">
        <is>
          <t>A-</t>
        </is>
      </c>
      <c r="F17" s="243" t="n">
        <v>8.49</v>
      </c>
      <c r="G17" s="244" t="inlineStr">
        <is>
          <t>B+</t>
        </is>
      </c>
      <c r="H17" s="243" t="n">
        <v>8.84</v>
      </c>
      <c r="I17" s="244" t="inlineStr">
        <is>
          <t>A-</t>
        </is>
      </c>
      <c r="J17" s="243" t="n">
        <v>8.84</v>
      </c>
      <c r="K17" s="244" t="inlineStr">
        <is>
          <t>A-</t>
        </is>
      </c>
      <c r="L17" s="243" t="n">
        <v>9.35</v>
      </c>
      <c r="M17" s="244" t="inlineStr">
        <is>
          <t>A-</t>
        </is>
      </c>
      <c r="N17" s="243" t="n">
        <v>8.640000000000001</v>
      </c>
      <c r="O17" s="244" t="inlineStr">
        <is>
          <t>A-</t>
        </is>
      </c>
      <c r="P17" s="243" t="n">
        <v>8.4</v>
      </c>
      <c r="Q17" s="244" t="inlineStr">
        <is>
          <t>B+</t>
        </is>
      </c>
      <c r="R17" s="243" t="n">
        <v>9.02</v>
      </c>
      <c r="S17" s="244" t="inlineStr">
        <is>
          <t>A+</t>
        </is>
      </c>
      <c r="T17" s="243" t="n">
        <v>8.82</v>
      </c>
      <c r="U17" s="244" t="inlineStr">
        <is>
          <t>A-</t>
        </is>
      </c>
      <c r="V17" s="244" t="inlineStr">
        <is>
          <t>S</t>
        </is>
      </c>
      <c r="W17" s="244" t="inlineStr">
        <is>
          <t>PROMOVIDO</t>
        </is>
      </c>
    </row>
    <row r="18" ht="13.55" customHeight="1" s="225">
      <c r="A18" s="241" t="n">
        <v>15</v>
      </c>
      <c r="B18" s="242" t="inlineStr">
        <is>
          <t>0152143970</t>
        </is>
      </c>
      <c r="C18" s="242" t="inlineStr">
        <is>
          <t>MIRANDA CHUISACA DYLAN YAHYR</t>
        </is>
      </c>
      <c r="D18" s="243" t="n">
        <v>9.73</v>
      </c>
      <c r="E18" s="244" t="inlineStr">
        <is>
          <t>A+</t>
        </is>
      </c>
      <c r="F18" s="243" t="n">
        <v>9.880000000000001</v>
      </c>
      <c r="G18" s="244" t="inlineStr">
        <is>
          <t>A+</t>
        </is>
      </c>
      <c r="H18" s="243" t="n">
        <v>9.69</v>
      </c>
      <c r="I18" s="244" t="inlineStr">
        <is>
          <t>A+</t>
        </is>
      </c>
      <c r="J18" s="243" t="n">
        <v>9.869999999999999</v>
      </c>
      <c r="K18" s="244" t="inlineStr">
        <is>
          <t>A+</t>
        </is>
      </c>
      <c r="L18" s="243" t="n">
        <v>9.869999999999999</v>
      </c>
      <c r="M18" s="244" t="inlineStr">
        <is>
          <t>A+</t>
        </is>
      </c>
      <c r="N18" s="243" t="n">
        <v>9.5</v>
      </c>
      <c r="O18" s="244" t="inlineStr">
        <is>
          <t>A-</t>
        </is>
      </c>
      <c r="P18" s="243" t="n">
        <v>9.65</v>
      </c>
      <c r="Q18" s="244" t="inlineStr">
        <is>
          <t>A+</t>
        </is>
      </c>
      <c r="R18" s="243" t="n">
        <v>9.52</v>
      </c>
      <c r="S18" s="244" t="inlineStr">
        <is>
          <t>A+</t>
        </is>
      </c>
      <c r="T18" s="243" t="n">
        <v>9.74</v>
      </c>
      <c r="U18" s="244" t="inlineStr">
        <is>
          <t>A+</t>
        </is>
      </c>
      <c r="V18" s="244" t="inlineStr">
        <is>
          <t>S</t>
        </is>
      </c>
      <c r="W18" s="244" t="inlineStr">
        <is>
          <t>PROMOVIDO</t>
        </is>
      </c>
    </row>
    <row r="19" ht="13.55" customHeight="1" s="225">
      <c r="A19" s="241" t="n">
        <v>16</v>
      </c>
      <c r="B19" s="242" t="inlineStr">
        <is>
          <t>0152068193</t>
        </is>
      </c>
      <c r="C19" s="242" t="inlineStr">
        <is>
          <t>PEÑA GUIRACOCHA LADY ANAHY</t>
        </is>
      </c>
      <c r="D19" s="243" t="n">
        <v>9.58</v>
      </c>
      <c r="E19" s="244" t="inlineStr">
        <is>
          <t>A+</t>
        </is>
      </c>
      <c r="F19" s="243" t="n">
        <v>9.539999999999999</v>
      </c>
      <c r="G19" s="244" t="inlineStr">
        <is>
          <t>A+</t>
        </is>
      </c>
      <c r="H19" s="243" t="n">
        <v>9.6</v>
      </c>
      <c r="I19" s="244" t="inlineStr">
        <is>
          <t>A+</t>
        </is>
      </c>
      <c r="J19" s="243" t="n">
        <v>9.630000000000001</v>
      </c>
      <c r="K19" s="244" t="inlineStr">
        <is>
          <t>A+</t>
        </is>
      </c>
      <c r="L19" s="243" t="n">
        <v>9.75</v>
      </c>
      <c r="M19" s="244" t="inlineStr">
        <is>
          <t>A+</t>
        </is>
      </c>
      <c r="N19" s="243" t="n">
        <v>9.58</v>
      </c>
      <c r="O19" s="244" t="inlineStr">
        <is>
          <t>A+</t>
        </is>
      </c>
      <c r="P19" s="243" t="n">
        <v>9.869999999999999</v>
      </c>
      <c r="Q19" s="244" t="inlineStr">
        <is>
          <t>A+</t>
        </is>
      </c>
      <c r="R19" s="243" t="n">
        <v>9</v>
      </c>
      <c r="S19" s="244" t="inlineStr">
        <is>
          <t>A+</t>
        </is>
      </c>
      <c r="T19" s="243" t="n">
        <v>9.65</v>
      </c>
      <c r="U19" s="244" t="inlineStr">
        <is>
          <t>A+</t>
        </is>
      </c>
      <c r="V19" s="244" t="inlineStr">
        <is>
          <t>S</t>
        </is>
      </c>
      <c r="W19" s="244" t="inlineStr">
        <is>
          <t>PROMOVIDO</t>
        </is>
      </c>
    </row>
    <row r="20" ht="13.55" customHeight="1" s="225">
      <c r="A20" s="241" t="n">
        <v>17</v>
      </c>
      <c r="B20" s="242" t="inlineStr">
        <is>
          <t>0152086971</t>
        </is>
      </c>
      <c r="C20" s="242" t="inlineStr">
        <is>
          <t>PULLA MAYORGA JORDY SEBASTIAN</t>
        </is>
      </c>
      <c r="D20" s="243" t="n">
        <v>9</v>
      </c>
      <c r="E20" s="244" t="inlineStr">
        <is>
          <t>A-</t>
        </is>
      </c>
      <c r="F20" s="243" t="n">
        <v>8.93</v>
      </c>
      <c r="G20" s="244" t="inlineStr">
        <is>
          <t>A-</t>
        </is>
      </c>
      <c r="H20" s="243" t="n">
        <v>9.359999999999999</v>
      </c>
      <c r="I20" s="244" t="inlineStr">
        <is>
          <t>A-</t>
        </is>
      </c>
      <c r="J20" s="243" t="n">
        <v>9.300000000000001</v>
      </c>
      <c r="K20" s="244" t="inlineStr">
        <is>
          <t>A-</t>
        </is>
      </c>
      <c r="L20" s="243" t="n">
        <v>8.16</v>
      </c>
      <c r="M20" s="244" t="inlineStr">
        <is>
          <t>B+</t>
        </is>
      </c>
      <c r="N20" s="243" t="n">
        <v>9.039999999999999</v>
      </c>
      <c r="O20" s="244" t="inlineStr">
        <is>
          <t>A-</t>
        </is>
      </c>
      <c r="P20" s="243" t="n">
        <v>8.9</v>
      </c>
      <c r="Q20" s="244" t="inlineStr">
        <is>
          <t>A-</t>
        </is>
      </c>
      <c r="R20" s="243" t="n">
        <v>8.130000000000001</v>
      </c>
      <c r="S20" s="244" t="inlineStr">
        <is>
          <t>A+</t>
        </is>
      </c>
      <c r="T20" s="243" t="n">
        <v>8.960000000000001</v>
      </c>
      <c r="U20" s="244" t="inlineStr">
        <is>
          <t>A-</t>
        </is>
      </c>
      <c r="V20" s="244" t="inlineStr">
        <is>
          <t>S</t>
        </is>
      </c>
      <c r="W20" s="244" t="inlineStr">
        <is>
          <t>PROMOVIDO</t>
        </is>
      </c>
    </row>
    <row r="21" ht="13.55" customHeight="1" s="225">
      <c r="A21" s="241" t="n">
        <v>18</v>
      </c>
      <c r="B21" s="242" t="inlineStr">
        <is>
          <t>0963041629</t>
        </is>
      </c>
      <c r="C21" s="242" t="inlineStr">
        <is>
          <t>ROBLES LOAIZA ESTHER SOFIA</t>
        </is>
      </c>
      <c r="D21" s="243" t="n">
        <v>8.23</v>
      </c>
      <c r="E21" s="244" t="inlineStr">
        <is>
          <t>B+</t>
        </is>
      </c>
      <c r="F21" s="243" t="n">
        <v>7.85</v>
      </c>
      <c r="G21" s="244" t="inlineStr">
        <is>
          <t>B+</t>
        </is>
      </c>
      <c r="H21" s="243" t="n">
        <v>8.49</v>
      </c>
      <c r="I21" s="244" t="inlineStr">
        <is>
          <t>B+</t>
        </is>
      </c>
      <c r="J21" s="243" t="n">
        <v>8.859999999999999</v>
      </c>
      <c r="K21" s="244" t="inlineStr">
        <is>
          <t>A-</t>
        </is>
      </c>
      <c r="L21" s="243" t="n">
        <v>8.48</v>
      </c>
      <c r="M21" s="244" t="inlineStr">
        <is>
          <t>B+</t>
        </is>
      </c>
      <c r="N21" s="243" t="n">
        <v>7.34</v>
      </c>
      <c r="O21" s="244" t="inlineStr">
        <is>
          <t>B-</t>
        </is>
      </c>
      <c r="P21" s="243" t="n">
        <v>8.640000000000001</v>
      </c>
      <c r="Q21" s="244" t="inlineStr">
        <is>
          <t>A-</t>
        </is>
      </c>
      <c r="R21" s="243" t="n">
        <v>8.06</v>
      </c>
      <c r="S21" s="244" t="inlineStr">
        <is>
          <t>A+</t>
        </is>
      </c>
      <c r="T21" s="243" t="n">
        <v>8.27</v>
      </c>
      <c r="U21" s="244" t="inlineStr">
        <is>
          <t>B+</t>
        </is>
      </c>
      <c r="V21" s="244" t="inlineStr">
        <is>
          <t>S</t>
        </is>
      </c>
      <c r="W21" s="244" t="inlineStr">
        <is>
          <t>PROMOVIDO</t>
        </is>
      </c>
    </row>
    <row r="22" ht="13.55" customHeight="1" s="225">
      <c r="A22" s="241" t="n">
        <v>19</v>
      </c>
      <c r="B22" s="242" t="inlineStr">
        <is>
          <t>0152141180</t>
        </is>
      </c>
      <c r="C22" s="242" t="inlineStr">
        <is>
          <t>SAGBAY FAREZ ANDERSSON KALEB</t>
        </is>
      </c>
      <c r="D22" s="243" t="n">
        <v>9.460000000000001</v>
      </c>
      <c r="E22" s="244" t="inlineStr">
        <is>
          <t>A-</t>
        </is>
      </c>
      <c r="F22" s="243" t="n">
        <v>9.57</v>
      </c>
      <c r="G22" s="244" t="inlineStr">
        <is>
          <t>A+</t>
        </is>
      </c>
      <c r="H22" s="243" t="n">
        <v>9.550000000000001</v>
      </c>
      <c r="I22" s="244" t="inlineStr">
        <is>
          <t>A+</t>
        </is>
      </c>
      <c r="J22" s="243" t="n">
        <v>9.449999999999999</v>
      </c>
      <c r="K22" s="244" t="inlineStr">
        <is>
          <t>A-</t>
        </is>
      </c>
      <c r="L22" s="243" t="n">
        <v>9.07</v>
      </c>
      <c r="M22" s="244" t="inlineStr">
        <is>
          <t>A-</t>
        </is>
      </c>
      <c r="N22" s="243" t="n">
        <v>9.01</v>
      </c>
      <c r="O22" s="244" t="inlineStr">
        <is>
          <t>A-</t>
        </is>
      </c>
      <c r="P22" s="243" t="n">
        <v>9.24</v>
      </c>
      <c r="Q22" s="244" t="inlineStr">
        <is>
          <t>A-</t>
        </is>
      </c>
      <c r="R22" s="243" t="n">
        <v>9.68</v>
      </c>
      <c r="S22" s="244" t="inlineStr">
        <is>
          <t>A+</t>
        </is>
      </c>
      <c r="T22" s="243" t="n">
        <v>9.34</v>
      </c>
      <c r="U22" s="244" t="inlineStr">
        <is>
          <t>A-</t>
        </is>
      </c>
      <c r="V22" s="244" t="inlineStr">
        <is>
          <t>S</t>
        </is>
      </c>
      <c r="W22" s="244" t="inlineStr">
        <is>
          <t>PROMOVIDO</t>
        </is>
      </c>
    </row>
    <row r="23" ht="13.55" customHeight="1" s="225">
      <c r="A23" s="241" t="n">
        <v>20</v>
      </c>
      <c r="B23" s="242" t="inlineStr">
        <is>
          <t>0152030581</t>
        </is>
      </c>
      <c r="C23" s="242" t="inlineStr">
        <is>
          <t>SIAVICHAY LEON JOSTIN JOSUE</t>
        </is>
      </c>
      <c r="D23" s="243" t="n">
        <v>7.42</v>
      </c>
      <c r="E23" s="244" t="inlineStr">
        <is>
          <t>B-</t>
        </is>
      </c>
      <c r="F23" s="243" t="n">
        <v>7.51</v>
      </c>
      <c r="G23" s="244" t="inlineStr">
        <is>
          <t>B+</t>
        </is>
      </c>
      <c r="H23" s="243" t="n">
        <v>8.09</v>
      </c>
      <c r="I23" s="244" t="inlineStr">
        <is>
          <t>B+</t>
        </is>
      </c>
      <c r="J23" s="243" t="n">
        <v>7.88</v>
      </c>
      <c r="K23" s="244" t="inlineStr">
        <is>
          <t>B+</t>
        </is>
      </c>
      <c r="L23" s="243" t="n">
        <v>8.32</v>
      </c>
      <c r="M23" s="244" t="inlineStr">
        <is>
          <t>B+</t>
        </is>
      </c>
      <c r="N23" s="243" t="n">
        <v>8.390000000000001</v>
      </c>
      <c r="O23" s="244" t="inlineStr">
        <is>
          <t>B+</t>
        </is>
      </c>
      <c r="P23" s="243" t="n">
        <v>8.31</v>
      </c>
      <c r="Q23" s="244" t="inlineStr">
        <is>
          <t>B+</t>
        </is>
      </c>
      <c r="R23" s="243" t="n">
        <v>7.05</v>
      </c>
      <c r="S23" s="244" t="inlineStr">
        <is>
          <t>A+</t>
        </is>
      </c>
      <c r="T23" s="243" t="n">
        <v>7.99</v>
      </c>
      <c r="U23" s="244" t="inlineStr">
        <is>
          <t>B+</t>
        </is>
      </c>
      <c r="V23" s="244" t="inlineStr">
        <is>
          <t>S</t>
        </is>
      </c>
      <c r="W23" s="244" t="inlineStr">
        <is>
          <t>PROMOVIDO</t>
        </is>
      </c>
    </row>
    <row r="24" ht="13.55" customHeight="1" s="225">
      <c r="A24" s="241" t="n">
        <v>21</v>
      </c>
      <c r="B24" s="242" t="inlineStr">
        <is>
          <t>0152070124</t>
        </is>
      </c>
      <c r="C24" s="242" t="inlineStr">
        <is>
          <t>SIBRI GUAPI JHOAN MATIAS</t>
        </is>
      </c>
      <c r="D24" s="243" t="n">
        <v>7.89</v>
      </c>
      <c r="E24" s="244" t="inlineStr">
        <is>
          <t>B+</t>
        </is>
      </c>
      <c r="F24" s="243" t="n">
        <v>7.96</v>
      </c>
      <c r="G24" s="244" t="inlineStr">
        <is>
          <t>B+</t>
        </is>
      </c>
      <c r="H24" s="243" t="n">
        <v>8.42</v>
      </c>
      <c r="I24" s="244" t="inlineStr">
        <is>
          <t>B+</t>
        </is>
      </c>
      <c r="J24" s="243" t="n">
        <v>8.65</v>
      </c>
      <c r="K24" s="244" t="inlineStr">
        <is>
          <t>A-</t>
        </is>
      </c>
      <c r="L24" s="243" t="n">
        <v>8.23</v>
      </c>
      <c r="M24" s="244" t="inlineStr">
        <is>
          <t>B+</t>
        </is>
      </c>
      <c r="N24" s="243" t="n">
        <v>8.800000000000001</v>
      </c>
      <c r="O24" s="244" t="inlineStr">
        <is>
          <t>A-</t>
        </is>
      </c>
      <c r="P24" s="243" t="n">
        <v>8.66</v>
      </c>
      <c r="Q24" s="244" t="inlineStr">
        <is>
          <t>A-</t>
        </is>
      </c>
      <c r="R24" s="243" t="n">
        <v>7.66</v>
      </c>
      <c r="S24" s="244" t="inlineStr">
        <is>
          <t>A+</t>
        </is>
      </c>
      <c r="T24" s="243" t="n">
        <v>8.369999999999999</v>
      </c>
      <c r="U24" s="244" t="inlineStr">
        <is>
          <t>B+</t>
        </is>
      </c>
      <c r="V24" s="244" t="inlineStr">
        <is>
          <t>S</t>
        </is>
      </c>
      <c r="W24" s="244" t="inlineStr">
        <is>
          <t>PROMOVIDO</t>
        </is>
      </c>
    </row>
    <row r="25" ht="13.55" customHeight="1" s="225">
      <c r="A25" s="241" t="n">
        <v>22</v>
      </c>
      <c r="B25" s="242" t="inlineStr">
        <is>
          <t>0152044558</t>
        </is>
      </c>
      <c r="C25" s="242" t="inlineStr">
        <is>
          <t>SIBRI LATA JANINA ESTEFANIA</t>
        </is>
      </c>
      <c r="D25" s="243" t="n">
        <v>9.460000000000001</v>
      </c>
      <c r="E25" s="244" t="inlineStr">
        <is>
          <t>A-</t>
        </is>
      </c>
      <c r="F25" s="243" t="n">
        <v>9.34</v>
      </c>
      <c r="G25" s="244" t="inlineStr">
        <is>
          <t>A-</t>
        </is>
      </c>
      <c r="H25" s="243" t="n">
        <v>9.539999999999999</v>
      </c>
      <c r="I25" s="244" t="inlineStr">
        <is>
          <t>A+</t>
        </is>
      </c>
      <c r="J25" s="243" t="n">
        <v>9.619999999999999</v>
      </c>
      <c r="K25" s="244" t="inlineStr">
        <is>
          <t>A+</t>
        </is>
      </c>
      <c r="L25" s="243" t="n">
        <v>8.970000000000001</v>
      </c>
      <c r="M25" s="244" t="inlineStr">
        <is>
          <t>A-</t>
        </is>
      </c>
      <c r="N25" s="243" t="n">
        <v>9.48</v>
      </c>
      <c r="O25" s="244" t="inlineStr">
        <is>
          <t>A-</t>
        </is>
      </c>
      <c r="P25" s="243" t="n">
        <v>9.24</v>
      </c>
      <c r="Q25" s="244" t="inlineStr">
        <is>
          <t>A-</t>
        </is>
      </c>
      <c r="R25" s="243" t="n">
        <v>9.199999999999999</v>
      </c>
      <c r="S25" s="244" t="inlineStr">
        <is>
          <t>A+</t>
        </is>
      </c>
      <c r="T25" s="243" t="n">
        <v>9.380000000000001</v>
      </c>
      <c r="U25" s="244" t="inlineStr">
        <is>
          <t>A-</t>
        </is>
      </c>
      <c r="V25" s="244" t="inlineStr">
        <is>
          <t>S</t>
        </is>
      </c>
      <c r="W25" s="244" t="inlineStr">
        <is>
          <t>PROMOVIDO</t>
        </is>
      </c>
    </row>
    <row r="26" ht="13.55" customHeight="1" s="225">
      <c r="A26" s="241" t="n">
        <v>23</v>
      </c>
      <c r="B26" s="242" t="inlineStr">
        <is>
          <t>0152071726</t>
        </is>
      </c>
      <c r="C26" s="242" t="inlineStr">
        <is>
          <t>TADAY ORTIZ ABIGAIL ESTEFANIA</t>
        </is>
      </c>
      <c r="D26" s="243" t="n">
        <v>9.23</v>
      </c>
      <c r="E26" s="244" t="inlineStr">
        <is>
          <t>A-</t>
        </is>
      </c>
      <c r="F26" s="243" t="n">
        <v>8.800000000000001</v>
      </c>
      <c r="G26" s="244" t="inlineStr">
        <is>
          <t>A-</t>
        </is>
      </c>
      <c r="H26" s="243" t="n">
        <v>8.84</v>
      </c>
      <c r="I26" s="244" t="inlineStr">
        <is>
          <t>A-</t>
        </is>
      </c>
      <c r="J26" s="243" t="n">
        <v>8.65</v>
      </c>
      <c r="K26" s="244" t="inlineStr">
        <is>
          <t>A-</t>
        </is>
      </c>
      <c r="L26" s="243" t="n">
        <v>8.93</v>
      </c>
      <c r="M26" s="244" t="inlineStr">
        <is>
          <t>A-</t>
        </is>
      </c>
      <c r="N26" s="243" t="n">
        <v>8.720000000000001</v>
      </c>
      <c r="O26" s="244" t="inlineStr">
        <is>
          <t>A-</t>
        </is>
      </c>
      <c r="P26" s="243" t="n">
        <v>9.119999999999999</v>
      </c>
      <c r="Q26" s="244" t="inlineStr">
        <is>
          <t>A-</t>
        </is>
      </c>
      <c r="R26" s="243" t="n">
        <v>9.300000000000001</v>
      </c>
      <c r="S26" s="244" t="inlineStr">
        <is>
          <t>A+</t>
        </is>
      </c>
      <c r="T26" s="243" t="n">
        <v>8.9</v>
      </c>
      <c r="U26" s="244" t="inlineStr">
        <is>
          <t>A-</t>
        </is>
      </c>
      <c r="V26" s="244" t="inlineStr">
        <is>
          <t>S</t>
        </is>
      </c>
      <c r="W26" s="244" t="inlineStr">
        <is>
          <t>PROMOVIDO</t>
        </is>
      </c>
    </row>
    <row r="27" ht="13.55" customHeight="1" s="225">
      <c r="A27" s="241" t="n">
        <v>24</v>
      </c>
      <c r="B27" s="242" t="inlineStr">
        <is>
          <t>0152000709</t>
        </is>
      </c>
      <c r="C27" s="242" t="inlineStr">
        <is>
          <t>TANGUILA RUIZ YESLY ELIZABETH</t>
        </is>
      </c>
      <c r="D27" s="243" t="n">
        <v>9.16</v>
      </c>
      <c r="E27" s="244" t="inlineStr">
        <is>
          <t>A-</t>
        </is>
      </c>
      <c r="F27" s="243" t="n">
        <v>9.52</v>
      </c>
      <c r="G27" s="244" t="inlineStr">
        <is>
          <t>A+</t>
        </is>
      </c>
      <c r="H27" s="243" t="n">
        <v>9.1</v>
      </c>
      <c r="I27" s="244" t="inlineStr">
        <is>
          <t>A-</t>
        </is>
      </c>
      <c r="J27" s="243" t="n">
        <v>9.210000000000001</v>
      </c>
      <c r="K27" s="244" t="inlineStr">
        <is>
          <t>A-</t>
        </is>
      </c>
      <c r="L27" s="243" t="n">
        <v>9.57</v>
      </c>
      <c r="M27" s="244" t="inlineStr">
        <is>
          <t>A+</t>
        </is>
      </c>
      <c r="N27" s="243" t="n">
        <v>8.91</v>
      </c>
      <c r="O27" s="244" t="inlineStr">
        <is>
          <t>A-</t>
        </is>
      </c>
      <c r="P27" s="243" t="n">
        <v>9.619999999999999</v>
      </c>
      <c r="Q27" s="244" t="inlineStr">
        <is>
          <t>A+</t>
        </is>
      </c>
      <c r="R27" s="243" t="n">
        <v>9.15</v>
      </c>
      <c r="S27" s="244" t="inlineStr">
        <is>
          <t>A+</t>
        </is>
      </c>
      <c r="T27" s="243" t="n">
        <v>9.300000000000001</v>
      </c>
      <c r="U27" s="244" t="inlineStr">
        <is>
          <t>A-</t>
        </is>
      </c>
      <c r="V27" s="244" t="inlineStr">
        <is>
          <t>S</t>
        </is>
      </c>
      <c r="W27" s="244" t="inlineStr">
        <is>
          <t>PROMOVIDO</t>
        </is>
      </c>
    </row>
    <row r="28" ht="13.55" customHeight="1" s="225">
      <c r="A28" s="241" t="n">
        <v>25</v>
      </c>
      <c r="B28" s="242" t="inlineStr">
        <is>
          <t>0152073930</t>
        </is>
      </c>
      <c r="C28" s="242" t="inlineStr">
        <is>
          <t>VALDEZ MONTESDEOCA ANGEL JOSUE</t>
        </is>
      </c>
      <c r="D28" s="243" t="n">
        <v>8.449999999999999</v>
      </c>
      <c r="E28" s="244" t="inlineStr">
        <is>
          <t>B+</t>
        </is>
      </c>
      <c r="F28" s="243" t="n">
        <v>8.67</v>
      </c>
      <c r="G28" s="244" t="inlineStr">
        <is>
          <t>A-</t>
        </is>
      </c>
      <c r="H28" s="243" t="n">
        <v>9.109999999999999</v>
      </c>
      <c r="I28" s="244" t="inlineStr">
        <is>
          <t>A-</t>
        </is>
      </c>
      <c r="J28" s="243" t="n">
        <v>8.710000000000001</v>
      </c>
      <c r="K28" s="244" t="inlineStr">
        <is>
          <t>A-</t>
        </is>
      </c>
      <c r="L28" s="243" t="n">
        <v>8.58</v>
      </c>
      <c r="M28" s="244" t="inlineStr">
        <is>
          <t>A-</t>
        </is>
      </c>
      <c r="N28" s="243" t="n">
        <v>9.130000000000001</v>
      </c>
      <c r="O28" s="244" t="inlineStr">
        <is>
          <t>A-</t>
        </is>
      </c>
      <c r="P28" s="243" t="n">
        <v>9.119999999999999</v>
      </c>
      <c r="Q28" s="244" t="inlineStr">
        <is>
          <t>A-</t>
        </is>
      </c>
      <c r="R28" s="243" t="n">
        <v>8.08</v>
      </c>
      <c r="S28" s="244" t="inlineStr">
        <is>
          <t>A+</t>
        </is>
      </c>
      <c r="T28" s="243" t="n">
        <v>8.83</v>
      </c>
      <c r="U28" s="244" t="inlineStr">
        <is>
          <t>A-</t>
        </is>
      </c>
      <c r="V28" s="244" t="inlineStr">
        <is>
          <t>S</t>
        </is>
      </c>
      <c r="W28" s="244" t="inlineStr">
        <is>
          <t>PROMOVIDO</t>
        </is>
      </c>
    </row>
    <row r="29" ht="13.55" customHeight="1" s="225">
      <c r="A29" s="241" t="n">
        <v>26</v>
      </c>
      <c r="B29" s="242" t="inlineStr">
        <is>
          <t>0152124749</t>
        </is>
      </c>
      <c r="C29" s="242" t="inlineStr">
        <is>
          <t>VIDAL PATIÑO EMMA ISABELLA</t>
        </is>
      </c>
      <c r="D29" s="243" t="n">
        <v>9.859999999999999</v>
      </c>
      <c r="E29" s="244" t="inlineStr">
        <is>
          <t>A+</t>
        </is>
      </c>
      <c r="F29" s="243" t="n">
        <v>9.779999999999999</v>
      </c>
      <c r="G29" s="244" t="inlineStr">
        <is>
          <t>A+</t>
        </is>
      </c>
      <c r="H29" s="243" t="n">
        <v>9.84</v>
      </c>
      <c r="I29" s="244" t="inlineStr">
        <is>
          <t>A+</t>
        </is>
      </c>
      <c r="J29" s="243" t="n">
        <v>10</v>
      </c>
      <c r="K29" s="244" t="inlineStr">
        <is>
          <t>A+</t>
        </is>
      </c>
      <c r="L29" s="243" t="n">
        <v>9.91</v>
      </c>
      <c r="M29" s="244" t="inlineStr">
        <is>
          <t>A+</t>
        </is>
      </c>
      <c r="N29" s="243" t="n">
        <v>9.619999999999999</v>
      </c>
      <c r="O29" s="244" t="inlineStr">
        <is>
          <t>A+</t>
        </is>
      </c>
      <c r="P29" s="243" t="n">
        <v>9.85</v>
      </c>
      <c r="Q29" s="244" t="inlineStr">
        <is>
          <t>A+</t>
        </is>
      </c>
      <c r="R29" s="243" t="n">
        <v>9.84</v>
      </c>
      <c r="S29" s="244" t="inlineStr">
        <is>
          <t>A+</t>
        </is>
      </c>
      <c r="T29" s="243" t="n">
        <v>9.84</v>
      </c>
      <c r="U29" s="244" t="inlineStr">
        <is>
          <t>A+</t>
        </is>
      </c>
      <c r="V29" s="244" t="inlineStr">
        <is>
          <t>S</t>
        </is>
      </c>
      <c r="W29" s="244" t="inlineStr">
        <is>
          <t>PROMOVIDO</t>
        </is>
      </c>
    </row>
    <row r="30" ht="13.55" customHeight="1" s="225">
      <c r="A30" s="241" t="n">
        <v>27</v>
      </c>
      <c r="B30" s="242" t="inlineStr">
        <is>
          <t>0152046009</t>
        </is>
      </c>
      <c r="C30" s="242" t="inlineStr">
        <is>
          <t>VIZHÑAY SOLIZ LUIS MATEO</t>
        </is>
      </c>
      <c r="D30" s="243" t="n">
        <v>8.630000000000001</v>
      </c>
      <c r="E30" s="244" t="inlineStr">
        <is>
          <t>A-</t>
        </is>
      </c>
      <c r="F30" s="243" t="n">
        <v>8.74</v>
      </c>
      <c r="G30" s="244" t="inlineStr">
        <is>
          <t>A-</t>
        </is>
      </c>
      <c r="H30" s="243" t="n">
        <v>8.9</v>
      </c>
      <c r="I30" s="244" t="inlineStr">
        <is>
          <t>A-</t>
        </is>
      </c>
      <c r="J30" s="243" t="n">
        <v>8.98</v>
      </c>
      <c r="K30" s="244" t="inlineStr">
        <is>
          <t>A-</t>
        </is>
      </c>
      <c r="L30" s="243" t="n">
        <v>8.609999999999999</v>
      </c>
      <c r="M30" s="244" t="inlineStr">
        <is>
          <t>A-</t>
        </is>
      </c>
      <c r="N30" s="243" t="n">
        <v>8.48</v>
      </c>
      <c r="O30" s="244" t="inlineStr">
        <is>
          <t>B+</t>
        </is>
      </c>
      <c r="P30" s="243" t="n">
        <v>9.18</v>
      </c>
      <c r="Q30" s="244" t="inlineStr">
        <is>
          <t>A-</t>
        </is>
      </c>
      <c r="R30" s="243" t="n">
        <v>8.630000000000001</v>
      </c>
      <c r="S30" s="244" t="inlineStr">
        <is>
          <t>A+</t>
        </is>
      </c>
      <c r="T30" s="243" t="n">
        <v>8.789999999999999</v>
      </c>
      <c r="U30" s="244" t="inlineStr">
        <is>
          <t>A-</t>
        </is>
      </c>
      <c r="V30" s="244" t="inlineStr">
        <is>
          <t>S</t>
        </is>
      </c>
      <c r="W30" s="244" t="inlineStr">
        <is>
          <t>PROMOVIDO</t>
        </is>
      </c>
    </row>
    <row r="31" ht="13.55" customHeight="1" s="225">
      <c r="A31" s="241" t="n">
        <v>28</v>
      </c>
      <c r="B31" s="242" t="inlineStr">
        <is>
          <t>0151998051</t>
        </is>
      </c>
      <c r="C31" s="242" t="inlineStr">
        <is>
          <t>ZHUMILIMA CAMPOVERDE MILAGRO DEL CISNE</t>
        </is>
      </c>
      <c r="D31" s="243" t="n">
        <v>8.210000000000001</v>
      </c>
      <c r="E31" s="244" t="inlineStr">
        <is>
          <t>B+</t>
        </is>
      </c>
      <c r="F31" s="243" t="n">
        <v>7.78</v>
      </c>
      <c r="G31" s="244" t="inlineStr">
        <is>
          <t>B+</t>
        </is>
      </c>
      <c r="H31" s="243" t="n">
        <v>9.23</v>
      </c>
      <c r="I31" s="244" t="inlineStr">
        <is>
          <t>A-</t>
        </is>
      </c>
      <c r="J31" s="243" t="n">
        <v>8.73</v>
      </c>
      <c r="K31" s="244" t="inlineStr">
        <is>
          <t>A-</t>
        </is>
      </c>
      <c r="L31" s="243" t="n">
        <v>7.79</v>
      </c>
      <c r="M31" s="244" t="inlineStr">
        <is>
          <t>B+</t>
        </is>
      </c>
      <c r="N31" s="243" t="n">
        <v>8.85</v>
      </c>
      <c r="O31" s="244" t="inlineStr">
        <is>
          <t>A-</t>
        </is>
      </c>
      <c r="P31" s="243" t="n">
        <v>8.06</v>
      </c>
      <c r="Q31" s="244" t="inlineStr">
        <is>
          <t>B+</t>
        </is>
      </c>
      <c r="R31" s="243" t="n">
        <v>8.59</v>
      </c>
      <c r="S31" s="244" t="inlineStr">
        <is>
          <t>A+</t>
        </is>
      </c>
      <c r="T31" s="243" t="n">
        <v>8.380000000000001</v>
      </c>
      <c r="U31" s="244" t="inlineStr">
        <is>
          <t>B+</t>
        </is>
      </c>
      <c r="V31" s="244" t="inlineStr">
        <is>
          <t>S</t>
        </is>
      </c>
      <c r="W31" s="244" t="inlineStr">
        <is>
          <t>PROMOVIDO</t>
        </is>
      </c>
    </row>
    <row r="32" ht="13.55" customHeight="1" s="225">
      <c r="A32" s="241" t="n">
        <v>29</v>
      </c>
      <c r="B32" s="242" t="inlineStr">
        <is>
          <t>0152056628</t>
        </is>
      </c>
      <c r="C32" s="242" t="inlineStr">
        <is>
          <t>ÑAUTA BARRETO MATEO ARIEL</t>
        </is>
      </c>
      <c r="D32" s="243" t="n">
        <v>9.41</v>
      </c>
      <c r="E32" s="244" t="inlineStr">
        <is>
          <t>A-</t>
        </is>
      </c>
      <c r="F32" s="243" t="n">
        <v>9.4</v>
      </c>
      <c r="G32" s="244" t="inlineStr">
        <is>
          <t>A-</t>
        </is>
      </c>
      <c r="H32" s="243" t="n">
        <v>9.380000000000001</v>
      </c>
      <c r="I32" s="244" t="inlineStr">
        <is>
          <t>A-</t>
        </is>
      </c>
      <c r="J32" s="243" t="n">
        <v>9.5</v>
      </c>
      <c r="K32" s="244" t="inlineStr">
        <is>
          <t>A+</t>
        </is>
      </c>
      <c r="L32" s="243" t="n">
        <v>9.1</v>
      </c>
      <c r="M32" s="244" t="inlineStr">
        <is>
          <t>A-</t>
        </is>
      </c>
      <c r="N32" s="243" t="n">
        <v>9.210000000000001</v>
      </c>
      <c r="O32" s="244" t="inlineStr">
        <is>
          <t>A-</t>
        </is>
      </c>
      <c r="P32" s="243" t="n">
        <v>9.470000000000001</v>
      </c>
      <c r="Q32" s="244" t="inlineStr">
        <is>
          <t>A-</t>
        </is>
      </c>
      <c r="R32" s="243" t="n">
        <v>9.4</v>
      </c>
      <c r="S32" s="244" t="inlineStr">
        <is>
          <t>A+</t>
        </is>
      </c>
      <c r="T32" s="243" t="n">
        <v>9.35</v>
      </c>
      <c r="U32" s="244" t="inlineStr">
        <is>
          <t>A-</t>
        </is>
      </c>
      <c r="V32" s="244" t="inlineStr">
        <is>
          <t>S</t>
        </is>
      </c>
      <c r="W32" s="244" t="inlineStr">
        <is>
          <t>PROMOVIDO</t>
        </is>
      </c>
    </row>
    <row r="33" ht="13.55" customHeight="1" s="225">
      <c r="A33" s="241" t="n">
        <v>30</v>
      </c>
      <c r="B33" s="242" t="inlineStr">
        <is>
          <t>0152056628</t>
        </is>
      </c>
      <c r="C33" s="245" t="inlineStr">
        <is>
          <t>ZHINDON ROBLES SNEYDER ALEXANDER</t>
        </is>
      </c>
      <c r="D33" s="246" t="n">
        <v>7.64</v>
      </c>
      <c r="E33" s="244" t="inlineStr">
        <is>
          <t>B+</t>
        </is>
      </c>
      <c r="F33" s="246" t="n">
        <v>8.24</v>
      </c>
      <c r="G33" s="244" t="inlineStr">
        <is>
          <t>B+</t>
        </is>
      </c>
      <c r="H33" s="246" t="n">
        <v>8.33</v>
      </c>
      <c r="I33" s="244" t="inlineStr">
        <is>
          <t>B+</t>
        </is>
      </c>
      <c r="J33" s="246" t="n">
        <v>8.130000000000001</v>
      </c>
      <c r="K33" s="244" t="inlineStr">
        <is>
          <t>B+</t>
        </is>
      </c>
      <c r="L33" s="246" t="n">
        <v>7.79</v>
      </c>
      <c r="M33" s="244" t="inlineStr">
        <is>
          <t>B+</t>
        </is>
      </c>
      <c r="N33" s="246" t="n">
        <v>7.93</v>
      </c>
      <c r="O33" s="244" t="inlineStr">
        <is>
          <t>B+</t>
        </is>
      </c>
      <c r="P33" s="246" t="n">
        <v>7.82</v>
      </c>
      <c r="Q33" s="244" t="inlineStr">
        <is>
          <t>B+</t>
        </is>
      </c>
      <c r="R33" s="243" t="n">
        <v>7.14</v>
      </c>
      <c r="S33" s="244" t="inlineStr">
        <is>
          <t>A+</t>
        </is>
      </c>
      <c r="T33" s="243" t="n">
        <v>7.98</v>
      </c>
      <c r="U33" s="244" t="inlineStr">
        <is>
          <t>B+</t>
        </is>
      </c>
      <c r="V33" s="244" t="inlineStr">
        <is>
          <t>S</t>
        </is>
      </c>
      <c r="W33" s="244" t="inlineStr">
        <is>
          <t>PROMOVIDO</t>
        </is>
      </c>
    </row>
  </sheetData>
  <mergeCells count="16">
    <mergeCell ref="L2:M2"/>
    <mergeCell ref="F2:G2"/>
    <mergeCell ref="H2:I2"/>
    <mergeCell ref="D2:E2"/>
    <mergeCell ref="A1:C1"/>
    <mergeCell ref="U2:U3"/>
    <mergeCell ref="C2:C3"/>
    <mergeCell ref="J2:K2"/>
    <mergeCell ref="N2:O2"/>
    <mergeCell ref="P2:Q2"/>
    <mergeCell ref="D1:W1"/>
    <mergeCell ref="B2:B3"/>
    <mergeCell ref="A2:A3"/>
    <mergeCell ref="V2:V3"/>
    <mergeCell ref="T2:T3"/>
    <mergeCell ref="W2:W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38" customWidth="1" style="225" min="3" max="3"/>
    <col width="6" customWidth="1" style="225" min="4" max="4"/>
    <col width="8.851559999999999" customWidth="1" style="225" min="23" max="23"/>
  </cols>
  <sheetData>
    <row r="1" ht="25" customHeight="1" s="225">
      <c r="A1" s="226" t="inlineStr">
        <is>
          <t>DATOS INFORMATIVOS
ESTUDIANTES</t>
        </is>
      </c>
      <c r="B1" s="255" t="n"/>
      <c r="C1" s="256" t="n"/>
      <c r="D1" s="269" t="inlineStr">
        <is>
          <t>LENGUA Y LITERATURA</t>
        </is>
      </c>
      <c r="E1" s="256" t="n"/>
      <c r="F1" s="258" t="inlineStr">
        <is>
          <t>MATEMÁTICA</t>
        </is>
      </c>
      <c r="G1" s="256" t="n"/>
      <c r="H1" s="259" t="inlineStr">
        <is>
          <t>CIENCIAS NATURALES</t>
        </is>
      </c>
      <c r="I1" s="256" t="n"/>
      <c r="J1" s="260" t="inlineStr">
        <is>
          <t>ESTUDIOS SOCIALES</t>
        </is>
      </c>
      <c r="K1" s="256" t="n"/>
      <c r="L1" s="261" t="inlineStr">
        <is>
          <t>INGLÉS</t>
        </is>
      </c>
      <c r="M1" s="256" t="n"/>
      <c r="N1" s="262" t="inlineStr">
        <is>
          <t>ECA</t>
        </is>
      </c>
      <c r="O1" s="256" t="n"/>
      <c r="P1" s="263" t="inlineStr">
        <is>
          <t>EDUCACIÓN FÍSICA</t>
        </is>
      </c>
      <c r="Q1" s="256" t="n"/>
      <c r="R1" s="264" t="inlineStr">
        <is>
          <t>ANIMACIÓN
A LA</t>
        </is>
      </c>
      <c r="S1" s="264" t="inlineStr">
        <is>
          <t>CAI</t>
        </is>
      </c>
      <c r="T1" s="265" t="inlineStr">
        <is>
          <t>PROMEDIO</t>
        </is>
      </c>
      <c r="U1" s="265" t="inlineStr">
        <is>
          <t>CUALITATIVA</t>
        </is>
      </c>
      <c r="V1" s="265" t="inlineStr">
        <is>
          <t>COMPORTAMIEN.</t>
        </is>
      </c>
    </row>
    <row r="2" ht="45" customHeight="1" s="225">
      <c r="A2" s="238" t="inlineStr">
        <is>
          <t>N°</t>
        </is>
      </c>
      <c r="B2" s="238" t="inlineStr">
        <is>
          <t>CÉDULA</t>
        </is>
      </c>
      <c r="C2" s="238" t="inlineStr">
        <is>
          <t>APELLIDOS/NOMBRES</t>
        </is>
      </c>
      <c r="D2" s="270" t="inlineStr">
        <is>
          <t>NOTA</t>
        </is>
      </c>
      <c r="E2" s="270" t="inlineStr">
        <is>
          <t>CUALIT.</t>
        </is>
      </c>
      <c r="F2" s="270" t="inlineStr">
        <is>
          <t>NOTA</t>
        </is>
      </c>
      <c r="G2" s="270" t="inlineStr">
        <is>
          <t>CUALIT.</t>
        </is>
      </c>
      <c r="H2" s="270" t="inlineStr">
        <is>
          <t>NOTA</t>
        </is>
      </c>
      <c r="I2" s="270" t="inlineStr">
        <is>
          <t>CUALIT.</t>
        </is>
      </c>
      <c r="J2" s="270" t="inlineStr">
        <is>
          <t>NOTA</t>
        </is>
      </c>
      <c r="K2" s="270" t="inlineStr">
        <is>
          <t>CUALIT.</t>
        </is>
      </c>
      <c r="L2" s="270" t="inlineStr">
        <is>
          <t>NOTA</t>
        </is>
      </c>
      <c r="M2" s="270" t="inlineStr">
        <is>
          <t>CUALIT.</t>
        </is>
      </c>
      <c r="N2" s="270" t="inlineStr">
        <is>
          <t>NOTA</t>
        </is>
      </c>
      <c r="O2" s="270" t="inlineStr">
        <is>
          <t>CUALIT.</t>
        </is>
      </c>
      <c r="P2" s="270" t="inlineStr">
        <is>
          <t>NOTA</t>
        </is>
      </c>
      <c r="Q2" s="270" t="inlineStr">
        <is>
          <t>CUALIT.</t>
        </is>
      </c>
      <c r="R2" s="270" t="inlineStr">
        <is>
          <t>NOTA</t>
        </is>
      </c>
      <c r="S2" s="270" t="inlineStr">
        <is>
          <t>NOTA</t>
        </is>
      </c>
      <c r="T2" s="257" t="n"/>
      <c r="U2" s="257" t="n"/>
      <c r="V2" s="257" t="n"/>
    </row>
    <row r="3" ht="13.55" customHeight="1" s="225">
      <c r="A3" s="241" t="n">
        <v>1</v>
      </c>
      <c r="B3" s="242" t="inlineStr">
        <is>
          <t>0109158231</t>
        </is>
      </c>
      <c r="C3" s="242" t="inlineStr">
        <is>
          <t>ACOSTA RODRIGUEZ AARON MANUEL</t>
        </is>
      </c>
      <c r="D3" s="243" t="n">
        <v>9.42</v>
      </c>
      <c r="E3" s="244" t="inlineStr">
        <is>
          <t>A-</t>
        </is>
      </c>
      <c r="F3" s="243" t="n">
        <v>9.130000000000001</v>
      </c>
      <c r="G3" s="244" t="inlineStr">
        <is>
          <t>A-</t>
        </is>
      </c>
      <c r="H3" s="243" t="n">
        <v>9.44</v>
      </c>
      <c r="I3" s="244" t="inlineStr">
        <is>
          <t>A-</t>
        </is>
      </c>
      <c r="J3" s="243" t="n">
        <v>9.390000000000001</v>
      </c>
      <c r="K3" s="244" t="inlineStr">
        <is>
          <t>A-</t>
        </is>
      </c>
      <c r="L3" s="243" t="n">
        <v>9.24</v>
      </c>
      <c r="M3" s="244" t="inlineStr">
        <is>
          <t>A-</t>
        </is>
      </c>
      <c r="N3" s="243" t="n">
        <v>9.5</v>
      </c>
      <c r="O3" s="244" t="inlineStr">
        <is>
          <t>A+</t>
        </is>
      </c>
      <c r="P3" s="243" t="n">
        <v>9.130000000000001</v>
      </c>
      <c r="Q3" s="244" t="inlineStr">
        <is>
          <t>A-</t>
        </is>
      </c>
      <c r="R3" s="244" t="inlineStr">
        <is>
          <t>A-</t>
        </is>
      </c>
      <c r="S3" s="244" t="inlineStr">
        <is>
          <t>A-</t>
        </is>
      </c>
      <c r="T3" s="243" t="n">
        <v>9.32</v>
      </c>
      <c r="U3" s="244" t="inlineStr">
        <is>
          <t>A-</t>
        </is>
      </c>
      <c r="V3" s="244" t="inlineStr">
        <is>
          <t>B</t>
        </is>
      </c>
    </row>
    <row r="4" ht="13.55" customHeight="1" s="225">
      <c r="A4" s="241" t="n">
        <v>2</v>
      </c>
      <c r="B4" s="242" t="inlineStr">
        <is>
          <t>0151954325</t>
        </is>
      </c>
      <c r="C4" s="245" t="inlineStr">
        <is>
          <t>ARMAS ASMAL YESLY SOFIA</t>
        </is>
      </c>
      <c r="D4" s="243" t="n">
        <v>8.81</v>
      </c>
      <c r="E4" s="244" t="inlineStr">
        <is>
          <t>A-</t>
        </is>
      </c>
      <c r="F4" s="243" t="n">
        <v>8.52</v>
      </c>
      <c r="G4" s="244" t="inlineStr">
        <is>
          <t>A-</t>
        </is>
      </c>
      <c r="H4" s="243" t="n">
        <v>8.26</v>
      </c>
      <c r="I4" s="244" t="inlineStr">
        <is>
          <t>B+</t>
        </is>
      </c>
      <c r="J4" s="243" t="n">
        <v>8.77</v>
      </c>
      <c r="K4" s="244" t="inlineStr">
        <is>
          <t>A-</t>
        </is>
      </c>
      <c r="L4" s="246" t="n">
        <v>8.550000000000001</v>
      </c>
      <c r="M4" s="244" t="inlineStr">
        <is>
          <t>A-</t>
        </is>
      </c>
      <c r="N4" s="243" t="n">
        <v>9.48</v>
      </c>
      <c r="O4" s="244" t="inlineStr">
        <is>
          <t>A-</t>
        </is>
      </c>
      <c r="P4" s="243" t="n">
        <v>8.720000000000001</v>
      </c>
      <c r="Q4" s="244" t="inlineStr">
        <is>
          <t>A-</t>
        </is>
      </c>
      <c r="R4" s="244" t="inlineStr">
        <is>
          <t>A-</t>
        </is>
      </c>
      <c r="S4" s="244" t="inlineStr">
        <is>
          <t>A+</t>
        </is>
      </c>
      <c r="T4" s="243" t="n">
        <v>8.73</v>
      </c>
      <c r="U4" s="244" t="inlineStr">
        <is>
          <t>A-</t>
        </is>
      </c>
      <c r="V4" s="244" t="inlineStr">
        <is>
          <t>B</t>
        </is>
      </c>
    </row>
    <row r="5" ht="13.55" customHeight="1" s="225">
      <c r="A5" s="241" t="n">
        <v>3</v>
      </c>
      <c r="B5" s="242" t="inlineStr">
        <is>
          <t>0151808936</t>
        </is>
      </c>
      <c r="C5" s="245" t="inlineStr">
        <is>
          <t>ARMIJOS GUZÑAY JOSELINE SAMANTHA</t>
        </is>
      </c>
      <c r="D5" s="243" t="n">
        <v>9.460000000000001</v>
      </c>
      <c r="E5" s="244" t="inlineStr">
        <is>
          <t>A-</t>
        </is>
      </c>
      <c r="F5" s="243" t="n">
        <v>9.26</v>
      </c>
      <c r="G5" s="244" t="inlineStr">
        <is>
          <t>A-</t>
        </is>
      </c>
      <c r="H5" s="243" t="n">
        <v>9.48</v>
      </c>
      <c r="I5" s="244" t="inlineStr">
        <is>
          <t>A-</t>
        </is>
      </c>
      <c r="J5" s="243" t="n">
        <v>9.42</v>
      </c>
      <c r="K5" s="244" t="inlineStr">
        <is>
          <t>A-</t>
        </is>
      </c>
      <c r="L5" s="246" t="n">
        <v>9.18</v>
      </c>
      <c r="M5" s="244" t="inlineStr">
        <is>
          <t>A-</t>
        </is>
      </c>
      <c r="N5" s="243" t="n">
        <v>9.630000000000001</v>
      </c>
      <c r="O5" s="244" t="inlineStr">
        <is>
          <t>A+</t>
        </is>
      </c>
      <c r="P5" s="243" t="n">
        <v>9.279999999999999</v>
      </c>
      <c r="Q5" s="244" t="inlineStr">
        <is>
          <t>A-</t>
        </is>
      </c>
      <c r="R5" s="244" t="inlineStr">
        <is>
          <t>A+</t>
        </is>
      </c>
      <c r="S5" s="244" t="inlineStr">
        <is>
          <t>A+</t>
        </is>
      </c>
      <c r="T5" s="243" t="n">
        <v>9.390000000000001</v>
      </c>
      <c r="U5" s="244" t="inlineStr">
        <is>
          <t>A-</t>
        </is>
      </c>
      <c r="V5" s="244" t="inlineStr">
        <is>
          <t>B</t>
        </is>
      </c>
    </row>
    <row r="6" ht="13.55" customHeight="1" s="225">
      <c r="A6" s="241" t="n">
        <v>4</v>
      </c>
      <c r="B6" s="242" t="inlineStr">
        <is>
          <t>0152010856</t>
        </is>
      </c>
      <c r="C6" s="245" t="inlineStr">
        <is>
          <t>BARRERA MENDOZA KEVIN ALEJANDRO</t>
        </is>
      </c>
      <c r="D6" s="243" t="n">
        <v>9.5</v>
      </c>
      <c r="E6" s="244" t="inlineStr">
        <is>
          <t>A-</t>
        </is>
      </c>
      <c r="F6" s="243" t="n">
        <v>9.289999999999999</v>
      </c>
      <c r="G6" s="244" t="inlineStr">
        <is>
          <t>A-</t>
        </is>
      </c>
      <c r="H6" s="243" t="n">
        <v>9.289999999999999</v>
      </c>
      <c r="I6" s="244" t="inlineStr">
        <is>
          <t>A-</t>
        </is>
      </c>
      <c r="J6" s="243" t="n">
        <v>9.449999999999999</v>
      </c>
      <c r="K6" s="244" t="inlineStr">
        <is>
          <t>A-</t>
        </is>
      </c>
      <c r="L6" s="246" t="n">
        <v>9.02</v>
      </c>
      <c r="M6" s="244" t="inlineStr">
        <is>
          <t>A-</t>
        </is>
      </c>
      <c r="N6" s="243" t="n">
        <v>9.5</v>
      </c>
      <c r="O6" s="244" t="inlineStr">
        <is>
          <t>A-</t>
        </is>
      </c>
      <c r="P6" s="243" t="n">
        <v>9.01</v>
      </c>
      <c r="Q6" s="244" t="inlineStr">
        <is>
          <t>A-</t>
        </is>
      </c>
      <c r="R6" s="244" t="inlineStr">
        <is>
          <t>A-</t>
        </is>
      </c>
      <c r="S6" s="244" t="inlineStr">
        <is>
          <t>A-</t>
        </is>
      </c>
      <c r="T6" s="246" t="n">
        <v>9.289999999999999</v>
      </c>
      <c r="U6" s="244" t="inlineStr">
        <is>
          <t>A-</t>
        </is>
      </c>
      <c r="V6" s="244" t="inlineStr">
        <is>
          <t>B</t>
        </is>
      </c>
    </row>
    <row r="7" ht="13.55" customHeight="1" s="225">
      <c r="A7" s="241" t="n">
        <v>5</v>
      </c>
      <c r="B7" s="242" t="inlineStr">
        <is>
          <t>0151917895</t>
        </is>
      </c>
      <c r="C7" s="245" t="inlineStr">
        <is>
          <t>CAGUANA LANDI YESLY SOFIA</t>
        </is>
      </c>
      <c r="D7" s="246" t="n">
        <v>8.42</v>
      </c>
      <c r="E7" s="244" t="inlineStr">
        <is>
          <t>B+</t>
        </is>
      </c>
      <c r="F7" s="243" t="n">
        <v>8.32</v>
      </c>
      <c r="G7" s="244" t="inlineStr">
        <is>
          <t>B+</t>
        </is>
      </c>
      <c r="H7" s="243" t="n">
        <v>8.24</v>
      </c>
      <c r="I7" s="244" t="inlineStr">
        <is>
          <t>B+</t>
        </is>
      </c>
      <c r="J7" s="243" t="n">
        <v>8.69</v>
      </c>
      <c r="K7" s="244" t="inlineStr">
        <is>
          <t>A-</t>
        </is>
      </c>
      <c r="L7" s="246" t="n">
        <v>8.199999999999999</v>
      </c>
      <c r="M7" s="244" t="inlineStr">
        <is>
          <t>B+</t>
        </is>
      </c>
      <c r="N7" s="243" t="n">
        <v>9.4</v>
      </c>
      <c r="O7" s="244" t="inlineStr">
        <is>
          <t>A-</t>
        </is>
      </c>
      <c r="P7" s="243" t="n">
        <v>8.52</v>
      </c>
      <c r="Q7" s="244" t="inlineStr">
        <is>
          <t>A-</t>
        </is>
      </c>
      <c r="R7" s="244" t="inlineStr">
        <is>
          <t>A-</t>
        </is>
      </c>
      <c r="S7" s="244" t="inlineStr">
        <is>
          <t>A-</t>
        </is>
      </c>
      <c r="T7" s="246" t="n">
        <v>8.539999999999999</v>
      </c>
      <c r="U7" s="244" t="inlineStr">
        <is>
          <t>A-</t>
        </is>
      </c>
      <c r="V7" s="244" t="inlineStr">
        <is>
          <t>B</t>
        </is>
      </c>
    </row>
    <row r="8" ht="13.55" customHeight="1" s="225">
      <c r="A8" s="241" t="n">
        <v>6</v>
      </c>
      <c r="B8" s="242" t="inlineStr">
        <is>
          <t>0151288009</t>
        </is>
      </c>
      <c r="C8" s="245" t="inlineStr">
        <is>
          <t>CANAR LLANGARI JONATHAN SEBASTIAN</t>
        </is>
      </c>
      <c r="D8" s="243" t="n">
        <v>7.83</v>
      </c>
      <c r="E8" s="244" t="inlineStr">
        <is>
          <t>B+</t>
        </is>
      </c>
      <c r="F8" s="243" t="n">
        <v>8.279999999999999</v>
      </c>
      <c r="G8" s="244" t="inlineStr">
        <is>
          <t>B+</t>
        </is>
      </c>
      <c r="H8" s="243" t="n">
        <v>7.91</v>
      </c>
      <c r="I8" s="244" t="inlineStr">
        <is>
          <t>B+</t>
        </is>
      </c>
      <c r="J8" s="243" t="n">
        <v>8.07</v>
      </c>
      <c r="K8" s="244" t="inlineStr">
        <is>
          <t>B+</t>
        </is>
      </c>
      <c r="L8" s="246" t="n">
        <v>7.37</v>
      </c>
      <c r="M8" s="244" t="inlineStr">
        <is>
          <t>B-</t>
        </is>
      </c>
      <c r="N8" s="243" t="n">
        <v>8.83</v>
      </c>
      <c r="O8" s="244" t="inlineStr">
        <is>
          <t>A-</t>
        </is>
      </c>
      <c r="P8" s="243" t="n">
        <v>8.23</v>
      </c>
      <c r="Q8" s="244" t="inlineStr">
        <is>
          <t>B+</t>
        </is>
      </c>
      <c r="R8" s="244" t="inlineStr">
        <is>
          <t>A-</t>
        </is>
      </c>
      <c r="S8" s="244" t="inlineStr">
        <is>
          <t>A-</t>
        </is>
      </c>
      <c r="T8" s="243" t="n">
        <v>8.08</v>
      </c>
      <c r="U8" s="244" t="inlineStr">
        <is>
          <t>B+</t>
        </is>
      </c>
      <c r="V8" s="244" t="inlineStr">
        <is>
          <t>B</t>
        </is>
      </c>
    </row>
    <row r="9" ht="13.55" customHeight="1" s="225">
      <c r="A9" s="241" t="n">
        <v>7</v>
      </c>
      <c r="B9" s="242" t="inlineStr">
        <is>
          <t>0151917606</t>
        </is>
      </c>
      <c r="C9" s="245" t="inlineStr">
        <is>
          <t>DELGADO PONCE ANGELICA AINHOA</t>
        </is>
      </c>
      <c r="D9" s="243" t="n">
        <v>9.26</v>
      </c>
      <c r="E9" s="244" t="inlineStr">
        <is>
          <t>A-</t>
        </is>
      </c>
      <c r="F9" s="243" t="n">
        <v>8.74</v>
      </c>
      <c r="G9" s="244" t="inlineStr">
        <is>
          <t>A-</t>
        </is>
      </c>
      <c r="H9" s="243" t="n">
        <v>9.18</v>
      </c>
      <c r="I9" s="244" t="inlineStr">
        <is>
          <t>A-</t>
        </is>
      </c>
      <c r="J9" s="243" t="n">
        <v>9.220000000000001</v>
      </c>
      <c r="K9" s="244" t="inlineStr">
        <is>
          <t>A-</t>
        </is>
      </c>
      <c r="L9" s="246" t="n">
        <v>8.67</v>
      </c>
      <c r="M9" s="244" t="inlineStr">
        <is>
          <t>A-</t>
        </is>
      </c>
      <c r="N9" s="243" t="n">
        <v>9.5</v>
      </c>
      <c r="O9" s="244" t="inlineStr">
        <is>
          <t>A+</t>
        </is>
      </c>
      <c r="P9" s="243" t="n">
        <v>9.08</v>
      </c>
      <c r="Q9" s="244" t="inlineStr">
        <is>
          <t>A-</t>
        </is>
      </c>
      <c r="R9" s="244" t="inlineStr">
        <is>
          <t>A-</t>
        </is>
      </c>
      <c r="S9" s="244" t="inlineStr">
        <is>
          <t>A-</t>
        </is>
      </c>
      <c r="T9" s="243" t="n">
        <v>9.09</v>
      </c>
      <c r="U9" s="244" t="inlineStr">
        <is>
          <t>A-</t>
        </is>
      </c>
      <c r="V9" s="244" t="inlineStr">
        <is>
          <t>B</t>
        </is>
      </c>
    </row>
    <row r="10" ht="13.55" customHeight="1" s="225">
      <c r="A10" s="241" t="n">
        <v>8</v>
      </c>
      <c r="B10" s="242" t="inlineStr">
        <is>
          <t>0151749256</t>
        </is>
      </c>
      <c r="C10" s="245" t="inlineStr">
        <is>
          <t>ESPINOZA ANDRADE ALEX XAVIER</t>
        </is>
      </c>
      <c r="D10" s="243" t="n">
        <v>7.13</v>
      </c>
      <c r="E10" s="244" t="inlineStr">
        <is>
          <t>B-</t>
        </is>
      </c>
      <c r="F10" s="243" t="n">
        <v>7.42</v>
      </c>
      <c r="G10" s="244" t="inlineStr">
        <is>
          <t>B-</t>
        </is>
      </c>
      <c r="H10" s="243" t="n">
        <v>7.44</v>
      </c>
      <c r="I10" s="244" t="inlineStr">
        <is>
          <t>B-</t>
        </is>
      </c>
      <c r="J10" s="243" t="n">
        <v>7.61</v>
      </c>
      <c r="K10" s="244" t="inlineStr">
        <is>
          <t>B+</t>
        </is>
      </c>
      <c r="L10" s="246" t="n">
        <v>8.630000000000001</v>
      </c>
      <c r="M10" s="244" t="inlineStr">
        <is>
          <t>A-</t>
        </is>
      </c>
      <c r="N10" s="243" t="n">
        <v>8.42</v>
      </c>
      <c r="O10" s="244" t="inlineStr">
        <is>
          <t>B+</t>
        </is>
      </c>
      <c r="P10" s="243" t="n">
        <v>8.07</v>
      </c>
      <c r="Q10" s="244" t="inlineStr">
        <is>
          <t>B+</t>
        </is>
      </c>
      <c r="R10" s="244" t="inlineStr">
        <is>
          <t>A-</t>
        </is>
      </c>
      <c r="S10" s="244" t="inlineStr">
        <is>
          <t>A-</t>
        </is>
      </c>
      <c r="T10" s="246" t="n">
        <v>7.82</v>
      </c>
      <c r="U10" s="244" t="inlineStr">
        <is>
          <t>B+</t>
        </is>
      </c>
      <c r="V10" s="244" t="inlineStr">
        <is>
          <t>B</t>
        </is>
      </c>
    </row>
    <row r="11" ht="13.55" customHeight="1" s="225">
      <c r="A11" s="241" t="n">
        <v>9</v>
      </c>
      <c r="B11" s="242" t="inlineStr">
        <is>
          <t>0106613753</t>
        </is>
      </c>
      <c r="C11" s="242" t="inlineStr">
        <is>
          <t>FIGUEREDO MOLINA MONICA SOFIA</t>
        </is>
      </c>
      <c r="D11" s="243" t="n">
        <v>8.99</v>
      </c>
      <c r="E11" s="244" t="inlineStr">
        <is>
          <t>A-</t>
        </is>
      </c>
      <c r="F11" s="243" t="n">
        <v>8.41</v>
      </c>
      <c r="G11" s="244" t="inlineStr">
        <is>
          <t>B+</t>
        </is>
      </c>
      <c r="H11" s="243" t="n">
        <v>8.94</v>
      </c>
      <c r="I11" s="244" t="inlineStr">
        <is>
          <t>A-</t>
        </is>
      </c>
      <c r="J11" s="243" t="n">
        <v>8.699999999999999</v>
      </c>
      <c r="K11" s="244" t="inlineStr">
        <is>
          <t>A-</t>
        </is>
      </c>
      <c r="L11" s="243" t="n">
        <v>8.109999999999999</v>
      </c>
      <c r="M11" s="244" t="inlineStr">
        <is>
          <t>B+</t>
        </is>
      </c>
      <c r="N11" s="243" t="n">
        <v>9.4</v>
      </c>
      <c r="O11" s="244" t="inlineStr">
        <is>
          <t>A-</t>
        </is>
      </c>
      <c r="P11" s="243" t="n">
        <v>8.449999999999999</v>
      </c>
      <c r="Q11" s="244" t="inlineStr">
        <is>
          <t>B+</t>
        </is>
      </c>
      <c r="R11" s="244" t="inlineStr">
        <is>
          <t>A-</t>
        </is>
      </c>
      <c r="S11" s="244" t="inlineStr">
        <is>
          <t>A+</t>
        </is>
      </c>
      <c r="T11" s="243" t="n">
        <v>8.720000000000001</v>
      </c>
      <c r="U11" s="244" t="inlineStr">
        <is>
          <t>A-</t>
        </is>
      </c>
      <c r="V11" s="244" t="inlineStr">
        <is>
          <t>B</t>
        </is>
      </c>
    </row>
    <row r="12" ht="13.55" customHeight="1" s="225">
      <c r="A12" s="241" t="n">
        <v>10</v>
      </c>
      <c r="B12" s="242" t="inlineStr">
        <is>
          <t>0151974938</t>
        </is>
      </c>
      <c r="C12" s="245" t="inlineStr">
        <is>
          <t>GUAMAN MARTOS CHRISTIAN FERNANDO</t>
        </is>
      </c>
      <c r="D12" s="243" t="n">
        <v>9.18</v>
      </c>
      <c r="E12" s="244" t="inlineStr">
        <is>
          <t>A-</t>
        </is>
      </c>
      <c r="F12" s="243" t="n">
        <v>8.5</v>
      </c>
      <c r="G12" s="244" t="inlineStr">
        <is>
          <t>A-</t>
        </is>
      </c>
      <c r="H12" s="243" t="n">
        <v>9.44</v>
      </c>
      <c r="I12" s="244" t="inlineStr">
        <is>
          <t>A-</t>
        </is>
      </c>
      <c r="J12" s="243" t="n">
        <v>9.289999999999999</v>
      </c>
      <c r="K12" s="244" t="inlineStr">
        <is>
          <t>A-</t>
        </is>
      </c>
      <c r="L12" s="246" t="n">
        <v>8.869999999999999</v>
      </c>
      <c r="M12" s="244" t="inlineStr">
        <is>
          <t>A-</t>
        </is>
      </c>
      <c r="N12" s="243" t="n">
        <v>9.5</v>
      </c>
      <c r="O12" s="244" t="inlineStr">
        <is>
          <t>A+</t>
        </is>
      </c>
      <c r="P12" s="243" t="n">
        <v>9.01</v>
      </c>
      <c r="Q12" s="244" t="inlineStr">
        <is>
          <t>A-</t>
        </is>
      </c>
      <c r="R12" s="244" t="inlineStr">
        <is>
          <t>A-</t>
        </is>
      </c>
      <c r="S12" s="244" t="inlineStr">
        <is>
          <t>A+</t>
        </is>
      </c>
      <c r="T12" s="243" t="n">
        <v>9.109999999999999</v>
      </c>
      <c r="U12" s="244" t="inlineStr">
        <is>
          <t>A-</t>
        </is>
      </c>
      <c r="V12" s="244" t="inlineStr">
        <is>
          <t>B</t>
        </is>
      </c>
    </row>
    <row r="13" ht="13.55" customHeight="1" s="225">
      <c r="A13" s="241" t="n">
        <v>11</v>
      </c>
      <c r="B13" s="242" t="inlineStr">
        <is>
          <t>0151890852</t>
        </is>
      </c>
      <c r="C13" s="242" t="inlineStr">
        <is>
          <t>LLAPA BUESTAN DYLAN AUGUSTO</t>
        </is>
      </c>
      <c r="D13" s="243" t="n">
        <v>9.119999999999999</v>
      </c>
      <c r="E13" s="244" t="inlineStr">
        <is>
          <t>A-</t>
        </is>
      </c>
      <c r="F13" s="243" t="n">
        <v>8.970000000000001</v>
      </c>
      <c r="G13" s="244" t="inlineStr">
        <is>
          <t>A-</t>
        </is>
      </c>
      <c r="H13" s="243" t="n">
        <v>8.800000000000001</v>
      </c>
      <c r="I13" s="244" t="inlineStr">
        <is>
          <t>A-</t>
        </is>
      </c>
      <c r="J13" s="243" t="n">
        <v>9.02</v>
      </c>
      <c r="K13" s="244" t="inlineStr">
        <is>
          <t>A-</t>
        </is>
      </c>
      <c r="L13" s="243" t="n">
        <v>8.73</v>
      </c>
      <c r="M13" s="244" t="inlineStr">
        <is>
          <t>A-</t>
        </is>
      </c>
      <c r="N13" s="243" t="n">
        <v>9.460000000000001</v>
      </c>
      <c r="O13" s="244" t="inlineStr">
        <is>
          <t>A-</t>
        </is>
      </c>
      <c r="P13" s="243" t="n">
        <v>9.27</v>
      </c>
      <c r="Q13" s="244" t="inlineStr">
        <is>
          <t>A-</t>
        </is>
      </c>
      <c r="R13" s="244" t="inlineStr">
        <is>
          <t>A-</t>
        </is>
      </c>
      <c r="S13" s="244" t="inlineStr">
        <is>
          <t>A-</t>
        </is>
      </c>
      <c r="T13" s="243" t="n">
        <v>9.050000000000001</v>
      </c>
      <c r="U13" s="244" t="inlineStr">
        <is>
          <t>A-</t>
        </is>
      </c>
      <c r="V13" s="244" t="inlineStr">
        <is>
          <t>B</t>
        </is>
      </c>
    </row>
    <row r="14" ht="13.55" customHeight="1" s="225">
      <c r="A14" s="241" t="n">
        <v>12</v>
      </c>
      <c r="B14" s="242" t="inlineStr">
        <is>
          <t>0151684968</t>
        </is>
      </c>
      <c r="C14" s="245" t="inlineStr">
        <is>
          <t>LLIVISACA CABRERA ANTHONY JAVIER</t>
        </is>
      </c>
      <c r="D14" s="243" t="n">
        <v>8.92</v>
      </c>
      <c r="E14" s="244" t="inlineStr">
        <is>
          <t>A-</t>
        </is>
      </c>
      <c r="F14" s="243" t="n">
        <v>9.140000000000001</v>
      </c>
      <c r="G14" s="244" t="inlineStr">
        <is>
          <t>A-</t>
        </is>
      </c>
      <c r="H14" s="243" t="n">
        <v>8.890000000000001</v>
      </c>
      <c r="I14" s="244" t="inlineStr">
        <is>
          <t>A-</t>
        </is>
      </c>
      <c r="J14" s="243" t="n">
        <v>8.92</v>
      </c>
      <c r="K14" s="244" t="inlineStr">
        <is>
          <t>A-</t>
        </is>
      </c>
      <c r="L14" s="246" t="n">
        <v>8.15</v>
      </c>
      <c r="M14" s="244" t="inlineStr">
        <is>
          <t>B+</t>
        </is>
      </c>
      <c r="N14" s="243" t="n">
        <v>9.33</v>
      </c>
      <c r="O14" s="244" t="inlineStr">
        <is>
          <t>A-</t>
        </is>
      </c>
      <c r="P14" s="243" t="n">
        <v>8.390000000000001</v>
      </c>
      <c r="Q14" s="244" t="inlineStr">
        <is>
          <t>B+</t>
        </is>
      </c>
      <c r="R14" s="244" t="inlineStr">
        <is>
          <t>A-</t>
        </is>
      </c>
      <c r="S14" s="244" t="inlineStr">
        <is>
          <t>A-</t>
        </is>
      </c>
      <c r="T14" s="243" t="n">
        <v>8.82</v>
      </c>
      <c r="U14" s="244" t="inlineStr">
        <is>
          <t>A-</t>
        </is>
      </c>
      <c r="V14" s="244" t="inlineStr">
        <is>
          <t>B</t>
        </is>
      </c>
    </row>
    <row r="15" ht="13.55" customHeight="1" s="225">
      <c r="A15" s="241" t="n">
        <v>13</v>
      </c>
      <c r="B15" s="242" t="inlineStr">
        <is>
          <t>0151880515</t>
        </is>
      </c>
      <c r="C15" s="245" t="inlineStr">
        <is>
          <t>MAYANCELA CARTUCHE CRISTOFER SAMUEL</t>
        </is>
      </c>
      <c r="D15" s="243" t="n">
        <v>9.26</v>
      </c>
      <c r="E15" s="244" t="inlineStr">
        <is>
          <t>A-</t>
        </is>
      </c>
      <c r="F15" s="243" t="n">
        <v>9.34</v>
      </c>
      <c r="G15" s="244" t="inlineStr">
        <is>
          <t>A-</t>
        </is>
      </c>
      <c r="H15" s="243" t="n">
        <v>9.470000000000001</v>
      </c>
      <c r="I15" s="244" t="inlineStr">
        <is>
          <t>A-</t>
        </is>
      </c>
      <c r="J15" s="243" t="n">
        <v>9.23</v>
      </c>
      <c r="K15" s="244" t="inlineStr">
        <is>
          <t>A-</t>
        </is>
      </c>
      <c r="L15" s="246" t="n">
        <v>9.369999999999999</v>
      </c>
      <c r="M15" s="244" t="inlineStr">
        <is>
          <t>A-</t>
        </is>
      </c>
      <c r="N15" s="243" t="n">
        <v>9.67</v>
      </c>
      <c r="O15" s="244" t="inlineStr">
        <is>
          <t>A+</t>
        </is>
      </c>
      <c r="P15" s="243" t="n">
        <v>9.529999999999999</v>
      </c>
      <c r="Q15" s="244" t="inlineStr">
        <is>
          <t>A+</t>
        </is>
      </c>
      <c r="R15" s="244" t="inlineStr">
        <is>
          <t>A+</t>
        </is>
      </c>
      <c r="S15" s="244" t="inlineStr">
        <is>
          <t>A+</t>
        </is>
      </c>
      <c r="T15" s="243" t="n">
        <v>9.41</v>
      </c>
      <c r="U15" s="244" t="inlineStr">
        <is>
          <t>A-</t>
        </is>
      </c>
      <c r="V15" s="244" t="inlineStr">
        <is>
          <t>B</t>
        </is>
      </c>
    </row>
    <row r="16" ht="13.55" customHeight="1" s="225">
      <c r="A16" s="241" t="n">
        <v>14</v>
      </c>
      <c r="B16" s="242" t="inlineStr">
        <is>
          <t>1252042500</t>
        </is>
      </c>
      <c r="C16" s="245" t="inlineStr">
        <is>
          <t>MOPOSITA LOMBEIDA KEILER ALEXANDER</t>
        </is>
      </c>
      <c r="D16" s="243" t="n">
        <v>8.699999999999999</v>
      </c>
      <c r="E16" s="244" t="inlineStr">
        <is>
          <t>A-</t>
        </is>
      </c>
      <c r="F16" s="243" t="n">
        <v>8.09</v>
      </c>
      <c r="G16" s="244" t="inlineStr">
        <is>
          <t>B+</t>
        </is>
      </c>
      <c r="H16" s="243" t="n">
        <v>8.68</v>
      </c>
      <c r="I16" s="244" t="inlineStr">
        <is>
          <t>A-</t>
        </is>
      </c>
      <c r="J16" s="243" t="n">
        <v>9.07</v>
      </c>
      <c r="K16" s="244" t="inlineStr">
        <is>
          <t>A-</t>
        </is>
      </c>
      <c r="L16" s="246" t="n">
        <v>8.91</v>
      </c>
      <c r="M16" s="244" t="inlineStr">
        <is>
          <t>A-</t>
        </is>
      </c>
      <c r="N16" s="243" t="n">
        <v>9.48</v>
      </c>
      <c r="O16" s="244" t="inlineStr">
        <is>
          <t>A-</t>
        </is>
      </c>
      <c r="P16" s="243" t="n">
        <v>8.85</v>
      </c>
      <c r="Q16" s="244" t="inlineStr">
        <is>
          <t>A-</t>
        </is>
      </c>
      <c r="R16" s="244" t="inlineStr">
        <is>
          <t>A-</t>
        </is>
      </c>
      <c r="S16" s="244" t="inlineStr">
        <is>
          <t>A-</t>
        </is>
      </c>
      <c r="T16" s="243" t="n">
        <v>8.83</v>
      </c>
      <c r="U16" s="244" t="inlineStr">
        <is>
          <t>A-</t>
        </is>
      </c>
      <c r="V16" s="244" t="inlineStr">
        <is>
          <t>B</t>
        </is>
      </c>
    </row>
    <row r="17" ht="13.55" customHeight="1" s="225">
      <c r="A17" s="241" t="n">
        <v>15</v>
      </c>
      <c r="B17" s="242" t="inlineStr">
        <is>
          <t>0151940609</t>
        </is>
      </c>
      <c r="C17" s="245" t="inlineStr">
        <is>
          <t>PERALTA ARIAS EMILY SAMANTHA</t>
        </is>
      </c>
      <c r="D17" s="243" t="n">
        <v>9.51</v>
      </c>
      <c r="E17" s="244" t="inlineStr">
        <is>
          <t>A+</t>
        </is>
      </c>
      <c r="F17" s="243" t="n">
        <v>9.539999999999999</v>
      </c>
      <c r="G17" s="244" t="inlineStr">
        <is>
          <t>A+</t>
        </is>
      </c>
      <c r="H17" s="243" t="n">
        <v>9.609999999999999</v>
      </c>
      <c r="I17" s="244" t="inlineStr">
        <is>
          <t>A+</t>
        </is>
      </c>
      <c r="J17" s="243" t="n">
        <v>9.5</v>
      </c>
      <c r="K17" s="244" t="inlineStr">
        <is>
          <t>A+</t>
        </is>
      </c>
      <c r="L17" s="246" t="n">
        <v>9.369999999999999</v>
      </c>
      <c r="M17" s="244" t="inlineStr">
        <is>
          <t>A-</t>
        </is>
      </c>
      <c r="N17" s="243" t="n">
        <v>9.83</v>
      </c>
      <c r="O17" s="244" t="inlineStr">
        <is>
          <t>A+</t>
        </is>
      </c>
      <c r="P17" s="243" t="n">
        <v>9.73</v>
      </c>
      <c r="Q17" s="244" t="inlineStr">
        <is>
          <t>A+</t>
        </is>
      </c>
      <c r="R17" s="244" t="inlineStr">
        <is>
          <t>A+</t>
        </is>
      </c>
      <c r="S17" s="244" t="inlineStr">
        <is>
          <t>A+</t>
        </is>
      </c>
      <c r="T17" s="243" t="n">
        <v>9.59</v>
      </c>
      <c r="U17" s="244" t="inlineStr">
        <is>
          <t>A+</t>
        </is>
      </c>
      <c r="V17" s="244" t="inlineStr">
        <is>
          <t>B</t>
        </is>
      </c>
    </row>
    <row r="18" ht="13.55" customHeight="1" s="225">
      <c r="A18" s="241" t="n">
        <v>16</v>
      </c>
      <c r="B18" s="242" t="inlineStr">
        <is>
          <t>0151878931</t>
        </is>
      </c>
      <c r="C18" s="245" t="inlineStr">
        <is>
          <t>PEREZ GARZON EIDAN PAUL</t>
        </is>
      </c>
      <c r="D18" s="243" t="n">
        <v>8.56</v>
      </c>
      <c r="E18" s="244" t="inlineStr">
        <is>
          <t>A-</t>
        </is>
      </c>
      <c r="F18" s="243" t="n">
        <v>8.31</v>
      </c>
      <c r="G18" s="244" t="inlineStr">
        <is>
          <t>B+</t>
        </is>
      </c>
      <c r="H18" s="243" t="n">
        <v>8.210000000000001</v>
      </c>
      <c r="I18" s="244" t="inlineStr">
        <is>
          <t>B+</t>
        </is>
      </c>
      <c r="J18" s="243" t="n">
        <v>8.369999999999999</v>
      </c>
      <c r="K18" s="244" t="inlineStr">
        <is>
          <t>B+</t>
        </is>
      </c>
      <c r="L18" s="246" t="n">
        <v>8.52</v>
      </c>
      <c r="M18" s="244" t="inlineStr">
        <is>
          <t>A-</t>
        </is>
      </c>
      <c r="N18" s="243" t="n">
        <v>9</v>
      </c>
      <c r="O18" s="244" t="inlineStr">
        <is>
          <t>A-</t>
        </is>
      </c>
      <c r="P18" s="243" t="n">
        <v>8.4</v>
      </c>
      <c r="Q18" s="244" t="inlineStr">
        <is>
          <t>B+</t>
        </is>
      </c>
      <c r="R18" s="244" t="inlineStr">
        <is>
          <t>A-</t>
        </is>
      </c>
      <c r="S18" s="244" t="inlineStr">
        <is>
          <t>A-</t>
        </is>
      </c>
      <c r="T18" s="243" t="n">
        <v>8.48</v>
      </c>
      <c r="U18" s="244" t="inlineStr">
        <is>
          <t>B+</t>
        </is>
      </c>
      <c r="V18" s="244" t="inlineStr">
        <is>
          <t>B</t>
        </is>
      </c>
    </row>
    <row r="19" ht="13.55" customHeight="1" s="225">
      <c r="A19" s="241" t="n">
        <v>17</v>
      </c>
      <c r="B19" s="242" t="inlineStr">
        <is>
          <t>0151949658</t>
        </is>
      </c>
      <c r="C19" s="245" t="inlineStr">
        <is>
          <t>PULGARIN MUÑOZ KERLY MICAELA</t>
        </is>
      </c>
      <c r="D19" s="243" t="n">
        <v>10</v>
      </c>
      <c r="E19" s="244" t="inlineStr">
        <is>
          <t>A+</t>
        </is>
      </c>
      <c r="F19" s="243" t="n">
        <v>9.960000000000001</v>
      </c>
      <c r="G19" s="244" t="inlineStr">
        <is>
          <t>A+</t>
        </is>
      </c>
      <c r="H19" s="243" t="n">
        <v>10</v>
      </c>
      <c r="I19" s="244" t="inlineStr">
        <is>
          <t>A+</t>
        </is>
      </c>
      <c r="J19" s="243" t="n">
        <v>9.960000000000001</v>
      </c>
      <c r="K19" s="244" t="inlineStr">
        <is>
          <t>A+</t>
        </is>
      </c>
      <c r="L19" s="246" t="n">
        <v>9.66</v>
      </c>
      <c r="M19" s="244" t="inlineStr">
        <is>
          <t>A+</t>
        </is>
      </c>
      <c r="N19" s="243" t="n">
        <v>10</v>
      </c>
      <c r="O19" s="244" t="inlineStr">
        <is>
          <t>A+</t>
        </is>
      </c>
      <c r="P19" s="243" t="n">
        <v>9.779999999999999</v>
      </c>
      <c r="Q19" s="244" t="inlineStr">
        <is>
          <t>A+</t>
        </is>
      </c>
      <c r="R19" s="244" t="inlineStr">
        <is>
          <t>A+</t>
        </is>
      </c>
      <c r="S19" s="244" t="inlineStr">
        <is>
          <t>A+</t>
        </is>
      </c>
      <c r="T19" s="243" t="n">
        <v>9.91</v>
      </c>
      <c r="U19" s="244" t="inlineStr">
        <is>
          <t>A+</t>
        </is>
      </c>
      <c r="V19" s="244" t="inlineStr">
        <is>
          <t>B</t>
        </is>
      </c>
    </row>
    <row r="20" ht="13.55" customHeight="1" s="225">
      <c r="A20" s="241" t="n">
        <v>18</v>
      </c>
      <c r="B20" s="242" t="inlineStr">
        <is>
          <t>0151936184</t>
        </is>
      </c>
      <c r="C20" s="245" t="inlineStr">
        <is>
          <t>QUIZHPI SANCHEZ JORDAN EVELIO</t>
        </is>
      </c>
      <c r="D20" s="243" t="n">
        <v>8.970000000000001</v>
      </c>
      <c r="E20" s="244" t="inlineStr">
        <is>
          <t>A-</t>
        </is>
      </c>
      <c r="F20" s="243" t="n">
        <v>8.529999999999999</v>
      </c>
      <c r="G20" s="244" t="inlineStr">
        <is>
          <t>A-</t>
        </is>
      </c>
      <c r="H20" s="243" t="n">
        <v>9.039999999999999</v>
      </c>
      <c r="I20" s="244" t="inlineStr">
        <is>
          <t>A-</t>
        </is>
      </c>
      <c r="J20" s="243" t="n">
        <v>9.029999999999999</v>
      </c>
      <c r="K20" s="244" t="inlineStr">
        <is>
          <t>A-</t>
        </is>
      </c>
      <c r="L20" s="246" t="n">
        <v>8.98</v>
      </c>
      <c r="M20" s="244" t="inlineStr">
        <is>
          <t>A-</t>
        </is>
      </c>
      <c r="N20" s="243" t="n">
        <v>9.5</v>
      </c>
      <c r="O20" s="244" t="inlineStr">
        <is>
          <t>A+</t>
        </is>
      </c>
      <c r="P20" s="243" t="n">
        <v>9.119999999999999</v>
      </c>
      <c r="Q20" s="244" t="inlineStr">
        <is>
          <t>A-</t>
        </is>
      </c>
      <c r="R20" s="244" t="inlineStr">
        <is>
          <t>A-</t>
        </is>
      </c>
      <c r="S20" s="244" t="inlineStr">
        <is>
          <t>A-</t>
        </is>
      </c>
      <c r="T20" s="243" t="n">
        <v>9.02</v>
      </c>
      <c r="U20" s="244" t="inlineStr">
        <is>
          <t>A-</t>
        </is>
      </c>
      <c r="V20" s="244" t="inlineStr">
        <is>
          <t>B</t>
        </is>
      </c>
    </row>
    <row r="21" ht="13.55" customHeight="1" s="225">
      <c r="A21" s="241" t="n">
        <v>19</v>
      </c>
      <c r="B21" s="242" t="inlineStr">
        <is>
          <t>0151988219</t>
        </is>
      </c>
      <c r="C21" s="245" t="inlineStr">
        <is>
          <t>SANCHEZ CHALCO EMILY DAYANNA</t>
        </is>
      </c>
      <c r="D21" s="243" t="n">
        <v>9.1</v>
      </c>
      <c r="E21" s="244" t="inlineStr">
        <is>
          <t>A-</t>
        </is>
      </c>
      <c r="F21" s="243" t="n">
        <v>8.75</v>
      </c>
      <c r="G21" s="244" t="inlineStr">
        <is>
          <t>A-</t>
        </is>
      </c>
      <c r="H21" s="243" t="n">
        <v>8.539999999999999</v>
      </c>
      <c r="I21" s="244" t="inlineStr">
        <is>
          <t>A-</t>
        </is>
      </c>
      <c r="J21" s="243" t="n">
        <v>8.970000000000001</v>
      </c>
      <c r="K21" s="244" t="inlineStr">
        <is>
          <t>A-</t>
        </is>
      </c>
      <c r="L21" s="246" t="n">
        <v>8.699999999999999</v>
      </c>
      <c r="M21" s="244" t="inlineStr">
        <is>
          <t>A-</t>
        </is>
      </c>
      <c r="N21" s="243" t="n">
        <v>9.5</v>
      </c>
      <c r="O21" s="244" t="inlineStr">
        <is>
          <t>A+</t>
        </is>
      </c>
      <c r="P21" s="243" t="n">
        <v>9.08</v>
      </c>
      <c r="Q21" s="244" t="inlineStr">
        <is>
          <t>A-</t>
        </is>
      </c>
      <c r="R21" s="244" t="inlineStr">
        <is>
          <t>A-</t>
        </is>
      </c>
      <c r="S21" s="244" t="inlineStr">
        <is>
          <t>A-</t>
        </is>
      </c>
      <c r="T21" s="243" t="n">
        <v>8.949999999999999</v>
      </c>
      <c r="U21" s="244" t="inlineStr">
        <is>
          <t>A-</t>
        </is>
      </c>
      <c r="V21" s="244" t="inlineStr">
        <is>
          <t>B</t>
        </is>
      </c>
    </row>
    <row r="22" ht="13.55" customHeight="1" s="225">
      <c r="A22" s="241" t="n">
        <v>20</v>
      </c>
      <c r="B22" s="242" t="inlineStr">
        <is>
          <t>1450516239</t>
        </is>
      </c>
      <c r="C22" s="245" t="inlineStr">
        <is>
          <t>TAIJINT KAYAP EMILIAN ESNAIDER</t>
        </is>
      </c>
      <c r="D22" s="243" t="n">
        <v>7.17</v>
      </c>
      <c r="E22" s="244" t="inlineStr">
        <is>
          <t>B-</t>
        </is>
      </c>
      <c r="F22" s="243" t="n">
        <v>7.5</v>
      </c>
      <c r="G22" s="244" t="inlineStr">
        <is>
          <t>B-</t>
        </is>
      </c>
      <c r="H22" s="243" t="n">
        <v>7.4</v>
      </c>
      <c r="I22" s="244" t="inlineStr">
        <is>
          <t>B-</t>
        </is>
      </c>
      <c r="J22" s="243" t="n">
        <v>7.38</v>
      </c>
      <c r="K22" s="244" t="inlineStr">
        <is>
          <t>B-</t>
        </is>
      </c>
      <c r="L22" s="246" t="n">
        <v>7.5</v>
      </c>
      <c r="M22" s="244" t="inlineStr">
        <is>
          <t>B-</t>
        </is>
      </c>
      <c r="N22" s="243" t="n">
        <v>8.210000000000001</v>
      </c>
      <c r="O22" s="244" t="inlineStr">
        <is>
          <t>B+</t>
        </is>
      </c>
      <c r="P22" s="243" t="n">
        <v>8.359999999999999</v>
      </c>
      <c r="Q22" s="244" t="inlineStr">
        <is>
          <t>B+</t>
        </is>
      </c>
      <c r="R22" s="244" t="inlineStr">
        <is>
          <t>A-</t>
        </is>
      </c>
      <c r="S22" s="244" t="inlineStr">
        <is>
          <t>A+</t>
        </is>
      </c>
      <c r="T22" s="243" t="n">
        <v>7.65</v>
      </c>
      <c r="U22" s="244" t="inlineStr">
        <is>
          <t>B+</t>
        </is>
      </c>
      <c r="V22" s="244" t="inlineStr">
        <is>
          <t>B</t>
        </is>
      </c>
    </row>
    <row r="23" ht="13.55" customHeight="1" s="225">
      <c r="A23" s="241" t="n">
        <v>21</v>
      </c>
      <c r="B23" s="242" t="inlineStr">
        <is>
          <t>0151989720</t>
        </is>
      </c>
      <c r="C23" s="245" t="inlineStr">
        <is>
          <t>TIGRE QUITO KEVIN MATIAS</t>
        </is>
      </c>
      <c r="D23" s="246" t="n">
        <v>7.05</v>
      </c>
      <c r="E23" s="244" t="inlineStr">
        <is>
          <t>B-</t>
        </is>
      </c>
      <c r="F23" s="246" t="n">
        <v>7.02</v>
      </c>
      <c r="G23" s="244" t="inlineStr">
        <is>
          <t>B-</t>
        </is>
      </c>
      <c r="H23" s="246" t="n">
        <v>7.06</v>
      </c>
      <c r="I23" s="244" t="inlineStr">
        <is>
          <t>B-</t>
        </is>
      </c>
      <c r="J23" s="246" t="n">
        <v>7.03</v>
      </c>
      <c r="K23" s="244" t="inlineStr">
        <is>
          <t>B-</t>
        </is>
      </c>
      <c r="L23" s="246" t="n">
        <v>8.24</v>
      </c>
      <c r="M23" s="244" t="inlineStr">
        <is>
          <t>B+</t>
        </is>
      </c>
      <c r="N23" s="243" t="n">
        <v>8.83</v>
      </c>
      <c r="O23" s="244" t="inlineStr">
        <is>
          <t>A-</t>
        </is>
      </c>
      <c r="P23" s="243" t="n">
        <v>8.49</v>
      </c>
      <c r="Q23" s="244" t="inlineStr">
        <is>
          <t>B+</t>
        </is>
      </c>
      <c r="R23" s="244" t="inlineStr">
        <is>
          <t>A-</t>
        </is>
      </c>
      <c r="S23" s="244" t="inlineStr">
        <is>
          <t>A-</t>
        </is>
      </c>
      <c r="T23" s="246" t="n">
        <v>7.67</v>
      </c>
      <c r="U23" s="244" t="inlineStr">
        <is>
          <t>B+</t>
        </is>
      </c>
      <c r="V23" s="244" t="inlineStr">
        <is>
          <t>B</t>
        </is>
      </c>
    </row>
    <row r="24" ht="13.55" customHeight="1" s="225">
      <c r="A24" s="241" t="n">
        <v>22</v>
      </c>
      <c r="B24" s="242" t="inlineStr">
        <is>
          <t>1151241151</t>
        </is>
      </c>
      <c r="C24" s="242" t="inlineStr">
        <is>
          <t>TROYA LIA VICTORIA</t>
        </is>
      </c>
      <c r="D24" s="243" t="n">
        <v>7.53</v>
      </c>
      <c r="E24" s="244" t="inlineStr">
        <is>
          <t>B+</t>
        </is>
      </c>
      <c r="F24" s="243" t="n">
        <v>7.39</v>
      </c>
      <c r="G24" s="244" t="inlineStr">
        <is>
          <t>B-</t>
        </is>
      </c>
      <c r="H24" s="243" t="n">
        <v>7.75</v>
      </c>
      <c r="I24" s="244" t="inlineStr">
        <is>
          <t>B+</t>
        </is>
      </c>
      <c r="J24" s="243" t="n">
        <v>7.58</v>
      </c>
      <c r="K24" s="244" t="inlineStr">
        <is>
          <t>B+</t>
        </is>
      </c>
      <c r="L24" s="243" t="n">
        <v>8.68</v>
      </c>
      <c r="M24" s="244" t="inlineStr">
        <is>
          <t>A-</t>
        </is>
      </c>
      <c r="N24" s="243" t="n">
        <v>9.210000000000001</v>
      </c>
      <c r="O24" s="244" t="inlineStr">
        <is>
          <t>A-</t>
        </is>
      </c>
      <c r="P24" s="243" t="n">
        <v>8.92</v>
      </c>
      <c r="Q24" s="244" t="inlineStr">
        <is>
          <t>A-</t>
        </is>
      </c>
      <c r="R24" s="244" t="inlineStr">
        <is>
          <t>A-</t>
        </is>
      </c>
      <c r="S24" s="244" t="inlineStr">
        <is>
          <t>A-</t>
        </is>
      </c>
      <c r="T24" s="243" t="n">
        <v>8.15</v>
      </c>
      <c r="U24" s="244" t="inlineStr">
        <is>
          <t>B+</t>
        </is>
      </c>
      <c r="V24" s="244" t="inlineStr">
        <is>
          <t>B</t>
        </is>
      </c>
    </row>
    <row r="25" ht="13.55" customHeight="1" s="225">
      <c r="A25" s="241" t="n">
        <v>23</v>
      </c>
      <c r="B25" s="242" t="inlineStr">
        <is>
          <t>0151979994</t>
        </is>
      </c>
      <c r="C25" s="245" t="inlineStr">
        <is>
          <t>VEGA ILAQUICHE JOSE DANIEL</t>
        </is>
      </c>
      <c r="D25" s="243" t="n">
        <v>7.59</v>
      </c>
      <c r="E25" s="244" t="inlineStr">
        <is>
          <t>B+</t>
        </is>
      </c>
      <c r="F25" s="243" t="n">
        <v>7.69</v>
      </c>
      <c r="G25" s="244" t="inlineStr">
        <is>
          <t>B+</t>
        </is>
      </c>
      <c r="H25" s="243" t="n">
        <v>7.36</v>
      </c>
      <c r="I25" s="244" t="inlineStr">
        <is>
          <t>B-</t>
        </is>
      </c>
      <c r="J25" s="243" t="n">
        <v>7.71</v>
      </c>
      <c r="K25" s="244" t="inlineStr">
        <is>
          <t>B+</t>
        </is>
      </c>
      <c r="L25" s="246" t="n">
        <v>8.630000000000001</v>
      </c>
      <c r="M25" s="244" t="inlineStr">
        <is>
          <t>A-</t>
        </is>
      </c>
      <c r="N25" s="243" t="n">
        <v>8.460000000000001</v>
      </c>
      <c r="O25" s="244" t="inlineStr">
        <is>
          <t>B+</t>
        </is>
      </c>
      <c r="P25" s="243" t="n">
        <v>8.029999999999999</v>
      </c>
      <c r="Q25" s="244" t="inlineStr">
        <is>
          <t>B+</t>
        </is>
      </c>
      <c r="R25" s="244" t="inlineStr">
        <is>
          <t>A-</t>
        </is>
      </c>
      <c r="S25" s="244" t="inlineStr">
        <is>
          <t>A+</t>
        </is>
      </c>
      <c r="T25" s="243" t="n">
        <v>7.92</v>
      </c>
      <c r="U25" s="244" t="inlineStr">
        <is>
          <t>B+</t>
        </is>
      </c>
      <c r="V25" s="244" t="inlineStr">
        <is>
          <t>B</t>
        </is>
      </c>
    </row>
    <row r="26" ht="13.55" customHeight="1" s="225">
      <c r="A26" s="241" t="n">
        <v>24</v>
      </c>
      <c r="B26" s="242" t="inlineStr">
        <is>
          <t>0751543369</t>
        </is>
      </c>
      <c r="C26" s="245" t="inlineStr">
        <is>
          <t>YAGUACHE DIAZ SARA EMILIA</t>
        </is>
      </c>
      <c r="D26" s="243" t="n">
        <v>9</v>
      </c>
      <c r="E26" s="244" t="inlineStr">
        <is>
          <t>A-</t>
        </is>
      </c>
      <c r="F26" s="243" t="n">
        <v>8.57</v>
      </c>
      <c r="G26" s="244" t="inlineStr">
        <is>
          <t>A-</t>
        </is>
      </c>
      <c r="H26" s="243" t="n">
        <v>9.27</v>
      </c>
      <c r="I26" s="244" t="inlineStr">
        <is>
          <t>A-</t>
        </is>
      </c>
      <c r="J26" s="243" t="n">
        <v>8.81</v>
      </c>
      <c r="K26" s="244" t="inlineStr">
        <is>
          <t>A-</t>
        </is>
      </c>
      <c r="L26" s="246" t="n">
        <v>8.26</v>
      </c>
      <c r="M26" s="244" t="inlineStr">
        <is>
          <t>B+</t>
        </is>
      </c>
      <c r="N26" s="243" t="n">
        <v>9.5</v>
      </c>
      <c r="O26" s="244" t="inlineStr">
        <is>
          <t>A+</t>
        </is>
      </c>
      <c r="P26" s="243" t="n">
        <v>8.199999999999999</v>
      </c>
      <c r="Q26" s="244" t="inlineStr">
        <is>
          <t>B+</t>
        </is>
      </c>
      <c r="R26" s="244" t="inlineStr">
        <is>
          <t>A-</t>
        </is>
      </c>
      <c r="S26" s="244" t="inlineStr">
        <is>
          <t>A-</t>
        </is>
      </c>
      <c r="T26" s="246" t="n">
        <v>8.800000000000001</v>
      </c>
      <c r="U26" s="244" t="inlineStr">
        <is>
          <t>A-</t>
        </is>
      </c>
      <c r="V26" s="244" t="inlineStr">
        <is>
          <t>B</t>
        </is>
      </c>
    </row>
  </sheetData>
  <mergeCells count="11">
    <mergeCell ref="U1:U2"/>
    <mergeCell ref="A1:C1"/>
    <mergeCell ref="D1:E1"/>
    <mergeCell ref="H1:I1"/>
    <mergeCell ref="L1:M1"/>
    <mergeCell ref="J1:K1"/>
    <mergeCell ref="P1:Q1"/>
    <mergeCell ref="F1:G1"/>
    <mergeCell ref="V1:V2"/>
    <mergeCell ref="N1:O1"/>
    <mergeCell ref="T1:T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40" customWidth="1" style="225" min="3" max="3"/>
    <col width="6" customWidth="1" style="225" min="4" max="4"/>
    <col width="11" customWidth="1" style="225" min="23" max="23"/>
    <col width="8.851559999999999" customWidth="1" style="225" min="24" max="24"/>
  </cols>
  <sheetData>
    <row r="1" ht="25" customHeight="1" s="225">
      <c r="A1" s="226" t="inlineStr">
        <is>
          <t>DATOS INFORMATIVOS
ESTUDIANTES</t>
        </is>
      </c>
      <c r="B1" s="255" t="n"/>
      <c r="C1" s="256" t="n"/>
      <c r="D1" s="229" t="inlineStr">
        <is>
          <t>CONSOLIDADO FINAL</t>
        </is>
      </c>
      <c r="E1" s="255" t="n"/>
      <c r="F1" s="255" t="n"/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6" t="n"/>
    </row>
    <row r="2" ht="45" customHeight="1" s="225">
      <c r="A2" s="271" t="inlineStr">
        <is>
          <t>N°</t>
        </is>
      </c>
      <c r="B2" s="271" t="inlineStr">
        <is>
          <t>CÉDULA</t>
        </is>
      </c>
      <c r="C2" s="271" t="inlineStr">
        <is>
          <t>APELLIDOS/NOMBRES</t>
        </is>
      </c>
      <c r="D2" s="271" t="inlineStr">
        <is>
          <t>LENGUA Y
LITERATURA</t>
        </is>
      </c>
      <c r="E2" s="256" t="n"/>
      <c r="F2" s="272" t="inlineStr">
        <is>
          <t>MATEMÁTICA</t>
        </is>
      </c>
      <c r="G2" s="256" t="n"/>
      <c r="H2" s="273" t="inlineStr">
        <is>
          <t>CIENCIAS
NATURALES</t>
        </is>
      </c>
      <c r="I2" s="256" t="n"/>
      <c r="J2" s="274" t="inlineStr">
        <is>
          <t>ESTUDIOS
SOCIALES</t>
        </is>
      </c>
      <c r="K2" s="256" t="n"/>
      <c r="L2" s="275" t="inlineStr">
        <is>
          <t>INGLÉS</t>
        </is>
      </c>
      <c r="M2" s="256" t="n"/>
      <c r="N2" s="276" t="inlineStr">
        <is>
          <t>ECA</t>
        </is>
      </c>
      <c r="O2" s="256" t="n"/>
      <c r="P2" s="277" t="inlineStr">
        <is>
          <t>EDUCACIÓN
FÍSICA</t>
        </is>
      </c>
      <c r="Q2" s="256" t="n"/>
      <c r="R2" s="274" t="inlineStr">
        <is>
          <t>ANIMA
CIÓN A</t>
        </is>
      </c>
      <c r="S2" s="278" t="inlineStr">
        <is>
          <t>CAI</t>
        </is>
      </c>
      <c r="T2" s="279" t="inlineStr">
        <is>
          <t>PROMEDIO</t>
        </is>
      </c>
      <c r="U2" s="279" t="inlineStr">
        <is>
          <t>CUALITATIVA</t>
        </is>
      </c>
      <c r="V2" s="279" t="inlineStr">
        <is>
          <t>COMPORTAMIENTO</t>
        </is>
      </c>
      <c r="W2" s="279" t="inlineStr">
        <is>
          <t>PROMEDIO</t>
        </is>
      </c>
    </row>
    <row r="3" ht="45" customHeight="1" s="225">
      <c r="A3" s="257" t="n"/>
      <c r="B3" s="257" t="n"/>
      <c r="C3" s="257" t="n"/>
      <c r="D3" s="280" t="inlineStr">
        <is>
          <t>NOTA</t>
        </is>
      </c>
      <c r="E3" s="280" t="inlineStr">
        <is>
          <t>CUALIT.</t>
        </is>
      </c>
      <c r="F3" s="281" t="inlineStr">
        <is>
          <t>NOTA</t>
        </is>
      </c>
      <c r="G3" s="281" t="inlineStr">
        <is>
          <t>CUALIT.</t>
        </is>
      </c>
      <c r="H3" s="282" t="inlineStr">
        <is>
          <t>NOTA</t>
        </is>
      </c>
      <c r="I3" s="282" t="inlineStr">
        <is>
          <t>CUALIT.</t>
        </is>
      </c>
      <c r="J3" s="283" t="inlineStr">
        <is>
          <t>NOTA</t>
        </is>
      </c>
      <c r="K3" s="283" t="inlineStr">
        <is>
          <t>CUALIT.</t>
        </is>
      </c>
      <c r="L3" s="284" t="inlineStr">
        <is>
          <t>NOTA</t>
        </is>
      </c>
      <c r="M3" s="284" t="inlineStr">
        <is>
          <t>CUALIT.</t>
        </is>
      </c>
      <c r="N3" s="285" t="inlineStr">
        <is>
          <t>NOTA</t>
        </is>
      </c>
      <c r="O3" s="285" t="inlineStr">
        <is>
          <t>CUALIT.</t>
        </is>
      </c>
      <c r="P3" s="286" t="inlineStr">
        <is>
          <t>NOTA</t>
        </is>
      </c>
      <c r="Q3" s="286" t="inlineStr">
        <is>
          <t>CUALIT.</t>
        </is>
      </c>
      <c r="R3" s="283" t="inlineStr">
        <is>
          <t>NOTA</t>
        </is>
      </c>
      <c r="S3" s="283" t="inlineStr">
        <is>
          <t>NOTA</t>
        </is>
      </c>
      <c r="T3" s="257" t="n"/>
      <c r="U3" s="257" t="n"/>
      <c r="V3" s="257" t="n"/>
      <c r="W3" s="257" t="n"/>
    </row>
    <row r="4" ht="25" customHeight="1" s="225">
      <c r="A4" s="287" t="n">
        <v>1</v>
      </c>
      <c r="B4" s="288" t="inlineStr">
        <is>
          <t>151865375</t>
        </is>
      </c>
      <c r="C4" s="288" t="inlineStr">
        <is>
          <t>ARIZAGA CAGUANA CARLOS MANUEL</t>
        </is>
      </c>
      <c r="D4" s="289" t="n">
        <v>7.56</v>
      </c>
      <c r="E4" s="290" t="inlineStr">
        <is>
          <t>B+</t>
        </is>
      </c>
      <c r="F4" s="291" t="n">
        <v>7.74</v>
      </c>
      <c r="G4" s="292" t="inlineStr">
        <is>
          <t>B+</t>
        </is>
      </c>
      <c r="H4" s="293" t="n">
        <v>7.46</v>
      </c>
      <c r="I4" s="294" t="inlineStr">
        <is>
          <t>B-</t>
        </is>
      </c>
      <c r="J4" s="295" t="n">
        <v>7.56</v>
      </c>
      <c r="K4" s="296" t="inlineStr">
        <is>
          <t>B+</t>
        </is>
      </c>
      <c r="L4" s="297" t="n">
        <v>8.470000000000001</v>
      </c>
      <c r="M4" s="298" t="inlineStr">
        <is>
          <t>B+</t>
        </is>
      </c>
      <c r="N4" s="299" t="n">
        <v>8.17</v>
      </c>
      <c r="O4" s="300" t="inlineStr">
        <is>
          <t>B+</t>
        </is>
      </c>
      <c r="P4" s="301" t="n">
        <v>8.210000000000001</v>
      </c>
      <c r="Q4" s="302" t="inlineStr">
        <is>
          <t>B+</t>
        </is>
      </c>
      <c r="R4" s="296" t="inlineStr">
        <is>
          <t>B</t>
        </is>
      </c>
      <c r="S4" s="303" t="inlineStr">
        <is>
          <t>A+</t>
        </is>
      </c>
      <c r="T4" s="304" t="n">
        <v>7.88</v>
      </c>
      <c r="U4" s="305" t="inlineStr">
        <is>
          <t>B+</t>
        </is>
      </c>
      <c r="V4" s="305" t="inlineStr">
        <is>
          <t>S</t>
        </is>
      </c>
      <c r="W4" s="306" t="inlineStr">
        <is>
          <t>PROMOVIDO</t>
        </is>
      </c>
    </row>
    <row r="5" ht="25" customHeight="1" s="225">
      <c r="A5" s="287" t="n">
        <v>2</v>
      </c>
      <c r="B5" s="288" t="inlineStr">
        <is>
          <t>151976933</t>
        </is>
      </c>
      <c r="C5" s="288" t="inlineStr">
        <is>
          <t>AUCAPIÑA CHISAGUANO GENESIS GUADALUPE</t>
        </is>
      </c>
      <c r="D5" s="289" t="n">
        <v>8.51</v>
      </c>
      <c r="E5" s="290" t="inlineStr">
        <is>
          <t>A-</t>
        </is>
      </c>
      <c r="F5" s="291" t="n">
        <v>8.81</v>
      </c>
      <c r="G5" s="292" t="inlineStr">
        <is>
          <t>A-</t>
        </is>
      </c>
      <c r="H5" s="293" t="n">
        <v>8.58</v>
      </c>
      <c r="I5" s="294" t="inlineStr">
        <is>
          <t>A-</t>
        </is>
      </c>
      <c r="J5" s="295" t="n">
        <v>8.35</v>
      </c>
      <c r="K5" s="296" t="inlineStr">
        <is>
          <t>B+</t>
        </is>
      </c>
      <c r="L5" s="297" t="n">
        <v>8.59</v>
      </c>
      <c r="M5" s="298" t="inlineStr">
        <is>
          <t>A-</t>
        </is>
      </c>
      <c r="N5" s="299" t="n">
        <v>8.67</v>
      </c>
      <c r="O5" s="300" t="inlineStr">
        <is>
          <t>A-</t>
        </is>
      </c>
      <c r="P5" s="301" t="n">
        <v>8.68</v>
      </c>
      <c r="Q5" s="302" t="inlineStr">
        <is>
          <t>A-</t>
        </is>
      </c>
      <c r="R5" s="296" t="inlineStr">
        <is>
          <t>A-</t>
        </is>
      </c>
      <c r="S5" s="303" t="inlineStr">
        <is>
          <t>A+</t>
        </is>
      </c>
      <c r="T5" s="304" t="n">
        <v>8.6</v>
      </c>
      <c r="U5" s="305" t="inlineStr">
        <is>
          <t>A-</t>
        </is>
      </c>
      <c r="V5" s="305" t="inlineStr">
        <is>
          <t>S</t>
        </is>
      </c>
      <c r="W5" s="306" t="inlineStr">
        <is>
          <t>PROMOVIDO</t>
        </is>
      </c>
    </row>
    <row r="6" ht="25" customHeight="1" s="225">
      <c r="A6" s="287" t="n">
        <v>3</v>
      </c>
      <c r="B6" s="288" t="inlineStr">
        <is>
          <t>E006840083</t>
        </is>
      </c>
      <c r="C6" s="288" t="inlineStr">
        <is>
          <t>BORDONES RODRIGUEZ JOSE MIGUEL</t>
        </is>
      </c>
      <c r="D6" s="289" t="n">
        <v>8.949999999999999</v>
      </c>
      <c r="E6" s="290" t="inlineStr">
        <is>
          <t>A-</t>
        </is>
      </c>
      <c r="F6" s="291" t="n">
        <v>9.19</v>
      </c>
      <c r="G6" s="292" t="inlineStr">
        <is>
          <t>A-</t>
        </is>
      </c>
      <c r="H6" s="293" t="n">
        <v>8.94</v>
      </c>
      <c r="I6" s="294" t="inlineStr">
        <is>
          <t>A-</t>
        </is>
      </c>
      <c r="J6" s="295" t="n">
        <v>9.109999999999999</v>
      </c>
      <c r="K6" s="296" t="inlineStr">
        <is>
          <t>A-</t>
        </is>
      </c>
      <c r="L6" s="297" t="n">
        <v>8.859999999999999</v>
      </c>
      <c r="M6" s="298" t="inlineStr">
        <is>
          <t>A-</t>
        </is>
      </c>
      <c r="N6" s="299" t="n">
        <v>9.17</v>
      </c>
      <c r="O6" s="300" t="inlineStr">
        <is>
          <t>A-</t>
        </is>
      </c>
      <c r="P6" s="301" t="n">
        <v>9.16</v>
      </c>
      <c r="Q6" s="302" t="inlineStr">
        <is>
          <t>A-</t>
        </is>
      </c>
      <c r="R6" s="296" t="inlineStr">
        <is>
          <t>A+</t>
        </is>
      </c>
      <c r="S6" s="303" t="inlineStr">
        <is>
          <t>A+</t>
        </is>
      </c>
      <c r="T6" s="304" t="n">
        <v>9.050000000000001</v>
      </c>
      <c r="U6" s="305" t="inlineStr">
        <is>
          <t>A-</t>
        </is>
      </c>
      <c r="V6" s="305" t="inlineStr">
        <is>
          <t>S</t>
        </is>
      </c>
      <c r="W6" s="306" t="inlineStr">
        <is>
          <t>PROMOVIDO</t>
        </is>
      </c>
    </row>
    <row r="7" ht="25" customHeight="1" s="225">
      <c r="A7" s="287" t="n">
        <v>4</v>
      </c>
      <c r="B7" s="288" t="inlineStr">
        <is>
          <t>151958618</t>
        </is>
      </c>
      <c r="C7" s="288" t="inlineStr">
        <is>
          <t>CABRERA ARIAS DAVID MARCELO</t>
        </is>
      </c>
      <c r="D7" s="289" t="n">
        <v>8.51</v>
      </c>
      <c r="E7" s="290" t="inlineStr">
        <is>
          <t>A-</t>
        </is>
      </c>
      <c r="F7" s="291" t="n">
        <v>8.82</v>
      </c>
      <c r="G7" s="292" t="inlineStr">
        <is>
          <t>A-</t>
        </is>
      </c>
      <c r="H7" s="293" t="n">
        <v>8.4</v>
      </c>
      <c r="I7" s="294" t="inlineStr">
        <is>
          <t>B+</t>
        </is>
      </c>
      <c r="J7" s="295" t="n">
        <v>8.27</v>
      </c>
      <c r="K7" s="296" t="inlineStr">
        <is>
          <t>B+</t>
        </is>
      </c>
      <c r="L7" s="297" t="n">
        <v>7.87</v>
      </c>
      <c r="M7" s="298" t="inlineStr">
        <is>
          <t>B+</t>
        </is>
      </c>
      <c r="N7" s="299" t="n">
        <v>8.630000000000001</v>
      </c>
      <c r="O7" s="300" t="inlineStr">
        <is>
          <t>A-</t>
        </is>
      </c>
      <c r="P7" s="301" t="n">
        <v>8.619999999999999</v>
      </c>
      <c r="Q7" s="302" t="inlineStr">
        <is>
          <t>A-</t>
        </is>
      </c>
      <c r="R7" s="296" t="inlineStr">
        <is>
          <t>A-</t>
        </is>
      </c>
      <c r="S7" s="303" t="inlineStr">
        <is>
          <t>A+</t>
        </is>
      </c>
      <c r="T7" s="304" t="n">
        <v>8.449999999999999</v>
      </c>
      <c r="U7" s="305" t="inlineStr">
        <is>
          <t>B+</t>
        </is>
      </c>
      <c r="V7" s="305" t="inlineStr">
        <is>
          <t>S</t>
        </is>
      </c>
      <c r="W7" s="306" t="inlineStr">
        <is>
          <t>PROMOVIDO</t>
        </is>
      </c>
    </row>
    <row r="8" ht="25" customHeight="1" s="225">
      <c r="A8" s="287" t="n">
        <v>5</v>
      </c>
      <c r="B8" s="288" t="inlineStr">
        <is>
          <t>151984226</t>
        </is>
      </c>
      <c r="C8" s="288" t="inlineStr">
        <is>
          <t>CAMPOVERDE MARIN DARELL FERNANDO</t>
        </is>
      </c>
      <c r="D8" s="289" t="n">
        <v>8.789999999999999</v>
      </c>
      <c r="E8" s="290" t="inlineStr">
        <is>
          <t>A-</t>
        </is>
      </c>
      <c r="F8" s="291" t="n">
        <v>8.65</v>
      </c>
      <c r="G8" s="292" t="inlineStr">
        <is>
          <t>A-</t>
        </is>
      </c>
      <c r="H8" s="293" t="n">
        <v>8.390000000000001</v>
      </c>
      <c r="I8" s="294" t="inlineStr">
        <is>
          <t>B+</t>
        </is>
      </c>
      <c r="J8" s="295" t="n">
        <v>8.01</v>
      </c>
      <c r="K8" s="296" t="inlineStr">
        <is>
          <t>B+</t>
        </is>
      </c>
      <c r="L8" s="297" t="n">
        <v>8.67</v>
      </c>
      <c r="M8" s="298" t="inlineStr">
        <is>
          <t>A-</t>
        </is>
      </c>
      <c r="N8" s="299" t="n">
        <v>8.34</v>
      </c>
      <c r="O8" s="300" t="inlineStr">
        <is>
          <t>B+</t>
        </is>
      </c>
      <c r="P8" s="301" t="n">
        <v>8.76</v>
      </c>
      <c r="Q8" s="302" t="inlineStr">
        <is>
          <t>A-</t>
        </is>
      </c>
      <c r="R8" s="296" t="inlineStr">
        <is>
          <t>A-</t>
        </is>
      </c>
      <c r="S8" s="303" t="inlineStr">
        <is>
          <t>A+</t>
        </is>
      </c>
      <c r="T8" s="304" t="n">
        <v>8.52</v>
      </c>
      <c r="U8" s="305" t="inlineStr">
        <is>
          <t>A-</t>
        </is>
      </c>
      <c r="V8" s="305" t="inlineStr">
        <is>
          <t>S</t>
        </is>
      </c>
      <c r="W8" s="306" t="inlineStr">
        <is>
          <t>PROMOVIDO</t>
        </is>
      </c>
    </row>
    <row r="9" ht="25" customHeight="1" s="225">
      <c r="A9" s="287" t="n">
        <v>6</v>
      </c>
      <c r="B9" s="288" t="inlineStr">
        <is>
          <t>1151370440</t>
        </is>
      </c>
      <c r="C9" s="307" t="inlineStr">
        <is>
          <t>CHIMBO YUQUI MICAELA ANAHI</t>
        </is>
      </c>
      <c r="D9" s="289" t="n">
        <v>10</v>
      </c>
      <c r="E9" s="290" t="inlineStr">
        <is>
          <t>A+</t>
        </is>
      </c>
      <c r="F9" s="291" t="n">
        <v>9.960000000000001</v>
      </c>
      <c r="G9" s="292" t="inlineStr">
        <is>
          <t>A+</t>
        </is>
      </c>
      <c r="H9" s="293" t="n">
        <v>9.890000000000001</v>
      </c>
      <c r="I9" s="294" t="inlineStr">
        <is>
          <t>A+</t>
        </is>
      </c>
      <c r="J9" s="295" t="n">
        <v>10</v>
      </c>
      <c r="K9" s="296" t="inlineStr">
        <is>
          <t>A+</t>
        </is>
      </c>
      <c r="L9" s="297" t="n">
        <v>9.960000000000001</v>
      </c>
      <c r="M9" s="298" t="inlineStr">
        <is>
          <t>A+</t>
        </is>
      </c>
      <c r="N9" s="299" t="n">
        <v>9.970000000000001</v>
      </c>
      <c r="O9" s="300" t="inlineStr">
        <is>
          <t>A+</t>
        </is>
      </c>
      <c r="P9" s="308" t="n">
        <v>9.970000000000001</v>
      </c>
      <c r="Q9" s="302" t="inlineStr">
        <is>
          <t>A+</t>
        </is>
      </c>
      <c r="R9" s="296" t="inlineStr">
        <is>
          <t>A+</t>
        </is>
      </c>
      <c r="S9" s="303" t="inlineStr">
        <is>
          <t>A+</t>
        </is>
      </c>
      <c r="T9" s="304" t="n">
        <v>9.960000000000001</v>
      </c>
      <c r="U9" s="305" t="inlineStr">
        <is>
          <t>A+</t>
        </is>
      </c>
      <c r="V9" s="305" t="inlineStr">
        <is>
          <t>S</t>
        </is>
      </c>
      <c r="W9" s="306" t="inlineStr">
        <is>
          <t>PROMOVIDO</t>
        </is>
      </c>
    </row>
    <row r="10" ht="25" customHeight="1" s="225">
      <c r="A10" s="287" t="n">
        <v>7</v>
      </c>
      <c r="B10" s="288" t="inlineStr">
        <is>
          <t>151962925</t>
        </is>
      </c>
      <c r="C10" s="288" t="inlineStr">
        <is>
          <t>CORREA REMACHE ARIANNA NAOMY</t>
        </is>
      </c>
      <c r="D10" s="289" t="n">
        <v>9.279999999999999</v>
      </c>
      <c r="E10" s="290" t="inlineStr">
        <is>
          <t>A-</t>
        </is>
      </c>
      <c r="F10" s="291" t="n">
        <v>9.17</v>
      </c>
      <c r="G10" s="292" t="inlineStr">
        <is>
          <t>A-</t>
        </is>
      </c>
      <c r="H10" s="293" t="n">
        <v>9.529999999999999</v>
      </c>
      <c r="I10" s="294" t="inlineStr">
        <is>
          <t>A+</t>
        </is>
      </c>
      <c r="J10" s="295" t="n">
        <v>9.539999999999999</v>
      </c>
      <c r="K10" s="296" t="inlineStr">
        <is>
          <t>A+</t>
        </is>
      </c>
      <c r="L10" s="297" t="n">
        <v>9.380000000000001</v>
      </c>
      <c r="M10" s="298" t="inlineStr">
        <is>
          <t>A-</t>
        </is>
      </c>
      <c r="N10" s="299" t="n">
        <v>9.66</v>
      </c>
      <c r="O10" s="300" t="inlineStr">
        <is>
          <t>A+</t>
        </is>
      </c>
      <c r="P10" s="301" t="n">
        <v>9.4</v>
      </c>
      <c r="Q10" s="302" t="inlineStr">
        <is>
          <t>A-</t>
        </is>
      </c>
      <c r="R10" s="296" t="inlineStr">
        <is>
          <t>A-</t>
        </is>
      </c>
      <c r="S10" s="303" t="inlineStr">
        <is>
          <t>A+</t>
        </is>
      </c>
      <c r="T10" s="304" t="n">
        <v>9.42</v>
      </c>
      <c r="U10" s="305" t="inlineStr">
        <is>
          <t>A-</t>
        </is>
      </c>
      <c r="V10" s="305" t="inlineStr">
        <is>
          <t>S</t>
        </is>
      </c>
      <c r="W10" s="306" t="inlineStr">
        <is>
          <t>PROMOVIDO</t>
        </is>
      </c>
    </row>
    <row r="11" ht="25" customHeight="1" s="225">
      <c r="A11" s="287" t="n">
        <v>8</v>
      </c>
      <c r="B11" s="288" t="inlineStr">
        <is>
          <t>151900164</t>
        </is>
      </c>
      <c r="C11" s="288" t="inlineStr">
        <is>
          <t>DIAZ PALACIOS SEBASTIAN ISRAEL</t>
        </is>
      </c>
      <c r="D11" s="289" t="n">
        <v>9.140000000000001</v>
      </c>
      <c r="E11" s="290" t="inlineStr">
        <is>
          <t>A-</t>
        </is>
      </c>
      <c r="F11" s="291" t="n">
        <v>9.32</v>
      </c>
      <c r="G11" s="292" t="inlineStr">
        <is>
          <t>A-</t>
        </is>
      </c>
      <c r="H11" s="293" t="n">
        <v>8.869999999999999</v>
      </c>
      <c r="I11" s="294" t="inlineStr">
        <is>
          <t>A-</t>
        </is>
      </c>
      <c r="J11" s="295" t="n">
        <v>8.81</v>
      </c>
      <c r="K11" s="296" t="inlineStr">
        <is>
          <t>A-</t>
        </is>
      </c>
      <c r="L11" s="297" t="n">
        <v>8.300000000000001</v>
      </c>
      <c r="M11" s="298" t="inlineStr">
        <is>
          <t>B+</t>
        </is>
      </c>
      <c r="N11" s="299" t="n">
        <v>9.15</v>
      </c>
      <c r="O11" s="300" t="inlineStr">
        <is>
          <t>A-</t>
        </is>
      </c>
      <c r="P11" s="301" t="n">
        <v>8.6</v>
      </c>
      <c r="Q11" s="302" t="inlineStr">
        <is>
          <t>A-</t>
        </is>
      </c>
      <c r="R11" s="296" t="inlineStr">
        <is>
          <t>A+</t>
        </is>
      </c>
      <c r="S11" s="303" t="inlineStr">
        <is>
          <t>A+</t>
        </is>
      </c>
      <c r="T11" s="304" t="n">
        <v>8.880000000000001</v>
      </c>
      <c r="U11" s="305" t="inlineStr">
        <is>
          <t>A-</t>
        </is>
      </c>
      <c r="V11" s="305" t="inlineStr">
        <is>
          <t>S</t>
        </is>
      </c>
      <c r="W11" s="306" t="inlineStr">
        <is>
          <t>PROMOVIDO</t>
        </is>
      </c>
    </row>
    <row r="12" ht="25" customHeight="1" s="225">
      <c r="A12" s="287" t="n">
        <v>9</v>
      </c>
      <c r="B12" s="288" t="inlineStr">
        <is>
          <t>151859451</t>
        </is>
      </c>
      <c r="C12" s="288" t="inlineStr">
        <is>
          <t>FIGUEROA VIZHÑAY KEVIN LEONEL</t>
        </is>
      </c>
      <c r="D12" s="289" t="n">
        <v>7.84</v>
      </c>
      <c r="E12" s="290" t="inlineStr">
        <is>
          <t>B+</t>
        </is>
      </c>
      <c r="F12" s="291" t="n">
        <v>7.83</v>
      </c>
      <c r="G12" s="292" t="inlineStr">
        <is>
          <t>B+</t>
        </is>
      </c>
      <c r="H12" s="293" t="n">
        <v>7.93</v>
      </c>
      <c r="I12" s="294" t="inlineStr">
        <is>
          <t>B+</t>
        </is>
      </c>
      <c r="J12" s="295" t="n">
        <v>7.82</v>
      </c>
      <c r="K12" s="296" t="inlineStr">
        <is>
          <t>B+</t>
        </is>
      </c>
      <c r="L12" s="297" t="n">
        <v>7.79</v>
      </c>
      <c r="M12" s="298" t="inlineStr">
        <is>
          <t>B+</t>
        </is>
      </c>
      <c r="N12" s="299" t="n">
        <v>7.89</v>
      </c>
      <c r="O12" s="300" t="inlineStr">
        <is>
          <t>B+</t>
        </is>
      </c>
      <c r="P12" s="301" t="n">
        <v>8.550000000000001</v>
      </c>
      <c r="Q12" s="302" t="inlineStr">
        <is>
          <t>A-</t>
        </is>
      </c>
      <c r="R12" s="296" t="inlineStr">
        <is>
          <t>B-</t>
        </is>
      </c>
      <c r="S12" s="303" t="inlineStr">
        <is>
          <t>A+</t>
        </is>
      </c>
      <c r="T12" s="304" t="n">
        <v>7.95</v>
      </c>
      <c r="U12" s="305" t="inlineStr">
        <is>
          <t>B+</t>
        </is>
      </c>
      <c r="V12" s="305" t="inlineStr">
        <is>
          <t>S</t>
        </is>
      </c>
      <c r="W12" s="306" t="inlineStr">
        <is>
          <t>PROMOVIDO</t>
        </is>
      </c>
    </row>
    <row r="13" ht="25" customHeight="1" s="225">
      <c r="A13" s="287" t="n">
        <v>10</v>
      </c>
      <c r="B13" s="288" t="inlineStr">
        <is>
          <t>151992377</t>
        </is>
      </c>
      <c r="C13" s="288" t="inlineStr">
        <is>
          <t>GUAMAN BARBECHO EMILY MICAELA</t>
        </is>
      </c>
      <c r="D13" s="289" t="n">
        <v>9.32</v>
      </c>
      <c r="E13" s="290" t="inlineStr">
        <is>
          <t>A-</t>
        </is>
      </c>
      <c r="F13" s="291" t="n">
        <v>9.279999999999999</v>
      </c>
      <c r="G13" s="292" t="inlineStr">
        <is>
          <t>A-</t>
        </is>
      </c>
      <c r="H13" s="293" t="n">
        <v>9.199999999999999</v>
      </c>
      <c r="I13" s="294" t="inlineStr">
        <is>
          <t>A-</t>
        </is>
      </c>
      <c r="J13" s="295" t="n">
        <v>9.06</v>
      </c>
      <c r="K13" s="296" t="inlineStr">
        <is>
          <t>A-</t>
        </is>
      </c>
      <c r="L13" s="297" t="n">
        <v>9.27</v>
      </c>
      <c r="M13" s="298" t="inlineStr">
        <is>
          <t>A-</t>
        </is>
      </c>
      <c r="N13" s="299" t="n">
        <v>9.49</v>
      </c>
      <c r="O13" s="300" t="inlineStr">
        <is>
          <t>A-</t>
        </is>
      </c>
      <c r="P13" s="301" t="n">
        <v>9.01</v>
      </c>
      <c r="Q13" s="302" t="inlineStr">
        <is>
          <t>A-</t>
        </is>
      </c>
      <c r="R13" s="296" t="inlineStr">
        <is>
          <t>A-</t>
        </is>
      </c>
      <c r="S13" s="303" t="inlineStr">
        <is>
          <t>A+</t>
        </is>
      </c>
      <c r="T13" s="304" t="n">
        <v>9.23</v>
      </c>
      <c r="U13" s="305" t="inlineStr">
        <is>
          <t>A-</t>
        </is>
      </c>
      <c r="V13" s="305" t="inlineStr">
        <is>
          <t>S</t>
        </is>
      </c>
      <c r="W13" s="306" t="inlineStr">
        <is>
          <t>PROMOVIDO</t>
        </is>
      </c>
    </row>
    <row r="14" ht="25" customHeight="1" s="225">
      <c r="A14" s="287" t="n">
        <v>11</v>
      </c>
      <c r="B14" s="288" t="inlineStr">
        <is>
          <t>151960812</t>
        </is>
      </c>
      <c r="C14" s="307" t="inlineStr">
        <is>
          <t>GUAMBAÑA ZHICAY PAMELA GEOVANNA</t>
        </is>
      </c>
      <c r="D14" s="289" t="n">
        <v>9.9</v>
      </c>
      <c r="E14" s="290" t="inlineStr">
        <is>
          <t>A+</t>
        </is>
      </c>
      <c r="F14" s="291" t="n">
        <v>9.449999999999999</v>
      </c>
      <c r="G14" s="292" t="inlineStr">
        <is>
          <t>A-</t>
        </is>
      </c>
      <c r="H14" s="308" t="n">
        <v>9.779999999999999</v>
      </c>
      <c r="I14" s="294" t="inlineStr">
        <is>
          <t>A+</t>
        </is>
      </c>
      <c r="J14" s="295" t="n">
        <v>9.74</v>
      </c>
      <c r="K14" s="296" t="inlineStr">
        <is>
          <t>A+</t>
        </is>
      </c>
      <c r="L14" s="297" t="n">
        <v>9.75</v>
      </c>
      <c r="M14" s="298" t="inlineStr">
        <is>
          <t>A+</t>
        </is>
      </c>
      <c r="N14" s="308" t="n">
        <v>9.779999999999999</v>
      </c>
      <c r="O14" s="300" t="inlineStr">
        <is>
          <t>A+</t>
        </is>
      </c>
      <c r="P14" s="301" t="n">
        <v>9.640000000000001</v>
      </c>
      <c r="Q14" s="302" t="inlineStr">
        <is>
          <t>A+</t>
        </is>
      </c>
      <c r="R14" s="296" t="inlineStr">
        <is>
          <t>A+</t>
        </is>
      </c>
      <c r="S14" s="303" t="inlineStr">
        <is>
          <t>A+</t>
        </is>
      </c>
      <c r="T14" s="309" t="n">
        <v>9.720000000000001</v>
      </c>
      <c r="U14" s="305" t="inlineStr">
        <is>
          <t>A+</t>
        </is>
      </c>
      <c r="V14" s="305" t="inlineStr">
        <is>
          <t>S</t>
        </is>
      </c>
      <c r="W14" s="306" t="inlineStr">
        <is>
          <t>PROMOVIDO</t>
        </is>
      </c>
    </row>
    <row r="15" ht="25" customHeight="1" s="225">
      <c r="A15" s="287" t="n">
        <v>12</v>
      </c>
      <c r="B15" s="288" t="inlineStr">
        <is>
          <t>151911567</t>
        </is>
      </c>
      <c r="C15" s="288" t="inlineStr">
        <is>
          <t>GUZÑAY LANDI EVELIN MAITE</t>
        </is>
      </c>
      <c r="D15" s="289" t="n">
        <v>7.09</v>
      </c>
      <c r="E15" s="290" t="inlineStr">
        <is>
          <t>B-</t>
        </is>
      </c>
      <c r="F15" s="291" t="n">
        <v>7.56</v>
      </c>
      <c r="G15" s="292" t="inlineStr">
        <is>
          <t>B+</t>
        </is>
      </c>
      <c r="H15" s="293" t="n">
        <v>7.1</v>
      </c>
      <c r="I15" s="294" t="inlineStr">
        <is>
          <t>B-</t>
        </is>
      </c>
      <c r="J15" s="295" t="n">
        <v>7.04</v>
      </c>
      <c r="K15" s="296" t="inlineStr">
        <is>
          <t>B-</t>
        </is>
      </c>
      <c r="L15" s="297" t="n">
        <v>7.37</v>
      </c>
      <c r="M15" s="298" t="inlineStr">
        <is>
          <t>B-</t>
        </is>
      </c>
      <c r="N15" s="299" t="n">
        <v>7.43</v>
      </c>
      <c r="O15" s="300" t="inlineStr">
        <is>
          <t>B-</t>
        </is>
      </c>
      <c r="P15" s="301" t="n">
        <v>7.72</v>
      </c>
      <c r="Q15" s="302" t="inlineStr">
        <is>
          <t>B+</t>
        </is>
      </c>
      <c r="R15" s="296" t="inlineStr">
        <is>
          <t>B-</t>
        </is>
      </c>
      <c r="S15" s="303" t="inlineStr">
        <is>
          <t>A-</t>
        </is>
      </c>
      <c r="T15" s="304" t="n">
        <v>7.33</v>
      </c>
      <c r="U15" s="305" t="inlineStr">
        <is>
          <t>B-</t>
        </is>
      </c>
      <c r="V15" s="305" t="inlineStr">
        <is>
          <t>S</t>
        </is>
      </c>
      <c r="W15" s="306" t="inlineStr">
        <is>
          <t>PROMOVIDO</t>
        </is>
      </c>
    </row>
    <row r="16" ht="25" customHeight="1" s="225">
      <c r="A16" s="287" t="n">
        <v>13</v>
      </c>
      <c r="B16" s="288" t="inlineStr">
        <is>
          <t>151900750</t>
        </is>
      </c>
      <c r="C16" s="288" t="inlineStr">
        <is>
          <t>LITARDO ROSADO CARLOS JARIEL</t>
        </is>
      </c>
      <c r="D16" s="289" t="n">
        <v>7.24</v>
      </c>
      <c r="E16" s="290" t="inlineStr">
        <is>
          <t>B-</t>
        </is>
      </c>
      <c r="F16" s="291" t="n">
        <v>7.41</v>
      </c>
      <c r="G16" s="292" t="inlineStr">
        <is>
          <t>B-</t>
        </is>
      </c>
      <c r="H16" s="293" t="n">
        <v>7.32</v>
      </c>
      <c r="I16" s="294" t="inlineStr">
        <is>
          <t>B-</t>
        </is>
      </c>
      <c r="J16" s="295" t="n">
        <v>7.65</v>
      </c>
      <c r="K16" s="296" t="inlineStr">
        <is>
          <t>B+</t>
        </is>
      </c>
      <c r="L16" s="297" t="n">
        <v>7.36</v>
      </c>
      <c r="M16" s="298" t="inlineStr">
        <is>
          <t>B-</t>
        </is>
      </c>
      <c r="N16" s="299" t="n">
        <v>7.61</v>
      </c>
      <c r="O16" s="300" t="inlineStr">
        <is>
          <t>B+</t>
        </is>
      </c>
      <c r="P16" s="301" t="n">
        <v>7.98</v>
      </c>
      <c r="Q16" s="302" t="inlineStr">
        <is>
          <t>B+</t>
        </is>
      </c>
      <c r="R16" s="296" t="inlineStr">
        <is>
          <t>B-</t>
        </is>
      </c>
      <c r="S16" s="303" t="inlineStr">
        <is>
          <t>A-</t>
        </is>
      </c>
      <c r="T16" s="304" t="n">
        <v>7.51</v>
      </c>
      <c r="U16" s="305" t="inlineStr">
        <is>
          <t>B+</t>
        </is>
      </c>
      <c r="V16" s="305" t="inlineStr">
        <is>
          <t>F</t>
        </is>
      </c>
      <c r="W16" s="306" t="inlineStr">
        <is>
          <t>PROMOVIDO</t>
        </is>
      </c>
    </row>
    <row r="17" ht="25" customHeight="1" s="225">
      <c r="A17" s="287" t="n">
        <v>14</v>
      </c>
      <c r="B17" s="288" t="inlineStr">
        <is>
          <t>151960549</t>
        </is>
      </c>
      <c r="C17" s="288" t="inlineStr">
        <is>
          <t>LOJA PERALTA ARIANA VALENTINA</t>
        </is>
      </c>
      <c r="D17" s="289" t="n">
        <v>9.33</v>
      </c>
      <c r="E17" s="290" t="inlineStr">
        <is>
          <t>A-</t>
        </is>
      </c>
      <c r="F17" s="291" t="n">
        <v>9.289999999999999</v>
      </c>
      <c r="G17" s="292" t="inlineStr">
        <is>
          <t>A-</t>
        </is>
      </c>
      <c r="H17" s="293" t="n">
        <v>9.6</v>
      </c>
      <c r="I17" s="294" t="inlineStr">
        <is>
          <t>A+</t>
        </is>
      </c>
      <c r="J17" s="295" t="n">
        <v>9.27</v>
      </c>
      <c r="K17" s="296" t="inlineStr">
        <is>
          <t>A-</t>
        </is>
      </c>
      <c r="L17" s="297" t="n">
        <v>9.82</v>
      </c>
      <c r="M17" s="298" t="inlineStr">
        <is>
          <t>A+</t>
        </is>
      </c>
      <c r="N17" s="299" t="n">
        <v>9.4</v>
      </c>
      <c r="O17" s="300" t="inlineStr">
        <is>
          <t>A-</t>
        </is>
      </c>
      <c r="P17" s="301" t="n">
        <v>9.52</v>
      </c>
      <c r="Q17" s="302" t="inlineStr">
        <is>
          <t>A+</t>
        </is>
      </c>
      <c r="R17" s="296" t="inlineStr">
        <is>
          <t>A+</t>
        </is>
      </c>
      <c r="S17" s="303" t="inlineStr">
        <is>
          <t>A+</t>
        </is>
      </c>
      <c r="T17" s="304" t="n">
        <v>9.460000000000001</v>
      </c>
      <c r="U17" s="305" t="inlineStr">
        <is>
          <t>A-</t>
        </is>
      </c>
      <c r="V17" s="305" t="inlineStr">
        <is>
          <t>S</t>
        </is>
      </c>
      <c r="W17" s="306" t="inlineStr">
        <is>
          <t>PROMOVIDO</t>
        </is>
      </c>
    </row>
    <row r="18" ht="25" customHeight="1" s="225">
      <c r="A18" s="287" t="n">
        <v>15</v>
      </c>
      <c r="B18" s="288" t="inlineStr">
        <is>
          <t>151909926</t>
        </is>
      </c>
      <c r="C18" s="288" t="inlineStr">
        <is>
          <t>MAYORGA COPARA NICOLAS ALEXANDER</t>
        </is>
      </c>
      <c r="D18" s="289" t="n">
        <v>8.67</v>
      </c>
      <c r="E18" s="290" t="inlineStr">
        <is>
          <t>A-</t>
        </is>
      </c>
      <c r="F18" s="291" t="n">
        <v>8.140000000000001</v>
      </c>
      <c r="G18" s="292" t="inlineStr">
        <is>
          <t>B+</t>
        </is>
      </c>
      <c r="H18" s="293" t="n">
        <v>8.49</v>
      </c>
      <c r="I18" s="294" t="inlineStr">
        <is>
          <t>B+</t>
        </is>
      </c>
      <c r="J18" s="295" t="n">
        <v>8.32</v>
      </c>
      <c r="K18" s="296" t="inlineStr">
        <is>
          <t>B+</t>
        </is>
      </c>
      <c r="L18" s="297" t="n">
        <v>6.86</v>
      </c>
      <c r="M18" s="298" t="inlineStr">
        <is>
          <t>B-</t>
        </is>
      </c>
      <c r="N18" s="299" t="n">
        <v>8.289999999999999</v>
      </c>
      <c r="O18" s="300" t="inlineStr">
        <is>
          <t>B+</t>
        </is>
      </c>
      <c r="P18" s="301" t="n">
        <v>8.6</v>
      </c>
      <c r="Q18" s="302" t="inlineStr">
        <is>
          <t>A-</t>
        </is>
      </c>
      <c r="R18" s="296" t="inlineStr">
        <is>
          <t>A-</t>
        </is>
      </c>
      <c r="S18" s="303" t="inlineStr">
        <is>
          <t>A-</t>
        </is>
      </c>
      <c r="T18" s="304" t="n">
        <v>8.19</v>
      </c>
      <c r="U18" s="305" t="inlineStr">
        <is>
          <t>B+</t>
        </is>
      </c>
      <c r="V18" s="305" t="inlineStr">
        <is>
          <t>F</t>
        </is>
      </c>
      <c r="W18" s="306" t="inlineStr">
        <is>
          <t>PROMOVIDO</t>
        </is>
      </c>
    </row>
    <row r="19" ht="25" customHeight="1" s="225">
      <c r="A19" s="287" t="n">
        <v>17</v>
      </c>
      <c r="B19" s="288" t="inlineStr">
        <is>
          <t>151948759</t>
        </is>
      </c>
      <c r="C19" s="307" t="inlineStr">
        <is>
          <t>NAULA SANISACA DINA BALVINA</t>
        </is>
      </c>
      <c r="D19" s="289" t="n">
        <v>8.140000000000001</v>
      </c>
      <c r="E19" s="290" t="inlineStr">
        <is>
          <t>B+</t>
        </is>
      </c>
      <c r="F19" s="308" t="n">
        <v>8.6</v>
      </c>
      <c r="G19" s="292" t="inlineStr">
        <is>
          <t>A-</t>
        </is>
      </c>
      <c r="H19" s="293" t="n">
        <v>8.59</v>
      </c>
      <c r="I19" s="294" t="inlineStr">
        <is>
          <t>A-</t>
        </is>
      </c>
      <c r="J19" s="295" t="n">
        <v>8.619999999999999</v>
      </c>
      <c r="K19" s="296" t="inlineStr">
        <is>
          <t>A-</t>
        </is>
      </c>
      <c r="L19" s="297" t="n">
        <v>8.029999999999999</v>
      </c>
      <c r="M19" s="298" t="inlineStr">
        <is>
          <t>B+</t>
        </is>
      </c>
      <c r="N19" s="299" t="n">
        <v>8.869999999999999</v>
      </c>
      <c r="O19" s="300" t="inlineStr">
        <is>
          <t>A-</t>
        </is>
      </c>
      <c r="P19" s="301" t="n">
        <v>8.19</v>
      </c>
      <c r="Q19" s="302" t="inlineStr">
        <is>
          <t>B+</t>
        </is>
      </c>
      <c r="R19" s="296" t="inlineStr">
        <is>
          <t>A-</t>
        </is>
      </c>
      <c r="S19" s="303" t="inlineStr">
        <is>
          <t>A+</t>
        </is>
      </c>
      <c r="T19" s="304" t="n">
        <v>8.43</v>
      </c>
      <c r="U19" s="305" t="inlineStr">
        <is>
          <t>B+</t>
        </is>
      </c>
      <c r="V19" s="305" t="inlineStr">
        <is>
          <t>S</t>
        </is>
      </c>
      <c r="W19" s="306" t="inlineStr">
        <is>
          <t>PROMOVIDO</t>
        </is>
      </c>
    </row>
    <row r="20" ht="25" customHeight="1" s="225">
      <c r="A20" s="287" t="n">
        <v>18</v>
      </c>
      <c r="B20" s="288" t="inlineStr">
        <is>
          <t>151891447</t>
        </is>
      </c>
      <c r="C20" s="288" t="inlineStr">
        <is>
          <t>PACICHE CARDENAS JEREMY GABRIEL</t>
        </is>
      </c>
      <c r="D20" s="289" t="n">
        <v>7.68</v>
      </c>
      <c r="E20" s="290" t="inlineStr">
        <is>
          <t>B+</t>
        </is>
      </c>
      <c r="F20" s="291" t="n">
        <v>7.84</v>
      </c>
      <c r="G20" s="292" t="inlineStr">
        <is>
          <t>B+</t>
        </is>
      </c>
      <c r="H20" s="293" t="n">
        <v>8.02</v>
      </c>
      <c r="I20" s="294" t="inlineStr">
        <is>
          <t>B+</t>
        </is>
      </c>
      <c r="J20" s="295" t="n">
        <v>8.48</v>
      </c>
      <c r="K20" s="296" t="inlineStr">
        <is>
          <t>B+</t>
        </is>
      </c>
      <c r="L20" s="297" t="n">
        <v>8.69</v>
      </c>
      <c r="M20" s="298" t="inlineStr">
        <is>
          <t>A-</t>
        </is>
      </c>
      <c r="N20" s="299" t="n">
        <v>8.279999999999999</v>
      </c>
      <c r="O20" s="300" t="inlineStr">
        <is>
          <t>B+</t>
        </is>
      </c>
      <c r="P20" s="301" t="n">
        <v>8.52</v>
      </c>
      <c r="Q20" s="302" t="inlineStr">
        <is>
          <t>A-</t>
        </is>
      </c>
      <c r="R20" s="296" t="inlineStr">
        <is>
          <t>B+</t>
        </is>
      </c>
      <c r="S20" s="303" t="inlineStr">
        <is>
          <t>A+</t>
        </is>
      </c>
      <c r="T20" s="304" t="n">
        <v>8.210000000000001</v>
      </c>
      <c r="U20" s="305" t="inlineStr">
        <is>
          <t>B+</t>
        </is>
      </c>
      <c r="V20" s="305" t="inlineStr">
        <is>
          <t>S</t>
        </is>
      </c>
      <c r="W20" s="306" t="inlineStr">
        <is>
          <t>PROMOVIDO</t>
        </is>
      </c>
    </row>
    <row r="21" ht="25" customHeight="1" s="225">
      <c r="A21" s="287" t="n">
        <v>19</v>
      </c>
      <c r="B21" s="288" t="inlineStr">
        <is>
          <t>151844479</t>
        </is>
      </c>
      <c r="C21" s="288" t="inlineStr">
        <is>
          <t>PERALVO LONDA ANDERSON ISMAEL</t>
        </is>
      </c>
      <c r="D21" s="289" t="n">
        <v>8.140000000000001</v>
      </c>
      <c r="E21" s="290" t="inlineStr">
        <is>
          <t>B+</t>
        </is>
      </c>
      <c r="F21" s="291" t="n">
        <v>8.609999999999999</v>
      </c>
      <c r="G21" s="292" t="inlineStr">
        <is>
          <t>A-</t>
        </is>
      </c>
      <c r="H21" s="293" t="n">
        <v>7.88</v>
      </c>
      <c r="I21" s="294" t="inlineStr">
        <is>
          <t>B+</t>
        </is>
      </c>
      <c r="J21" s="295" t="n">
        <v>7.97</v>
      </c>
      <c r="K21" s="296" t="inlineStr">
        <is>
          <t>B+</t>
        </is>
      </c>
      <c r="L21" s="297" t="n">
        <v>8.34</v>
      </c>
      <c r="M21" s="298" t="inlineStr">
        <is>
          <t>B+</t>
        </is>
      </c>
      <c r="N21" s="299" t="n">
        <v>8.880000000000001</v>
      </c>
      <c r="O21" s="300" t="inlineStr">
        <is>
          <t>A-</t>
        </is>
      </c>
      <c r="P21" s="301" t="n">
        <v>8.51</v>
      </c>
      <c r="Q21" s="302" t="inlineStr">
        <is>
          <t>A-</t>
        </is>
      </c>
      <c r="R21" s="296" t="inlineStr">
        <is>
          <t>B+</t>
        </is>
      </c>
      <c r="S21" s="303" t="inlineStr">
        <is>
          <t>A+</t>
        </is>
      </c>
      <c r="T21" s="304" t="n">
        <v>8.33</v>
      </c>
      <c r="U21" s="305" t="inlineStr">
        <is>
          <t>B+</t>
        </is>
      </c>
      <c r="V21" s="305" t="inlineStr">
        <is>
          <t>S</t>
        </is>
      </c>
      <c r="W21" s="306" t="inlineStr">
        <is>
          <t>PROMOVIDO</t>
        </is>
      </c>
    </row>
    <row r="22" ht="25" customHeight="1" s="225">
      <c r="A22" s="287" t="n">
        <v>20</v>
      </c>
      <c r="B22" s="288" t="inlineStr">
        <is>
          <t>151900677</t>
        </is>
      </c>
      <c r="C22" s="288" t="inlineStr">
        <is>
          <t>PEÑA ULLAGUARI JOSUE ALEJANDRO</t>
        </is>
      </c>
      <c r="D22" s="289" t="n">
        <v>9.550000000000001</v>
      </c>
      <c r="E22" s="290" t="inlineStr">
        <is>
          <t>A+</t>
        </is>
      </c>
      <c r="F22" s="291" t="n">
        <v>9.77</v>
      </c>
      <c r="G22" s="292" t="inlineStr">
        <is>
          <t>A+</t>
        </is>
      </c>
      <c r="H22" s="293" t="n">
        <v>9.81</v>
      </c>
      <c r="I22" s="294" t="inlineStr">
        <is>
          <t>A+</t>
        </is>
      </c>
      <c r="J22" s="295" t="n">
        <v>9.640000000000001</v>
      </c>
      <c r="K22" s="296" t="inlineStr">
        <is>
          <t>A+</t>
        </is>
      </c>
      <c r="L22" s="297" t="n">
        <v>9.75</v>
      </c>
      <c r="M22" s="298" t="inlineStr">
        <is>
          <t>A+</t>
        </is>
      </c>
      <c r="N22" s="299" t="n">
        <v>9.609999999999999</v>
      </c>
      <c r="O22" s="300" t="inlineStr">
        <is>
          <t>A+</t>
        </is>
      </c>
      <c r="P22" s="301" t="n">
        <v>9.880000000000001</v>
      </c>
      <c r="Q22" s="302" t="inlineStr">
        <is>
          <t>A+</t>
        </is>
      </c>
      <c r="R22" s="296" t="inlineStr">
        <is>
          <t>A+</t>
        </is>
      </c>
      <c r="S22" s="303" t="inlineStr">
        <is>
          <t>A+</t>
        </is>
      </c>
      <c r="T22" s="304" t="n">
        <v>9.720000000000001</v>
      </c>
      <c r="U22" s="305" t="inlineStr">
        <is>
          <t>A+</t>
        </is>
      </c>
      <c r="V22" s="305" t="inlineStr">
        <is>
          <t>S</t>
        </is>
      </c>
      <c r="W22" s="306" t="inlineStr">
        <is>
          <t>PROMOVIDO</t>
        </is>
      </c>
    </row>
    <row r="23" ht="25" customHeight="1" s="225">
      <c r="A23" s="287" t="n">
        <v>21</v>
      </c>
      <c r="B23" s="288" t="inlineStr">
        <is>
          <t>151960291</t>
        </is>
      </c>
      <c r="C23" s="288" t="inlineStr">
        <is>
          <t>PICHU LAPO EMILY JULIETH</t>
        </is>
      </c>
      <c r="D23" s="289" t="n">
        <v>8.25</v>
      </c>
      <c r="E23" s="290" t="inlineStr">
        <is>
          <t>B+</t>
        </is>
      </c>
      <c r="F23" s="291" t="n">
        <v>8.1</v>
      </c>
      <c r="G23" s="292" t="inlineStr">
        <is>
          <t>B+</t>
        </is>
      </c>
      <c r="H23" s="293" t="n">
        <v>8.529999999999999</v>
      </c>
      <c r="I23" s="294" t="inlineStr">
        <is>
          <t>A-</t>
        </is>
      </c>
      <c r="J23" s="295" t="n">
        <v>8.32</v>
      </c>
      <c r="K23" s="296" t="inlineStr">
        <is>
          <t>B+</t>
        </is>
      </c>
      <c r="L23" s="297" t="n">
        <v>8.91</v>
      </c>
      <c r="M23" s="298" t="inlineStr">
        <is>
          <t>A-</t>
        </is>
      </c>
      <c r="N23" s="299" t="n">
        <v>8.890000000000001</v>
      </c>
      <c r="O23" s="300" t="inlineStr">
        <is>
          <t>A-</t>
        </is>
      </c>
      <c r="P23" s="301" t="n">
        <v>9.51</v>
      </c>
      <c r="Q23" s="302" t="inlineStr">
        <is>
          <t>A+</t>
        </is>
      </c>
      <c r="R23" s="296" t="inlineStr">
        <is>
          <t>B+</t>
        </is>
      </c>
      <c r="S23" s="303" t="inlineStr">
        <is>
          <t>A+</t>
        </is>
      </c>
      <c r="T23" s="304" t="n">
        <v>8.640000000000001</v>
      </c>
      <c r="U23" s="305" t="inlineStr">
        <is>
          <t>A-</t>
        </is>
      </c>
      <c r="V23" s="305" t="inlineStr">
        <is>
          <t>S</t>
        </is>
      </c>
      <c r="W23" s="306" t="inlineStr">
        <is>
          <t>PROMOVIDO</t>
        </is>
      </c>
    </row>
    <row r="24" ht="25" customHeight="1" s="225">
      <c r="A24" s="287" t="n">
        <v>22</v>
      </c>
      <c r="B24" s="288" t="inlineStr">
        <is>
          <t>751593674</t>
        </is>
      </c>
      <c r="C24" s="288" t="inlineStr">
        <is>
          <t>QUEZADA MORA CRISTOPHER ALEJANDRO</t>
        </is>
      </c>
      <c r="D24" s="289" t="n">
        <v>9.23</v>
      </c>
      <c r="E24" s="290" t="inlineStr">
        <is>
          <t>A-</t>
        </is>
      </c>
      <c r="F24" s="291" t="n">
        <v>9.09</v>
      </c>
      <c r="G24" s="292" t="inlineStr">
        <is>
          <t>A-</t>
        </is>
      </c>
      <c r="H24" s="293" t="n">
        <v>8.9</v>
      </c>
      <c r="I24" s="294" t="inlineStr">
        <is>
          <t>A-</t>
        </is>
      </c>
      <c r="J24" s="295" t="n">
        <v>8.91</v>
      </c>
      <c r="K24" s="296" t="inlineStr">
        <is>
          <t>A-</t>
        </is>
      </c>
      <c r="L24" s="297" t="n">
        <v>9.07</v>
      </c>
      <c r="M24" s="298" t="inlineStr">
        <is>
          <t>A-</t>
        </is>
      </c>
      <c r="N24" s="299" t="n">
        <v>8.949999999999999</v>
      </c>
      <c r="O24" s="300" t="inlineStr">
        <is>
          <t>A-</t>
        </is>
      </c>
      <c r="P24" s="301" t="n">
        <v>9.380000000000001</v>
      </c>
      <c r="Q24" s="302" t="inlineStr">
        <is>
          <t>A-</t>
        </is>
      </c>
      <c r="R24" s="296" t="inlineStr">
        <is>
          <t>A-</t>
        </is>
      </c>
      <c r="S24" s="303" t="inlineStr">
        <is>
          <t>A+</t>
        </is>
      </c>
      <c r="T24" s="304" t="n">
        <v>9.07</v>
      </c>
      <c r="U24" s="305" t="inlineStr">
        <is>
          <t>A-</t>
        </is>
      </c>
      <c r="V24" s="305" t="inlineStr">
        <is>
          <t>S</t>
        </is>
      </c>
      <c r="W24" s="306" t="inlineStr">
        <is>
          <t>PROMOVIDO</t>
        </is>
      </c>
    </row>
    <row r="25" ht="25" customHeight="1" s="225">
      <c r="A25" s="287" t="n">
        <v>23</v>
      </c>
      <c r="B25" s="288" t="inlineStr">
        <is>
          <t>151950490</t>
        </is>
      </c>
      <c r="C25" s="288" t="inlineStr">
        <is>
          <t>ROMOLEROUX ENCALADA KEYLA ESTEFANIA</t>
        </is>
      </c>
      <c r="D25" s="289" t="n">
        <v>8.43</v>
      </c>
      <c r="E25" s="290" t="inlineStr">
        <is>
          <t>B+</t>
        </is>
      </c>
      <c r="F25" s="291" t="n">
        <v>8.529999999999999</v>
      </c>
      <c r="G25" s="292" t="inlineStr">
        <is>
          <t>A-</t>
        </is>
      </c>
      <c r="H25" s="293" t="n">
        <v>8.48</v>
      </c>
      <c r="I25" s="294" t="inlineStr">
        <is>
          <t>B+</t>
        </is>
      </c>
      <c r="J25" s="295" t="n">
        <v>8.67</v>
      </c>
      <c r="K25" s="296" t="inlineStr">
        <is>
          <t>A-</t>
        </is>
      </c>
      <c r="L25" s="297" t="n">
        <v>8.15</v>
      </c>
      <c r="M25" s="298" t="inlineStr">
        <is>
          <t>B+</t>
        </is>
      </c>
      <c r="N25" s="299" t="n">
        <v>8.67</v>
      </c>
      <c r="O25" s="300" t="inlineStr">
        <is>
          <t>A-</t>
        </is>
      </c>
      <c r="P25" s="301" t="n">
        <v>8.42</v>
      </c>
      <c r="Q25" s="302" t="inlineStr">
        <is>
          <t>B+</t>
        </is>
      </c>
      <c r="R25" s="296" t="inlineStr">
        <is>
          <t>A-</t>
        </is>
      </c>
      <c r="S25" s="303" t="inlineStr">
        <is>
          <t>A+</t>
        </is>
      </c>
      <c r="T25" s="304" t="n">
        <v>8.48</v>
      </c>
      <c r="U25" s="305" t="inlineStr">
        <is>
          <t>B+</t>
        </is>
      </c>
      <c r="V25" s="305" t="inlineStr">
        <is>
          <t>S</t>
        </is>
      </c>
      <c r="W25" s="306" t="inlineStr">
        <is>
          <t>PROMOVIDO</t>
        </is>
      </c>
    </row>
    <row r="26" ht="25" customHeight="1" s="225">
      <c r="A26" s="287" t="n">
        <v>24</v>
      </c>
      <c r="B26" s="288" t="inlineStr">
        <is>
          <t>151839727</t>
        </is>
      </c>
      <c r="C26" s="307" t="inlineStr">
        <is>
          <t>TONATO LAVAYEN ASHLEY VALENTINA</t>
        </is>
      </c>
      <c r="D26" s="289" t="n">
        <v>9.56</v>
      </c>
      <c r="E26" s="290" t="inlineStr">
        <is>
          <t>A+</t>
        </is>
      </c>
      <c r="F26" s="308" t="n">
        <v>9.41</v>
      </c>
      <c r="G26" s="292" t="inlineStr">
        <is>
          <t>A-</t>
        </is>
      </c>
      <c r="H26" s="293" t="n">
        <v>9.859999999999999</v>
      </c>
      <c r="I26" s="294" t="inlineStr">
        <is>
          <t>A+</t>
        </is>
      </c>
      <c r="J26" s="295" t="n">
        <v>9.74</v>
      </c>
      <c r="K26" s="296" t="inlineStr">
        <is>
          <t>A+</t>
        </is>
      </c>
      <c r="L26" s="297" t="n">
        <v>9.609999999999999</v>
      </c>
      <c r="M26" s="298" t="inlineStr">
        <is>
          <t>A+</t>
        </is>
      </c>
      <c r="N26" s="299" t="n">
        <v>9.699999999999999</v>
      </c>
      <c r="O26" s="300" t="inlineStr">
        <is>
          <t>A+</t>
        </is>
      </c>
      <c r="P26" s="301" t="n">
        <v>9.76</v>
      </c>
      <c r="Q26" s="302" t="inlineStr">
        <is>
          <t>A+</t>
        </is>
      </c>
      <c r="R26" s="296" t="inlineStr">
        <is>
          <t>A+</t>
        </is>
      </c>
      <c r="S26" s="303" t="inlineStr">
        <is>
          <t>A+</t>
        </is>
      </c>
      <c r="T26" s="304" t="n">
        <v>9.66</v>
      </c>
      <c r="U26" s="305" t="inlineStr">
        <is>
          <t>A+</t>
        </is>
      </c>
      <c r="V26" s="305" t="inlineStr">
        <is>
          <t>S</t>
        </is>
      </c>
      <c r="W26" s="306" t="inlineStr">
        <is>
          <t>PROMOVIDO</t>
        </is>
      </c>
    </row>
    <row r="27" ht="25" customHeight="1" s="225">
      <c r="A27" s="287" t="n">
        <v>25</v>
      </c>
      <c r="B27" s="288" t="inlineStr">
        <is>
          <t>151979994</t>
        </is>
      </c>
      <c r="C27" s="288" t="inlineStr">
        <is>
          <t>UZHCA MIRANDA DANNA ISABELLA</t>
        </is>
      </c>
      <c r="D27" s="289" t="n">
        <v>9.460000000000001</v>
      </c>
      <c r="E27" s="290" t="inlineStr">
        <is>
          <t>A-</t>
        </is>
      </c>
      <c r="F27" s="291" t="n">
        <v>9.449999999999999</v>
      </c>
      <c r="G27" s="292" t="inlineStr">
        <is>
          <t>A-</t>
        </is>
      </c>
      <c r="H27" s="293" t="n">
        <v>9.52</v>
      </c>
      <c r="I27" s="294" t="inlineStr">
        <is>
          <t>A+</t>
        </is>
      </c>
      <c r="J27" s="295" t="n">
        <v>9.57</v>
      </c>
      <c r="K27" s="296" t="inlineStr">
        <is>
          <t>A+</t>
        </is>
      </c>
      <c r="L27" s="297" t="n">
        <v>8.460000000000001</v>
      </c>
      <c r="M27" s="298" t="inlineStr">
        <is>
          <t>B+</t>
        </is>
      </c>
      <c r="N27" s="299" t="n">
        <v>9.609999999999999</v>
      </c>
      <c r="O27" s="300" t="inlineStr">
        <is>
          <t>A+</t>
        </is>
      </c>
      <c r="P27" s="301" t="n">
        <v>9.35</v>
      </c>
      <c r="Q27" s="302" t="inlineStr">
        <is>
          <t>A-</t>
        </is>
      </c>
      <c r="R27" s="296" t="inlineStr">
        <is>
          <t>A+</t>
        </is>
      </c>
      <c r="S27" s="303" t="inlineStr">
        <is>
          <t>A+</t>
        </is>
      </c>
      <c r="T27" s="304" t="n">
        <v>9.35</v>
      </c>
      <c r="U27" s="305" t="inlineStr">
        <is>
          <t>A-</t>
        </is>
      </c>
      <c r="V27" s="305" t="inlineStr">
        <is>
          <t>S</t>
        </is>
      </c>
      <c r="W27" s="306" t="inlineStr">
        <is>
          <t>PROMOVIDO</t>
        </is>
      </c>
    </row>
    <row r="28" ht="25" customHeight="1" s="225">
      <c r="A28" s="287" t="n">
        <v>26</v>
      </c>
      <c r="B28" s="288" t="inlineStr">
        <is>
          <t>151944873</t>
        </is>
      </c>
      <c r="C28" s="307" t="inlineStr">
        <is>
          <t>VILLALTA QUINGA JARED FERNANDO</t>
        </is>
      </c>
      <c r="D28" s="289" t="n">
        <v>8.76</v>
      </c>
      <c r="E28" s="290" t="inlineStr">
        <is>
          <t>A-</t>
        </is>
      </c>
      <c r="F28" s="291" t="n">
        <v>8.67</v>
      </c>
      <c r="G28" s="292" t="inlineStr">
        <is>
          <t>A-</t>
        </is>
      </c>
      <c r="H28" s="293" t="n">
        <v>8.970000000000001</v>
      </c>
      <c r="I28" s="294" t="inlineStr">
        <is>
          <t>A-</t>
        </is>
      </c>
      <c r="J28" s="295" t="n">
        <v>8.49</v>
      </c>
      <c r="K28" s="296" t="inlineStr">
        <is>
          <t>B+</t>
        </is>
      </c>
      <c r="L28" s="297" t="n">
        <v>8.82</v>
      </c>
      <c r="M28" s="298" t="inlineStr">
        <is>
          <t>A-</t>
        </is>
      </c>
      <c r="N28" s="299" t="n">
        <v>9.08</v>
      </c>
      <c r="O28" s="300" t="inlineStr">
        <is>
          <t>A-</t>
        </is>
      </c>
      <c r="P28" s="308" t="n">
        <v>9.41</v>
      </c>
      <c r="Q28" s="302" t="inlineStr">
        <is>
          <t>A-</t>
        </is>
      </c>
      <c r="R28" s="296" t="inlineStr">
        <is>
          <t>A-</t>
        </is>
      </c>
      <c r="S28" s="303" t="inlineStr">
        <is>
          <t>A+</t>
        </is>
      </c>
      <c r="T28" s="309" t="n">
        <v>8.880000000000001</v>
      </c>
      <c r="U28" s="305" t="inlineStr">
        <is>
          <t>A-</t>
        </is>
      </c>
      <c r="V28" s="305" t="inlineStr">
        <is>
          <t>S</t>
        </is>
      </c>
      <c r="W28" s="306" t="inlineStr">
        <is>
          <t>PROMOVIDO</t>
        </is>
      </c>
    </row>
    <row r="29" ht="25" customHeight="1" s="225">
      <c r="A29" s="287" t="n">
        <v>27</v>
      </c>
      <c r="B29" s="288" t="inlineStr">
        <is>
          <t>151962529</t>
        </is>
      </c>
      <c r="C29" s="307" t="inlineStr">
        <is>
          <t>ZHUNIO ALVAREZ AMANDA ABIGAIL</t>
        </is>
      </c>
      <c r="D29" s="289" t="n">
        <v>8.550000000000001</v>
      </c>
      <c r="E29" s="290" t="inlineStr">
        <is>
          <t>A-</t>
        </is>
      </c>
      <c r="F29" s="291" t="n">
        <v>8.359999999999999</v>
      </c>
      <c r="G29" s="292" t="inlineStr">
        <is>
          <t>B+</t>
        </is>
      </c>
      <c r="H29" s="293" t="n">
        <v>8.57</v>
      </c>
      <c r="I29" s="294" t="inlineStr">
        <is>
          <t>A-</t>
        </is>
      </c>
      <c r="J29" s="295" t="n">
        <v>8.57</v>
      </c>
      <c r="K29" s="296" t="inlineStr">
        <is>
          <t>A-</t>
        </is>
      </c>
      <c r="L29" s="297" t="n">
        <v>8.9</v>
      </c>
      <c r="M29" s="298" t="inlineStr">
        <is>
          <t>A-</t>
        </is>
      </c>
      <c r="N29" s="299" t="n">
        <v>8.66</v>
      </c>
      <c r="O29" s="300" t="inlineStr">
        <is>
          <t>A-</t>
        </is>
      </c>
      <c r="P29" s="308" t="n">
        <v>8.470000000000001</v>
      </c>
      <c r="Q29" s="302" t="inlineStr">
        <is>
          <t>A-</t>
        </is>
      </c>
      <c r="R29" s="296" t="inlineStr">
        <is>
          <t>A-</t>
        </is>
      </c>
      <c r="S29" s="303" t="inlineStr">
        <is>
          <t>A+</t>
        </is>
      </c>
      <c r="T29" s="309" t="n">
        <v>8.58</v>
      </c>
      <c r="U29" s="305" t="inlineStr">
        <is>
          <t>A-</t>
        </is>
      </c>
      <c r="V29" s="305" t="inlineStr">
        <is>
          <t>S</t>
        </is>
      </c>
      <c r="W29" s="306" t="inlineStr">
        <is>
          <t>PROMOVIDO</t>
        </is>
      </c>
    </row>
    <row r="30" ht="25" customHeight="1" s="225">
      <c r="A30" s="310" t="inlineStr">
        <is>
          <t> </t>
        </is>
      </c>
      <c r="B30" s="310" t="inlineStr">
        <is>
          <t> </t>
        </is>
      </c>
      <c r="C30" s="310" t="inlineStr">
        <is>
          <t>PROMEDIO</t>
        </is>
      </c>
      <c r="D30" s="311" t="n">
        <v>8.69</v>
      </c>
      <c r="E30" s="312" t="inlineStr">
        <is>
          <t>A-</t>
        </is>
      </c>
      <c r="F30" s="313" t="n">
        <v>8.75</v>
      </c>
      <c r="G30" s="314" t="inlineStr">
        <is>
          <t>A-</t>
        </is>
      </c>
      <c r="H30" s="315" t="n">
        <v>8.77</v>
      </c>
      <c r="I30" s="316" t="inlineStr">
        <is>
          <t>A-</t>
        </is>
      </c>
      <c r="J30" s="317" t="n">
        <v>8.67</v>
      </c>
      <c r="K30" s="318" t="inlineStr">
        <is>
          <t>A-</t>
        </is>
      </c>
      <c r="L30" s="319" t="n">
        <v>8.66</v>
      </c>
      <c r="M30" s="320" t="inlineStr">
        <is>
          <t>A-</t>
        </is>
      </c>
      <c r="N30" s="321" t="n">
        <v>8.880000000000001</v>
      </c>
      <c r="O30" s="322" t="inlineStr">
        <is>
          <t>A-</t>
        </is>
      </c>
      <c r="P30" s="323" t="n">
        <v>8.92</v>
      </c>
      <c r="Q30" s="324" t="inlineStr">
        <is>
          <t>A-</t>
        </is>
      </c>
      <c r="R30" s="318" t="inlineStr">
        <is>
          <t>A-</t>
        </is>
      </c>
      <c r="S30" s="325" t="inlineStr">
        <is>
          <t>A+</t>
        </is>
      </c>
      <c r="T30" s="326" t="n">
        <v>8.75</v>
      </c>
      <c r="U30" s="325" t="inlineStr">
        <is>
          <t>A-</t>
        </is>
      </c>
      <c r="V30" s="325" t="inlineStr">
        <is>
          <t>S</t>
        </is>
      </c>
      <c r="W30" s="325" t="inlineStr">
        <is>
          <t>PROMOVIDO</t>
        </is>
      </c>
    </row>
  </sheetData>
  <mergeCells count="16">
    <mergeCell ref="L2:M2"/>
    <mergeCell ref="F2:G2"/>
    <mergeCell ref="H2:I2"/>
    <mergeCell ref="D2:E2"/>
    <mergeCell ref="A1:C1"/>
    <mergeCell ref="U2:U3"/>
    <mergeCell ref="C2:C3"/>
    <mergeCell ref="J2:K2"/>
    <mergeCell ref="N2:O2"/>
    <mergeCell ref="P2:Q2"/>
    <mergeCell ref="D1:W1"/>
    <mergeCell ref="B2:B3"/>
    <mergeCell ref="A2:A3"/>
    <mergeCell ref="V2:V3"/>
    <mergeCell ref="T2:T3"/>
    <mergeCell ref="W2:W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38" customWidth="1" style="225" min="3" max="3"/>
    <col width="6" customWidth="1" style="225" min="4" max="4"/>
    <col width="6" customWidth="1" style="225" min="5" max="5"/>
    <col width="6" customWidth="1" style="225" min="6" max="6"/>
    <col width="6" customWidth="1" style="225" min="7" max="7"/>
    <col width="6" customWidth="1" style="225" min="8" max="8"/>
    <col width="6" customWidth="1" style="225" min="9" max="9"/>
    <col width="6" customWidth="1" style="225" min="10" max="10"/>
    <col width="6" customWidth="1" style="225" min="11" max="11"/>
    <col width="6" customWidth="1" style="225" min="12" max="12"/>
    <col width="6" customWidth="1" style="225" min="13" max="13"/>
    <col width="6" customWidth="1" style="225" min="14" max="14"/>
    <col width="6" customWidth="1" style="225" min="15" max="15"/>
    <col width="6" customWidth="1" style="225" min="16" max="16"/>
    <col width="6" customWidth="1" style="225" min="17" max="17"/>
    <col width="6" customWidth="1" style="225" min="18" max="18"/>
    <col width="6" customWidth="1" style="225" min="19" max="19"/>
    <col width="6" customWidth="1" style="225" min="20" max="20"/>
    <col width="6" customWidth="1" style="225" min="21" max="21"/>
    <col width="6" customWidth="1" style="225" min="22" max="22"/>
    <col width="12" customWidth="1" style="225" min="23" max="23"/>
  </cols>
  <sheetData>
    <row r="1" ht="25" customHeight="1" s="225">
      <c r="A1" s="327" t="inlineStr">
        <is>
          <t>DATOS INFORMATIVOS
ESTUDIANTES</t>
        </is>
      </c>
      <c r="B1" s="361" t="n"/>
      <c r="C1" s="362" t="n"/>
      <c r="D1" s="330" t="inlineStr">
        <is>
          <t>MATRIZ FINAL ANUAL</t>
        </is>
      </c>
      <c r="E1" s="361" t="n"/>
      <c r="F1" s="361" t="n"/>
      <c r="G1" s="361" t="n"/>
      <c r="H1" s="361" t="n"/>
      <c r="I1" s="361" t="n"/>
      <c r="J1" s="361" t="n"/>
      <c r="K1" s="361" t="n"/>
      <c r="L1" s="361" t="n"/>
      <c r="M1" s="361" t="n"/>
      <c r="N1" s="361" t="n"/>
      <c r="O1" s="361" t="n"/>
      <c r="P1" s="361" t="n"/>
      <c r="Q1" s="361" t="n"/>
      <c r="R1" s="361" t="n"/>
      <c r="S1" s="361" t="n"/>
      <c r="T1" s="361" t="n"/>
      <c r="U1" s="361" t="n"/>
      <c r="V1" s="361" t="n"/>
      <c r="W1" s="362" t="n"/>
    </row>
    <row r="2" ht="45" customHeight="1" s="225">
      <c r="A2" s="331" t="inlineStr">
        <is>
          <t>N°</t>
        </is>
      </c>
      <c r="B2" s="331" t="inlineStr">
        <is>
          <t>CÉDULA</t>
        </is>
      </c>
      <c r="C2" s="331" t="inlineStr">
        <is>
          <t>APELLIDOS/NOMBRES</t>
        </is>
      </c>
      <c r="D2" s="332" t="inlineStr">
        <is>
          <t>LENGUA Y LITERATURA</t>
        </is>
      </c>
      <c r="E2" s="362" t="n"/>
      <c r="F2" s="333" t="inlineStr">
        <is>
          <t>MATEMÁTICA</t>
        </is>
      </c>
      <c r="G2" s="362" t="n"/>
      <c r="H2" s="334" t="inlineStr">
        <is>
          <t>CIENCIAS NATURALES</t>
        </is>
      </c>
      <c r="I2" s="362" t="n"/>
      <c r="J2" s="335" t="inlineStr">
        <is>
          <t>ESTUDIOS SOCIALES</t>
        </is>
      </c>
      <c r="K2" s="362" t="n"/>
      <c r="L2" s="336" t="inlineStr">
        <is>
          <t>INGLÉS</t>
        </is>
      </c>
      <c r="M2" s="362" t="n"/>
      <c r="N2" s="337" t="inlineStr">
        <is>
          <t>ECA</t>
        </is>
      </c>
      <c r="O2" s="362" t="n"/>
      <c r="P2" s="338" t="inlineStr">
        <is>
          <t>EDUCACIÓN FÍSICA</t>
        </is>
      </c>
      <c r="Q2" s="362" t="n"/>
      <c r="R2" s="331" t="inlineStr">
        <is>
          <t>ANIMACIÓN A
LA LECTURA</t>
        </is>
      </c>
      <c r="S2" s="331" t="inlineStr">
        <is>
          <t>CAI</t>
        </is>
      </c>
      <c r="T2" s="339" t="inlineStr">
        <is>
          <t>PROMEDIO</t>
        </is>
      </c>
      <c r="U2" s="339" t="inlineStr">
        <is>
          <t>CUALITATIVA</t>
        </is>
      </c>
      <c r="V2" s="339" t="inlineStr">
        <is>
          <t>COMPORTAMIENTO</t>
        </is>
      </c>
      <c r="W2" s="339" t="inlineStr">
        <is>
          <t>PROMOCIÓN</t>
        </is>
      </c>
    </row>
    <row r="3" ht="45" customHeight="1" s="225">
      <c r="A3" s="363" t="n"/>
      <c r="B3" s="363" t="n"/>
      <c r="C3" s="363" t="n"/>
      <c r="D3" s="341" t="inlineStr">
        <is>
          <t>NOTA</t>
        </is>
      </c>
      <c r="E3" s="341" t="inlineStr">
        <is>
          <t>CUALIT.</t>
        </is>
      </c>
      <c r="F3" s="341" t="inlineStr">
        <is>
          <t>NOTA</t>
        </is>
      </c>
      <c r="G3" s="341" t="inlineStr">
        <is>
          <t>CUALIT.</t>
        </is>
      </c>
      <c r="H3" s="341" t="inlineStr">
        <is>
          <t>NOTA</t>
        </is>
      </c>
      <c r="I3" s="341" t="inlineStr">
        <is>
          <t>CUALIT.</t>
        </is>
      </c>
      <c r="J3" s="341" t="inlineStr">
        <is>
          <t>NOTA</t>
        </is>
      </c>
      <c r="K3" s="341" t="inlineStr">
        <is>
          <t>CUALIT.</t>
        </is>
      </c>
      <c r="L3" s="341" t="inlineStr">
        <is>
          <t>NOTA</t>
        </is>
      </c>
      <c r="M3" s="341" t="inlineStr">
        <is>
          <t>CUALIT.</t>
        </is>
      </c>
      <c r="N3" s="341" t="inlineStr">
        <is>
          <t>NOTA</t>
        </is>
      </c>
      <c r="O3" s="341" t="inlineStr">
        <is>
          <t>CUALIT.</t>
        </is>
      </c>
      <c r="P3" s="341" t="inlineStr">
        <is>
          <t>NOTA</t>
        </is>
      </c>
      <c r="Q3" s="341" t="inlineStr">
        <is>
          <t>CUALIT.</t>
        </is>
      </c>
      <c r="R3" s="341" t="inlineStr">
        <is>
          <t>NOTA</t>
        </is>
      </c>
      <c r="S3" s="341" t="inlineStr">
        <is>
          <t>NOTA</t>
        </is>
      </c>
      <c r="T3" s="363" t="n"/>
      <c r="U3" s="363" t="n"/>
      <c r="V3" s="363" t="n"/>
      <c r="W3" s="363" t="n"/>
    </row>
    <row r="4" ht="20" customHeight="1" s="225">
      <c r="A4" s="342" t="inlineStr">
        <is>
          <t>1</t>
        </is>
      </c>
      <c r="B4" s="342" t="inlineStr">
        <is>
          <t>0151770310</t>
        </is>
      </c>
      <c r="C4" s="343" t="inlineStr">
        <is>
          <t>ANDRADE MEJIA ALLISSON DANIELA</t>
        </is>
      </c>
      <c r="D4" s="344" t="inlineStr">
        <is>
          <t>8,23</t>
        </is>
      </c>
      <c r="E4" s="344" t="inlineStr">
        <is>
          <t>B+</t>
        </is>
      </c>
      <c r="F4" s="345" t="inlineStr">
        <is>
          <t>8,07</t>
        </is>
      </c>
      <c r="G4" s="345" t="inlineStr">
        <is>
          <t>B+</t>
        </is>
      </c>
      <c r="H4" s="346" t="inlineStr">
        <is>
          <t>8,57</t>
        </is>
      </c>
      <c r="I4" s="346" t="inlineStr">
        <is>
          <t>A-</t>
        </is>
      </c>
      <c r="J4" s="347" t="inlineStr">
        <is>
          <t>8,41</t>
        </is>
      </c>
      <c r="K4" s="347" t="inlineStr">
        <is>
          <t>B+</t>
        </is>
      </c>
      <c r="L4" s="348" t="inlineStr">
        <is>
          <t>8,81</t>
        </is>
      </c>
      <c r="M4" s="348" t="inlineStr">
        <is>
          <t>A-</t>
        </is>
      </c>
      <c r="N4" s="344" t="inlineStr">
        <is>
          <t>8,38</t>
        </is>
      </c>
      <c r="O4" s="344" t="inlineStr">
        <is>
          <t>B+</t>
        </is>
      </c>
      <c r="P4" s="349" t="inlineStr">
        <is>
          <t>9,72</t>
        </is>
      </c>
      <c r="Q4" s="349" t="inlineStr">
        <is>
          <t>A+</t>
        </is>
      </c>
      <c r="R4" s="344" t="inlineStr">
        <is>
          <t>B+</t>
        </is>
      </c>
      <c r="S4" s="344" t="inlineStr">
        <is>
          <t>A-</t>
        </is>
      </c>
      <c r="T4" s="350" t="inlineStr">
        <is>
          <t>8,60</t>
        </is>
      </c>
      <c r="U4" s="342" t="inlineStr">
        <is>
          <t>A-</t>
        </is>
      </c>
      <c r="V4" s="342" t="inlineStr">
        <is>
          <t>S</t>
        </is>
      </c>
      <c r="W4" s="351" t="inlineStr">
        <is>
          <t>PROMOVIDO</t>
        </is>
      </c>
    </row>
    <row r="5" ht="20" customHeight="1" s="225">
      <c r="A5" s="342" t="inlineStr">
        <is>
          <t>2</t>
        </is>
      </c>
      <c r="B5" s="342" t="inlineStr">
        <is>
          <t>0151754017</t>
        </is>
      </c>
      <c r="C5" s="343" t="inlineStr">
        <is>
          <t>BELDUMA BELDUMA KENDRA YARELI</t>
        </is>
      </c>
      <c r="D5" s="344" t="inlineStr">
        <is>
          <t>8,56</t>
        </is>
      </c>
      <c r="E5" s="344" t="inlineStr">
        <is>
          <t>A-</t>
        </is>
      </c>
      <c r="F5" s="345" t="inlineStr">
        <is>
          <t>8,57</t>
        </is>
      </c>
      <c r="G5" s="345" t="inlineStr">
        <is>
          <t>A-</t>
        </is>
      </c>
      <c r="H5" s="346" t="inlineStr">
        <is>
          <t>8,54</t>
        </is>
      </c>
      <c r="I5" s="346" t="inlineStr">
        <is>
          <t>A-</t>
        </is>
      </c>
      <c r="J5" s="347" t="inlineStr">
        <is>
          <t>8,68</t>
        </is>
      </c>
      <c r="K5" s="347" t="inlineStr">
        <is>
          <t>A-</t>
        </is>
      </c>
      <c r="L5" s="348" t="inlineStr">
        <is>
          <t>8,47</t>
        </is>
      </c>
      <c r="M5" s="348" t="inlineStr">
        <is>
          <t>B+</t>
        </is>
      </c>
      <c r="N5" s="344" t="inlineStr">
        <is>
          <t>8,76</t>
        </is>
      </c>
      <c r="O5" s="344" t="inlineStr">
        <is>
          <t>A-</t>
        </is>
      </c>
      <c r="P5" s="349" t="inlineStr">
        <is>
          <t>9,41</t>
        </is>
      </c>
      <c r="Q5" s="349" t="inlineStr">
        <is>
          <t>A-</t>
        </is>
      </c>
      <c r="R5" s="344" t="inlineStr">
        <is>
          <t>A-</t>
        </is>
      </c>
      <c r="S5" s="344" t="inlineStr">
        <is>
          <t>A-</t>
        </is>
      </c>
      <c r="T5" s="350" t="inlineStr">
        <is>
          <t>8,71</t>
        </is>
      </c>
      <c r="U5" s="342" t="inlineStr">
        <is>
          <t>A-</t>
        </is>
      </c>
      <c r="V5" s="342" t="inlineStr">
        <is>
          <t>S</t>
        </is>
      </c>
      <c r="W5" s="351" t="inlineStr">
        <is>
          <t>PROMOVIDO</t>
        </is>
      </c>
    </row>
    <row r="6" ht="20" customHeight="1" s="225">
      <c r="A6" s="342" t="inlineStr">
        <is>
          <t>3</t>
        </is>
      </c>
      <c r="B6" s="342" t="inlineStr">
        <is>
          <t>0151789732</t>
        </is>
      </c>
      <c r="C6" s="352" t="inlineStr">
        <is>
          <t>CACERES PINEDA DERLYS ADRIAN</t>
        </is>
      </c>
      <c r="D6" s="344" t="inlineStr">
        <is>
          <t>8,64</t>
        </is>
      </c>
      <c r="E6" s="344" t="inlineStr">
        <is>
          <t>A-</t>
        </is>
      </c>
      <c r="F6" s="345" t="inlineStr">
        <is>
          <t>8,63</t>
        </is>
      </c>
      <c r="G6" s="345" t="inlineStr">
        <is>
          <t>A-</t>
        </is>
      </c>
      <c r="H6" s="346" t="inlineStr">
        <is>
          <t>8,42</t>
        </is>
      </c>
      <c r="I6" s="346" t="inlineStr">
        <is>
          <t>B+</t>
        </is>
      </c>
      <c r="J6" s="347" t="inlineStr">
        <is>
          <t>8,28</t>
        </is>
      </c>
      <c r="K6" s="347" t="inlineStr">
        <is>
          <t>B+</t>
        </is>
      </c>
      <c r="L6" s="348" t="inlineStr">
        <is>
          <t>8,44</t>
        </is>
      </c>
      <c r="M6" s="348" t="inlineStr">
        <is>
          <t>B+</t>
        </is>
      </c>
      <c r="N6" s="344" t="inlineStr">
        <is>
          <t>8,00</t>
        </is>
      </c>
      <c r="O6" s="344" t="inlineStr">
        <is>
          <t>B+</t>
        </is>
      </c>
      <c r="P6" s="353" t="inlineStr">
        <is>
          <t>9,39</t>
        </is>
      </c>
      <c r="Q6" s="349" t="inlineStr">
        <is>
          <t>A-</t>
        </is>
      </c>
      <c r="R6" s="344" t="inlineStr">
        <is>
          <t>B+</t>
        </is>
      </c>
      <c r="S6" s="344" t="inlineStr">
        <is>
          <t>A-</t>
        </is>
      </c>
      <c r="T6" s="353" t="inlineStr">
        <is>
          <t>8,54</t>
        </is>
      </c>
      <c r="U6" s="342" t="inlineStr">
        <is>
          <t>A-</t>
        </is>
      </c>
      <c r="V6" s="342" t="inlineStr">
        <is>
          <t>S</t>
        </is>
      </c>
      <c r="W6" s="351" t="inlineStr">
        <is>
          <t>PROMOVIDO</t>
        </is>
      </c>
    </row>
    <row r="7" ht="20" customHeight="1" s="225">
      <c r="A7" s="342" t="inlineStr">
        <is>
          <t>4</t>
        </is>
      </c>
      <c r="B7" s="342" t="inlineStr">
        <is>
          <t>0151712950</t>
        </is>
      </c>
      <c r="C7" s="352" t="inlineStr">
        <is>
          <t>CALLE SANISACA JAKOB STALYN</t>
        </is>
      </c>
      <c r="D7" s="344" t="inlineStr">
        <is>
          <t>8,33</t>
        </is>
      </c>
      <c r="E7" s="344" t="inlineStr">
        <is>
          <t>B+</t>
        </is>
      </c>
      <c r="F7" s="345" t="inlineStr">
        <is>
          <t>8,60</t>
        </is>
      </c>
      <c r="G7" s="345" t="inlineStr">
        <is>
          <t>A-</t>
        </is>
      </c>
      <c r="H7" s="346" t="inlineStr">
        <is>
          <t>8,47</t>
        </is>
      </c>
      <c r="I7" s="346" t="inlineStr">
        <is>
          <t>B+</t>
        </is>
      </c>
      <c r="J7" s="347" t="inlineStr">
        <is>
          <t>8,28</t>
        </is>
      </c>
      <c r="K7" s="347" t="inlineStr">
        <is>
          <t>B+</t>
        </is>
      </c>
      <c r="L7" s="348" t="inlineStr">
        <is>
          <t>8,72</t>
        </is>
      </c>
      <c r="M7" s="348" t="inlineStr">
        <is>
          <t>A-</t>
        </is>
      </c>
      <c r="N7" s="344" t="inlineStr">
        <is>
          <t>8,64</t>
        </is>
      </c>
      <c r="O7" s="344" t="inlineStr">
        <is>
          <t>A-</t>
        </is>
      </c>
      <c r="P7" s="353" t="inlineStr">
        <is>
          <t>9,22</t>
        </is>
      </c>
      <c r="Q7" s="349" t="inlineStr">
        <is>
          <t>A-</t>
        </is>
      </c>
      <c r="R7" s="344" t="inlineStr">
        <is>
          <t>B+</t>
        </is>
      </c>
      <c r="S7" s="344" t="inlineStr">
        <is>
          <t>A-</t>
        </is>
      </c>
      <c r="T7" s="350" t="inlineStr">
        <is>
          <t>8,61</t>
        </is>
      </c>
      <c r="U7" s="342" t="inlineStr">
        <is>
          <t>A-</t>
        </is>
      </c>
      <c r="V7" s="342" t="inlineStr">
        <is>
          <t>S</t>
        </is>
      </c>
      <c r="W7" s="351" t="inlineStr">
        <is>
          <t>PROMOVIDO</t>
        </is>
      </c>
    </row>
    <row r="8" ht="20" customHeight="1" s="225">
      <c r="A8" s="342" t="inlineStr">
        <is>
          <t>5</t>
        </is>
      </c>
      <c r="B8" s="342" t="inlineStr">
        <is>
          <t>0151726064</t>
        </is>
      </c>
      <c r="C8" s="352" t="inlineStr">
        <is>
          <t>CHACA CAMPOVERDE CRISTOPHER HELIAN</t>
        </is>
      </c>
      <c r="D8" s="344" t="inlineStr">
        <is>
          <t>9,05</t>
        </is>
      </c>
      <c r="E8" s="344" t="inlineStr">
        <is>
          <t>A-</t>
        </is>
      </c>
      <c r="F8" s="345" t="inlineStr">
        <is>
          <t>8,96</t>
        </is>
      </c>
      <c r="G8" s="345" t="inlineStr">
        <is>
          <t>A-</t>
        </is>
      </c>
      <c r="H8" s="346" t="inlineStr">
        <is>
          <t>8,87</t>
        </is>
      </c>
      <c r="I8" s="346" t="inlineStr">
        <is>
          <t>A-</t>
        </is>
      </c>
      <c r="J8" s="347" t="inlineStr">
        <is>
          <t>8,70</t>
        </is>
      </c>
      <c r="K8" s="347" t="inlineStr">
        <is>
          <t>A-</t>
        </is>
      </c>
      <c r="L8" s="348" t="inlineStr">
        <is>
          <t>8,36</t>
        </is>
      </c>
      <c r="M8" s="348" t="inlineStr">
        <is>
          <t>B+</t>
        </is>
      </c>
      <c r="N8" s="344" t="inlineStr">
        <is>
          <t>8,41</t>
        </is>
      </c>
      <c r="O8" s="344" t="inlineStr">
        <is>
          <t>B+</t>
        </is>
      </c>
      <c r="P8" s="353" t="inlineStr">
        <is>
          <t>9,25</t>
        </is>
      </c>
      <c r="Q8" s="349" t="inlineStr">
        <is>
          <t>A-</t>
        </is>
      </c>
      <c r="R8" s="344" t="inlineStr">
        <is>
          <t>A-</t>
        </is>
      </c>
      <c r="S8" s="344" t="inlineStr">
        <is>
          <t>A-</t>
        </is>
      </c>
      <c r="T8" s="353" t="inlineStr">
        <is>
          <t>8,80</t>
        </is>
      </c>
      <c r="U8" s="342" t="inlineStr">
        <is>
          <t>A-</t>
        </is>
      </c>
      <c r="V8" s="342" t="inlineStr">
        <is>
          <t>S</t>
        </is>
      </c>
      <c r="W8" s="351" t="inlineStr">
        <is>
          <t>PROMOVIDO</t>
        </is>
      </c>
    </row>
    <row r="9" ht="20" customHeight="1" s="225">
      <c r="A9" s="342" t="inlineStr">
        <is>
          <t>6</t>
        </is>
      </c>
      <c r="B9" s="342" t="inlineStr">
        <is>
          <t>0151816618</t>
        </is>
      </c>
      <c r="C9" s="352" t="inlineStr">
        <is>
          <t>CHUÑIR SALTO ASTRID BELINDA</t>
        </is>
      </c>
      <c r="D9" s="344" t="inlineStr">
        <is>
          <t>8,58</t>
        </is>
      </c>
      <c r="E9" s="344" t="inlineStr">
        <is>
          <t>A-</t>
        </is>
      </c>
      <c r="F9" s="345" t="inlineStr">
        <is>
          <t>8,46</t>
        </is>
      </c>
      <c r="G9" s="345" t="inlineStr">
        <is>
          <t>B+</t>
        </is>
      </c>
      <c r="H9" s="346" t="inlineStr">
        <is>
          <t>8,75</t>
        </is>
      </c>
      <c r="I9" s="346" t="inlineStr">
        <is>
          <t>A-</t>
        </is>
      </c>
      <c r="J9" s="347" t="inlineStr">
        <is>
          <t>8,61</t>
        </is>
      </c>
      <c r="K9" s="347" t="inlineStr">
        <is>
          <t>A-</t>
        </is>
      </c>
      <c r="L9" s="348" t="inlineStr">
        <is>
          <t>8,47</t>
        </is>
      </c>
      <c r="M9" s="348" t="inlineStr">
        <is>
          <t>B+</t>
        </is>
      </c>
      <c r="N9" s="344" t="inlineStr">
        <is>
          <t>8,99</t>
        </is>
      </c>
      <c r="O9" s="344" t="inlineStr">
        <is>
          <t>A-</t>
        </is>
      </c>
      <c r="P9" s="353" t="inlineStr">
        <is>
          <t>8,20</t>
        </is>
      </c>
      <c r="Q9" s="349" t="inlineStr">
        <is>
          <t>B+</t>
        </is>
      </c>
      <c r="R9" s="344" t="inlineStr">
        <is>
          <t>A-</t>
        </is>
      </c>
      <c r="S9" s="344" t="inlineStr">
        <is>
          <t>A-</t>
        </is>
      </c>
      <c r="T9" s="353" t="inlineStr">
        <is>
          <t>8,58</t>
        </is>
      </c>
      <c r="U9" s="342" t="inlineStr">
        <is>
          <t>A-</t>
        </is>
      </c>
      <c r="V9" s="342" t="inlineStr">
        <is>
          <t>S</t>
        </is>
      </c>
      <c r="W9" s="351" t="inlineStr">
        <is>
          <t>PROMOVIDO</t>
        </is>
      </c>
    </row>
    <row r="10" ht="20" customHeight="1" s="225">
      <c r="A10" s="342" t="inlineStr">
        <is>
          <t>7</t>
        </is>
      </c>
      <c r="B10" s="342" t="inlineStr">
        <is>
          <t>0151657012</t>
        </is>
      </c>
      <c r="C10" s="352" t="inlineStr">
        <is>
          <t>COFRE COCHA CYNTHIA ESTEFANIA</t>
        </is>
      </c>
      <c r="D10" s="344" t="inlineStr">
        <is>
          <t>8,01</t>
        </is>
      </c>
      <c r="E10" s="344" t="inlineStr">
        <is>
          <t>B+</t>
        </is>
      </c>
      <c r="F10" s="345" t="inlineStr">
        <is>
          <t>8,51</t>
        </is>
      </c>
      <c r="G10" s="345" t="inlineStr">
        <is>
          <t>A-</t>
        </is>
      </c>
      <c r="H10" s="346" t="inlineStr">
        <is>
          <t>8,16</t>
        </is>
      </c>
      <c r="I10" s="346" t="inlineStr">
        <is>
          <t>B+</t>
        </is>
      </c>
      <c r="J10" s="347" t="inlineStr">
        <is>
          <t>8,41</t>
        </is>
      </c>
      <c r="K10" s="347" t="inlineStr">
        <is>
          <t>B+</t>
        </is>
      </c>
      <c r="L10" s="348" t="inlineStr">
        <is>
          <t>8,41</t>
        </is>
      </c>
      <c r="M10" s="348" t="inlineStr">
        <is>
          <t>B+</t>
        </is>
      </c>
      <c r="N10" s="344" t="inlineStr">
        <is>
          <t>8,55</t>
        </is>
      </c>
      <c r="O10" s="344" t="inlineStr">
        <is>
          <t>A-</t>
        </is>
      </c>
      <c r="P10" s="353" t="inlineStr">
        <is>
          <t>10,00</t>
        </is>
      </c>
      <c r="Q10" s="349" t="inlineStr">
        <is>
          <t>A+</t>
        </is>
      </c>
      <c r="R10" s="344" t="inlineStr">
        <is>
          <t>B+</t>
        </is>
      </c>
      <c r="S10" s="344" t="inlineStr">
        <is>
          <t>A-</t>
        </is>
      </c>
      <c r="T10" s="353" t="inlineStr">
        <is>
          <t>8,58</t>
        </is>
      </c>
      <c r="U10" s="342" t="inlineStr">
        <is>
          <t>A-</t>
        </is>
      </c>
      <c r="V10" s="342" t="inlineStr">
        <is>
          <t>S</t>
        </is>
      </c>
      <c r="W10" s="351" t="inlineStr">
        <is>
          <t>PROMOVIDO</t>
        </is>
      </c>
    </row>
    <row r="11" ht="20" customHeight="1" s="225">
      <c r="A11" s="342" t="inlineStr">
        <is>
          <t>8</t>
        </is>
      </c>
      <c r="B11" s="342" t="inlineStr">
        <is>
          <t>1757994197</t>
        </is>
      </c>
      <c r="C11" s="352" t="inlineStr">
        <is>
          <t>CRUZ TORRES CONNIE ANGELLY</t>
        </is>
      </c>
      <c r="D11" s="344" t="inlineStr">
        <is>
          <t>9,09</t>
        </is>
      </c>
      <c r="E11" s="344" t="inlineStr">
        <is>
          <t>A-</t>
        </is>
      </c>
      <c r="F11" s="345" t="inlineStr">
        <is>
          <t>9,13</t>
        </is>
      </c>
      <c r="G11" s="345" t="inlineStr">
        <is>
          <t>A-</t>
        </is>
      </c>
      <c r="H11" s="346" t="inlineStr">
        <is>
          <t>9,05</t>
        </is>
      </c>
      <c r="I11" s="346" t="inlineStr">
        <is>
          <t>A-</t>
        </is>
      </c>
      <c r="J11" s="347" t="inlineStr">
        <is>
          <t>9,03</t>
        </is>
      </c>
      <c r="K11" s="347" t="inlineStr">
        <is>
          <t>A-</t>
        </is>
      </c>
      <c r="L11" s="348" t="inlineStr">
        <is>
          <t>9,01</t>
        </is>
      </c>
      <c r="M11" s="348" t="inlineStr">
        <is>
          <t>A-</t>
        </is>
      </c>
      <c r="N11" s="344" t="inlineStr">
        <is>
          <t>8,97</t>
        </is>
      </c>
      <c r="O11" s="344" t="inlineStr">
        <is>
          <t>A-</t>
        </is>
      </c>
      <c r="P11" s="353" t="inlineStr">
        <is>
          <t>8,57</t>
        </is>
      </c>
      <c r="Q11" s="349" t="inlineStr">
        <is>
          <t>A-</t>
        </is>
      </c>
      <c r="R11" s="344" t="inlineStr">
        <is>
          <t>A-</t>
        </is>
      </c>
      <c r="S11" s="344" t="inlineStr">
        <is>
          <t>A-</t>
        </is>
      </c>
      <c r="T11" s="353" t="inlineStr">
        <is>
          <t>8,98</t>
        </is>
      </c>
      <c r="U11" s="342" t="inlineStr">
        <is>
          <t>A-</t>
        </is>
      </c>
      <c r="V11" s="342" t="inlineStr">
        <is>
          <t>S</t>
        </is>
      </c>
      <c r="W11" s="351" t="inlineStr">
        <is>
          <t>PROMOVIDO</t>
        </is>
      </c>
    </row>
    <row r="12" ht="20" customHeight="1" s="225">
      <c r="A12" s="342" t="inlineStr">
        <is>
          <t>9</t>
        </is>
      </c>
      <c r="B12" s="342" t="inlineStr">
        <is>
          <t>0151656238</t>
        </is>
      </c>
      <c r="C12" s="343" t="inlineStr">
        <is>
          <t>CUENCA SOULEDISPA DYLAN ADRIAN</t>
        </is>
      </c>
      <c r="D12" s="344" t="inlineStr">
        <is>
          <t>8,34</t>
        </is>
      </c>
      <c r="E12" s="344" t="inlineStr">
        <is>
          <t>B+</t>
        </is>
      </c>
      <c r="F12" s="345" t="inlineStr">
        <is>
          <t>9,02</t>
        </is>
      </c>
      <c r="G12" s="345" t="inlineStr">
        <is>
          <t>A-</t>
        </is>
      </c>
      <c r="H12" s="346" t="inlineStr">
        <is>
          <t>8,85</t>
        </is>
      </c>
      <c r="I12" s="346" t="inlineStr">
        <is>
          <t>A-</t>
        </is>
      </c>
      <c r="J12" s="347" t="inlineStr">
        <is>
          <t>9,06</t>
        </is>
      </c>
      <c r="K12" s="347" t="inlineStr">
        <is>
          <t>A-</t>
        </is>
      </c>
      <c r="L12" s="348" t="inlineStr">
        <is>
          <t>8,73</t>
        </is>
      </c>
      <c r="M12" s="348" t="inlineStr">
        <is>
          <t>A-</t>
        </is>
      </c>
      <c r="N12" s="344" t="inlineStr">
        <is>
          <t>8,73</t>
        </is>
      </c>
      <c r="O12" s="344" t="inlineStr">
        <is>
          <t>A-</t>
        </is>
      </c>
      <c r="P12" s="349" t="inlineStr">
        <is>
          <t>8,98</t>
        </is>
      </c>
      <c r="Q12" s="349" t="inlineStr">
        <is>
          <t>A-</t>
        </is>
      </c>
      <c r="R12" s="344" t="inlineStr">
        <is>
          <t>B+</t>
        </is>
      </c>
      <c r="S12" s="344" t="inlineStr">
        <is>
          <t>A-</t>
        </is>
      </c>
      <c r="T12" s="350" t="inlineStr">
        <is>
          <t>8,82</t>
        </is>
      </c>
      <c r="U12" s="342" t="inlineStr">
        <is>
          <t>A-</t>
        </is>
      </c>
      <c r="V12" s="342" t="inlineStr">
        <is>
          <t>S</t>
        </is>
      </c>
      <c r="W12" s="351" t="inlineStr">
        <is>
          <t>PROMOVIDO</t>
        </is>
      </c>
    </row>
    <row r="13" ht="20" customHeight="1" s="225">
      <c r="A13" s="342" t="inlineStr">
        <is>
          <t>10</t>
        </is>
      </c>
      <c r="B13" s="342" t="inlineStr">
        <is>
          <t>0350476867</t>
        </is>
      </c>
      <c r="C13" s="352" t="inlineStr">
        <is>
          <t>FIGUEROA MUÑOZ EMILY MARIA</t>
        </is>
      </c>
      <c r="D13" s="344" t="inlineStr">
        <is>
          <t>8,21</t>
        </is>
      </c>
      <c r="E13" s="344" t="inlineStr">
        <is>
          <t>B+</t>
        </is>
      </c>
      <c r="F13" s="345" t="inlineStr">
        <is>
          <t>7,88</t>
        </is>
      </c>
      <c r="G13" s="345" t="inlineStr">
        <is>
          <t>B+</t>
        </is>
      </c>
      <c r="H13" s="346" t="inlineStr">
        <is>
          <t>8,42</t>
        </is>
      </c>
      <c r="I13" s="346" t="inlineStr">
        <is>
          <t>B+</t>
        </is>
      </c>
      <c r="J13" s="347" t="inlineStr">
        <is>
          <t>7,98</t>
        </is>
      </c>
      <c r="K13" s="347" t="inlineStr">
        <is>
          <t>B+</t>
        </is>
      </c>
      <c r="L13" s="348" t="inlineStr">
        <is>
          <t>7,97</t>
        </is>
      </c>
      <c r="M13" s="348" t="inlineStr">
        <is>
          <t>B+</t>
        </is>
      </c>
      <c r="N13" s="344" t="inlineStr">
        <is>
          <t>8,52</t>
        </is>
      </c>
      <c r="O13" s="344" t="inlineStr">
        <is>
          <t>A-</t>
        </is>
      </c>
      <c r="P13" s="353" t="inlineStr">
        <is>
          <t>9,08</t>
        </is>
      </c>
      <c r="Q13" s="349" t="inlineStr">
        <is>
          <t>A-</t>
        </is>
      </c>
      <c r="R13" s="344" t="inlineStr">
        <is>
          <t>B+</t>
        </is>
      </c>
      <c r="S13" s="344" t="inlineStr">
        <is>
          <t>A-</t>
        </is>
      </c>
      <c r="T13" s="353" t="inlineStr">
        <is>
          <t>8,29</t>
        </is>
      </c>
      <c r="U13" s="342" t="inlineStr">
        <is>
          <t>B+</t>
        </is>
      </c>
      <c r="V13" s="342" t="inlineStr">
        <is>
          <t>S</t>
        </is>
      </c>
      <c r="W13" s="351" t="inlineStr">
        <is>
          <t>PROMOVIDO</t>
        </is>
      </c>
    </row>
    <row r="14" ht="20" customHeight="1" s="225">
      <c r="A14" s="342" t="inlineStr">
        <is>
          <t>11</t>
        </is>
      </c>
      <c r="B14" s="342" t="inlineStr">
        <is>
          <t>0151691045</t>
        </is>
      </c>
      <c r="C14" s="352" t="inlineStr">
        <is>
          <t>GUZHÑAY NAULA MIA ANAHI</t>
        </is>
      </c>
      <c r="D14" s="344" t="inlineStr">
        <is>
          <t>9,08</t>
        </is>
      </c>
      <c r="E14" s="344" t="inlineStr">
        <is>
          <t>A-</t>
        </is>
      </c>
      <c r="F14" s="345" t="inlineStr">
        <is>
          <t>9,09</t>
        </is>
      </c>
      <c r="G14" s="345" t="inlineStr">
        <is>
          <t>A-</t>
        </is>
      </c>
      <c r="H14" s="346" t="inlineStr">
        <is>
          <t>9,18</t>
        </is>
      </c>
      <c r="I14" s="346" t="inlineStr">
        <is>
          <t>A-</t>
        </is>
      </c>
      <c r="J14" s="347" t="inlineStr">
        <is>
          <t>9,26</t>
        </is>
      </c>
      <c r="K14" s="347" t="inlineStr">
        <is>
          <t>A-</t>
        </is>
      </c>
      <c r="L14" s="348" t="inlineStr">
        <is>
          <t>9,60</t>
        </is>
      </c>
      <c r="M14" s="348" t="inlineStr">
        <is>
          <t>A+</t>
        </is>
      </c>
      <c r="N14" s="344" t="inlineStr">
        <is>
          <t>9,10</t>
        </is>
      </c>
      <c r="O14" s="344" t="inlineStr">
        <is>
          <t>A-</t>
        </is>
      </c>
      <c r="P14" s="353" t="inlineStr">
        <is>
          <t>9,24</t>
        </is>
      </c>
      <c r="Q14" s="349" t="inlineStr">
        <is>
          <t>A-</t>
        </is>
      </c>
      <c r="R14" s="344" t="inlineStr">
        <is>
          <t>A-</t>
        </is>
      </c>
      <c r="S14" s="344" t="inlineStr">
        <is>
          <t>A-</t>
        </is>
      </c>
      <c r="T14" s="353" t="inlineStr">
        <is>
          <t>9,22</t>
        </is>
      </c>
      <c r="U14" s="342" t="inlineStr">
        <is>
          <t>A-</t>
        </is>
      </c>
      <c r="V14" s="342" t="inlineStr">
        <is>
          <t>S</t>
        </is>
      </c>
      <c r="W14" s="351" t="inlineStr">
        <is>
          <t>PROMOVIDO</t>
        </is>
      </c>
    </row>
    <row r="15" ht="20" customHeight="1" s="225">
      <c r="A15" s="342" t="inlineStr">
        <is>
          <t>12</t>
        </is>
      </c>
      <c r="B15" s="342" t="inlineStr">
        <is>
          <t>0151737095</t>
        </is>
      </c>
      <c r="C15" s="352" t="inlineStr">
        <is>
          <t>ILLESCAS PUMA ISRAEL FERNANDO</t>
        </is>
      </c>
      <c r="D15" s="344" t="inlineStr">
        <is>
          <t>8,68</t>
        </is>
      </c>
      <c r="E15" s="344" t="inlineStr">
        <is>
          <t>A-</t>
        </is>
      </c>
      <c r="F15" s="345" t="inlineStr">
        <is>
          <t>9,27</t>
        </is>
      </c>
      <c r="G15" s="345" t="inlineStr">
        <is>
          <t>A-</t>
        </is>
      </c>
      <c r="H15" s="346" t="inlineStr">
        <is>
          <t>8,53</t>
        </is>
      </c>
      <c r="I15" s="346" t="inlineStr">
        <is>
          <t>A-</t>
        </is>
      </c>
      <c r="J15" s="347" t="inlineStr">
        <is>
          <t>8,57</t>
        </is>
      </c>
      <c r="K15" s="347" t="inlineStr">
        <is>
          <t>A-</t>
        </is>
      </c>
      <c r="L15" s="348" t="inlineStr">
        <is>
          <t>8,68</t>
        </is>
      </c>
      <c r="M15" s="348" t="inlineStr">
        <is>
          <t>A-</t>
        </is>
      </c>
      <c r="N15" s="344" t="inlineStr">
        <is>
          <t>8,74</t>
        </is>
      </c>
      <c r="O15" s="344" t="inlineStr">
        <is>
          <t>A-</t>
        </is>
      </c>
      <c r="P15" s="353" t="inlineStr">
        <is>
          <t>8,44</t>
        </is>
      </c>
      <c r="Q15" s="349" t="inlineStr">
        <is>
          <t>B+</t>
        </is>
      </c>
      <c r="R15" s="344" t="inlineStr">
        <is>
          <t>A-</t>
        </is>
      </c>
      <c r="S15" s="344" t="inlineStr">
        <is>
          <t>A-</t>
        </is>
      </c>
      <c r="T15" s="353" t="inlineStr">
        <is>
          <t>8,70</t>
        </is>
      </c>
      <c r="U15" s="342" t="inlineStr">
        <is>
          <t>A-</t>
        </is>
      </c>
      <c r="V15" s="342" t="inlineStr">
        <is>
          <t>S</t>
        </is>
      </c>
      <c r="W15" s="351" t="inlineStr">
        <is>
          <t>PROMOVIDO</t>
        </is>
      </c>
    </row>
    <row r="16" ht="20" customHeight="1" s="225">
      <c r="A16" s="342" t="inlineStr">
        <is>
          <t>13</t>
        </is>
      </c>
      <c r="B16" s="342" t="inlineStr">
        <is>
          <t>0151829769</t>
        </is>
      </c>
      <c r="C16" s="352" t="inlineStr">
        <is>
          <t>LEMA SINCHI KATHERIN BELEN</t>
        </is>
      </c>
      <c r="D16" s="344" t="inlineStr">
        <is>
          <t>8,22</t>
        </is>
      </c>
      <c r="E16" s="344" t="inlineStr">
        <is>
          <t>B+</t>
        </is>
      </c>
      <c r="F16" s="345" t="inlineStr">
        <is>
          <t>8,09</t>
        </is>
      </c>
      <c r="G16" s="345" t="inlineStr">
        <is>
          <t>B+</t>
        </is>
      </c>
      <c r="H16" s="346" t="inlineStr">
        <is>
          <t>8,18</t>
        </is>
      </c>
      <c r="I16" s="346" t="inlineStr">
        <is>
          <t>B+</t>
        </is>
      </c>
      <c r="J16" s="347" t="inlineStr">
        <is>
          <t>8,22</t>
        </is>
      </c>
      <c r="K16" s="347" t="inlineStr">
        <is>
          <t>B+</t>
        </is>
      </c>
      <c r="L16" s="348" t="inlineStr">
        <is>
          <t>8,00</t>
        </is>
      </c>
      <c r="M16" s="348" t="inlineStr">
        <is>
          <t>B+</t>
        </is>
      </c>
      <c r="N16" s="344" t="inlineStr">
        <is>
          <t>8,60</t>
        </is>
      </c>
      <c r="O16" s="344" t="inlineStr">
        <is>
          <t>A-</t>
        </is>
      </c>
      <c r="P16" s="353" t="inlineStr">
        <is>
          <t>9,70</t>
        </is>
      </c>
      <c r="Q16" s="349" t="inlineStr">
        <is>
          <t>A+</t>
        </is>
      </c>
      <c r="R16" s="344" t="inlineStr">
        <is>
          <t>B+</t>
        </is>
      </c>
      <c r="S16" s="344" t="inlineStr">
        <is>
          <t>A-</t>
        </is>
      </c>
      <c r="T16" s="353" t="inlineStr">
        <is>
          <t>8,43</t>
        </is>
      </c>
      <c r="U16" s="342" t="inlineStr">
        <is>
          <t>B+</t>
        </is>
      </c>
      <c r="V16" s="342" t="inlineStr">
        <is>
          <t>S</t>
        </is>
      </c>
      <c r="W16" s="351" t="inlineStr">
        <is>
          <t>PROMOVIDO</t>
        </is>
      </c>
    </row>
    <row r="17" ht="20" customHeight="1" s="225">
      <c r="A17" s="342" t="inlineStr">
        <is>
          <t>14</t>
        </is>
      </c>
      <c r="B17" s="342" t="inlineStr">
        <is>
          <t>0151758315</t>
        </is>
      </c>
      <c r="C17" s="352" t="inlineStr">
        <is>
          <t>LEON HUERTA ANTHONY JESUS</t>
        </is>
      </c>
      <c r="D17" s="344" t="inlineStr">
        <is>
          <t>8,39</t>
        </is>
      </c>
      <c r="E17" s="344" t="inlineStr">
        <is>
          <t>B+</t>
        </is>
      </c>
      <c r="F17" s="345" t="inlineStr">
        <is>
          <t>8,64</t>
        </is>
      </c>
      <c r="G17" s="345" t="inlineStr">
        <is>
          <t>A-</t>
        </is>
      </c>
      <c r="H17" s="346" t="inlineStr">
        <is>
          <t>8,41</t>
        </is>
      </c>
      <c r="I17" s="346" t="inlineStr">
        <is>
          <t>B+</t>
        </is>
      </c>
      <c r="J17" s="347" t="inlineStr">
        <is>
          <t>8,33</t>
        </is>
      </c>
      <c r="K17" s="347" t="inlineStr">
        <is>
          <t>B+</t>
        </is>
      </c>
      <c r="L17" s="348" t="inlineStr">
        <is>
          <t>8,12</t>
        </is>
      </c>
      <c r="M17" s="348" t="inlineStr">
        <is>
          <t>B+</t>
        </is>
      </c>
      <c r="N17" s="344" t="inlineStr">
        <is>
          <t>8,07</t>
        </is>
      </c>
      <c r="O17" s="344" t="inlineStr">
        <is>
          <t>B+</t>
        </is>
      </c>
      <c r="P17" s="353" t="inlineStr">
        <is>
          <t>9,62</t>
        </is>
      </c>
      <c r="Q17" s="349" t="inlineStr">
        <is>
          <t>A+</t>
        </is>
      </c>
      <c r="R17" s="344" t="inlineStr">
        <is>
          <t>A-</t>
        </is>
      </c>
      <c r="S17" s="344" t="inlineStr">
        <is>
          <t>A-</t>
        </is>
      </c>
      <c r="T17" s="353" t="inlineStr">
        <is>
          <t>8,51</t>
        </is>
      </c>
      <c r="U17" s="342" t="inlineStr">
        <is>
          <t>A-</t>
        </is>
      </c>
      <c r="V17" s="342" t="inlineStr">
        <is>
          <t>S</t>
        </is>
      </c>
      <c r="W17" s="351" t="inlineStr">
        <is>
          <t>PROMOVIDO</t>
        </is>
      </c>
    </row>
    <row r="18" ht="20" customHeight="1" s="225">
      <c r="A18" s="342" t="inlineStr">
        <is>
          <t>15</t>
        </is>
      </c>
      <c r="B18" s="342" t="inlineStr">
        <is>
          <t>0151707205</t>
        </is>
      </c>
      <c r="C18" s="343" t="inlineStr">
        <is>
          <t>LLIVICHUZHCA MENDOZA DANARIS VALENTINA</t>
        </is>
      </c>
      <c r="D18" s="344" t="inlineStr">
        <is>
          <t>9,25</t>
        </is>
      </c>
      <c r="E18" s="344" t="inlineStr">
        <is>
          <t>A-</t>
        </is>
      </c>
      <c r="F18" s="345" t="inlineStr">
        <is>
          <t>9,38</t>
        </is>
      </c>
      <c r="G18" s="345" t="inlineStr">
        <is>
          <t>A-</t>
        </is>
      </c>
      <c r="H18" s="346" t="inlineStr">
        <is>
          <t>9,23</t>
        </is>
      </c>
      <c r="I18" s="346" t="inlineStr">
        <is>
          <t>A-</t>
        </is>
      </c>
      <c r="J18" s="347" t="inlineStr">
        <is>
          <t>9,47</t>
        </is>
      </c>
      <c r="K18" s="347" t="inlineStr">
        <is>
          <t>A-</t>
        </is>
      </c>
      <c r="L18" s="348" t="inlineStr">
        <is>
          <t>9,35</t>
        </is>
      </c>
      <c r="M18" s="348" t="inlineStr">
        <is>
          <t>A-</t>
        </is>
      </c>
      <c r="N18" s="344" t="inlineStr">
        <is>
          <t>9,41</t>
        </is>
      </c>
      <c r="O18" s="344" t="inlineStr">
        <is>
          <t>A-</t>
        </is>
      </c>
      <c r="P18" s="349" t="inlineStr">
        <is>
          <t>9,70</t>
        </is>
      </c>
      <c r="Q18" s="349" t="inlineStr">
        <is>
          <t>A+</t>
        </is>
      </c>
      <c r="R18" s="344" t="inlineStr">
        <is>
          <t>A-</t>
        </is>
      </c>
      <c r="S18" s="344" t="inlineStr">
        <is>
          <t>A-</t>
        </is>
      </c>
      <c r="T18" s="350" t="inlineStr">
        <is>
          <t>9,40</t>
        </is>
      </c>
      <c r="U18" s="342" t="inlineStr">
        <is>
          <t>A-</t>
        </is>
      </c>
      <c r="V18" s="342" t="inlineStr">
        <is>
          <t>S</t>
        </is>
      </c>
      <c r="W18" s="351" t="inlineStr">
        <is>
          <t>PROMOVIDO</t>
        </is>
      </c>
    </row>
    <row r="19" ht="20" customHeight="1" s="225">
      <c r="A19" s="342" t="inlineStr">
        <is>
          <t>16</t>
        </is>
      </c>
      <c r="B19" s="342" t="inlineStr">
        <is>
          <t>0151773686</t>
        </is>
      </c>
      <c r="C19" s="352" t="inlineStr">
        <is>
          <t>MALLA TELLO DAYNARA ZURY</t>
        </is>
      </c>
      <c r="D19" s="344" t="inlineStr">
        <is>
          <t>7,68</t>
        </is>
      </c>
      <c r="E19" s="344" t="inlineStr">
        <is>
          <t>B+</t>
        </is>
      </c>
      <c r="F19" s="345" t="inlineStr">
        <is>
          <t>7,51</t>
        </is>
      </c>
      <c r="G19" s="345" t="inlineStr">
        <is>
          <t>B+</t>
        </is>
      </c>
      <c r="H19" s="346" t="inlineStr">
        <is>
          <t>8,02</t>
        </is>
      </c>
      <c r="I19" s="346" t="inlineStr">
        <is>
          <t>B+</t>
        </is>
      </c>
      <c r="J19" s="347" t="inlineStr">
        <is>
          <t>7,87</t>
        </is>
      </c>
      <c r="K19" s="347" t="inlineStr">
        <is>
          <t>B+</t>
        </is>
      </c>
      <c r="L19" s="348" t="inlineStr">
        <is>
          <t>7,81</t>
        </is>
      </c>
      <c r="M19" s="348" t="inlineStr">
        <is>
          <t>B+</t>
        </is>
      </c>
      <c r="N19" s="344" t="inlineStr">
        <is>
          <t>8,32</t>
        </is>
      </c>
      <c r="O19" s="344" t="inlineStr">
        <is>
          <t>B+</t>
        </is>
      </c>
      <c r="P19" s="353" t="inlineStr">
        <is>
          <t>8,65</t>
        </is>
      </c>
      <c r="Q19" s="349" t="inlineStr">
        <is>
          <t>A-</t>
        </is>
      </c>
      <c r="R19" s="344" t="inlineStr">
        <is>
          <t>A-</t>
        </is>
      </c>
      <c r="S19" s="344" t="inlineStr">
        <is>
          <t>A-</t>
        </is>
      </c>
      <c r="T19" s="350" t="inlineStr">
        <is>
          <t>7,98</t>
        </is>
      </c>
      <c r="U19" s="342" t="inlineStr">
        <is>
          <t>B+</t>
        </is>
      </c>
      <c r="V19" s="342" t="inlineStr">
        <is>
          <t>S</t>
        </is>
      </c>
      <c r="W19" s="351" t="inlineStr">
        <is>
          <t>PROMOVIDO</t>
        </is>
      </c>
    </row>
    <row r="20" ht="20" customHeight="1" s="225">
      <c r="A20" s="342" t="inlineStr">
        <is>
          <t>17</t>
        </is>
      </c>
      <c r="B20" s="342" t="inlineStr">
        <is>
          <t>0151730796</t>
        </is>
      </c>
      <c r="C20" s="352" t="inlineStr">
        <is>
          <t>MALLA YARI DAMIAN ALEJANDRO</t>
        </is>
      </c>
      <c r="D20" s="344" t="inlineStr">
        <is>
          <t>7,37</t>
        </is>
      </c>
      <c r="E20" s="344" t="inlineStr">
        <is>
          <t>B-</t>
        </is>
      </c>
      <c r="F20" s="345" t="inlineStr">
        <is>
          <t>7,29</t>
        </is>
      </c>
      <c r="G20" s="345" t="inlineStr">
        <is>
          <t>B-</t>
        </is>
      </c>
      <c r="H20" s="346" t="inlineStr">
        <is>
          <t>7,70</t>
        </is>
      </c>
      <c r="I20" s="346" t="inlineStr">
        <is>
          <t>B+</t>
        </is>
      </c>
      <c r="J20" s="347" t="inlineStr">
        <is>
          <t>7,15</t>
        </is>
      </c>
      <c r="K20" s="347" t="inlineStr">
        <is>
          <t>B-</t>
        </is>
      </c>
      <c r="L20" s="348" t="inlineStr">
        <is>
          <t>6,88</t>
        </is>
      </c>
      <c r="M20" s="348" t="inlineStr">
        <is>
          <t>B-</t>
        </is>
      </c>
      <c r="N20" s="344" t="inlineStr">
        <is>
          <t>7,20</t>
        </is>
      </c>
      <c r="O20" s="344" t="inlineStr">
        <is>
          <t>B-</t>
        </is>
      </c>
      <c r="P20" s="353" t="inlineStr">
        <is>
          <t>9,70</t>
        </is>
      </c>
      <c r="Q20" s="349" t="inlineStr">
        <is>
          <t>A+</t>
        </is>
      </c>
      <c r="R20" s="344" t="inlineStr">
        <is>
          <t>B+</t>
        </is>
      </c>
      <c r="S20" s="344" t="inlineStr">
        <is>
          <t>A-</t>
        </is>
      </c>
      <c r="T20" s="353" t="inlineStr">
        <is>
          <t>7,61</t>
        </is>
      </c>
      <c r="U20" s="342" t="inlineStr">
        <is>
          <t>B+</t>
        </is>
      </c>
      <c r="V20" s="342" t="inlineStr">
        <is>
          <t>S</t>
        </is>
      </c>
      <c r="W20" s="351" t="inlineStr">
        <is>
          <t>PROMOVIDO</t>
        </is>
      </c>
    </row>
    <row r="21" ht="20" customHeight="1" s="225">
      <c r="A21" s="342" t="inlineStr">
        <is>
          <t>18</t>
        </is>
      </c>
      <c r="B21" s="342" t="inlineStr">
        <is>
          <t>0151770997</t>
        </is>
      </c>
      <c r="C21" s="352" t="inlineStr">
        <is>
          <t>MARTOS CACERES SEBASTIAN JAVIER</t>
        </is>
      </c>
      <c r="D21" s="344" t="inlineStr">
        <is>
          <t>9,39</t>
        </is>
      </c>
      <c r="E21" s="344" t="inlineStr">
        <is>
          <t>A-</t>
        </is>
      </c>
      <c r="F21" s="345" t="inlineStr">
        <is>
          <t>9,62</t>
        </is>
      </c>
      <c r="G21" s="345" t="inlineStr">
        <is>
          <t>A+</t>
        </is>
      </c>
      <c r="H21" s="346" t="inlineStr">
        <is>
          <t>9,23</t>
        </is>
      </c>
      <c r="I21" s="346" t="inlineStr">
        <is>
          <t>A-</t>
        </is>
      </c>
      <c r="J21" s="347" t="inlineStr">
        <is>
          <t>9,24</t>
        </is>
      </c>
      <c r="K21" s="347" t="inlineStr">
        <is>
          <t>A-</t>
        </is>
      </c>
      <c r="L21" s="348" t="inlineStr">
        <is>
          <t>9,52</t>
        </is>
      </c>
      <c r="M21" s="348" t="inlineStr">
        <is>
          <t>A+</t>
        </is>
      </c>
      <c r="N21" s="344" t="inlineStr">
        <is>
          <t>8,94</t>
        </is>
      </c>
      <c r="O21" s="344" t="inlineStr">
        <is>
          <t>A-</t>
        </is>
      </c>
      <c r="P21" s="353" t="inlineStr">
        <is>
          <t>9,14</t>
        </is>
      </c>
      <c r="Q21" s="349" t="inlineStr">
        <is>
          <t>A-</t>
        </is>
      </c>
      <c r="R21" s="344" t="inlineStr">
        <is>
          <t>A-</t>
        </is>
      </c>
      <c r="S21" s="344" t="inlineStr">
        <is>
          <t>A-</t>
        </is>
      </c>
      <c r="T21" s="350" t="inlineStr">
        <is>
          <t>9,30</t>
        </is>
      </c>
      <c r="U21" s="342" t="inlineStr">
        <is>
          <t>A-</t>
        </is>
      </c>
      <c r="V21" s="342" t="inlineStr">
        <is>
          <t>S</t>
        </is>
      </c>
      <c r="W21" s="351" t="inlineStr">
        <is>
          <t>PROMOVIDO</t>
        </is>
      </c>
    </row>
    <row r="22" ht="20" customHeight="1" s="225">
      <c r="A22" s="342" t="inlineStr">
        <is>
          <t>19</t>
        </is>
      </c>
      <c r="B22" s="342" t="inlineStr">
        <is>
          <t>0151745585</t>
        </is>
      </c>
      <c r="C22" s="352" t="inlineStr">
        <is>
          <t>MENDEZ MENDEZ ERIKA TATIANA</t>
        </is>
      </c>
      <c r="D22" s="344" t="inlineStr">
        <is>
          <t>7,90</t>
        </is>
      </c>
      <c r="E22" s="344" t="inlineStr">
        <is>
          <t>B+</t>
        </is>
      </c>
      <c r="F22" s="345" t="inlineStr">
        <is>
          <t>7,81</t>
        </is>
      </c>
      <c r="G22" s="345" t="inlineStr">
        <is>
          <t>B+</t>
        </is>
      </c>
      <c r="H22" s="346" t="inlineStr">
        <is>
          <t>7,99</t>
        </is>
      </c>
      <c r="I22" s="346" t="inlineStr">
        <is>
          <t>B+</t>
        </is>
      </c>
      <c r="J22" s="347" t="inlineStr">
        <is>
          <t>7,73</t>
        </is>
      </c>
      <c r="K22" s="347" t="inlineStr">
        <is>
          <t>B+</t>
        </is>
      </c>
      <c r="L22" s="348" t="inlineStr">
        <is>
          <t>7,39</t>
        </is>
      </c>
      <c r="M22" s="348" t="inlineStr">
        <is>
          <t>B-</t>
        </is>
      </c>
      <c r="N22" s="344" t="inlineStr">
        <is>
          <t>8,19</t>
        </is>
      </c>
      <c r="O22" s="344" t="inlineStr">
        <is>
          <t>B+</t>
        </is>
      </c>
      <c r="P22" s="353" t="inlineStr">
        <is>
          <t>9,19</t>
        </is>
      </c>
      <c r="Q22" s="349" t="inlineStr">
        <is>
          <t>A-</t>
        </is>
      </c>
      <c r="R22" s="344" t="inlineStr">
        <is>
          <t>B+</t>
        </is>
      </c>
      <c r="S22" s="344" t="inlineStr">
        <is>
          <t>A-</t>
        </is>
      </c>
      <c r="T22" s="353" t="inlineStr">
        <is>
          <t>8,03</t>
        </is>
      </c>
      <c r="U22" s="342" t="inlineStr">
        <is>
          <t>B+</t>
        </is>
      </c>
      <c r="V22" s="342" t="inlineStr">
        <is>
          <t>S</t>
        </is>
      </c>
      <c r="W22" s="351" t="inlineStr">
        <is>
          <t>PROMOVIDO</t>
        </is>
      </c>
    </row>
    <row r="23" ht="20" customHeight="1" s="225">
      <c r="A23" s="342" t="inlineStr">
        <is>
          <t>20</t>
        </is>
      </c>
      <c r="B23" s="342" t="inlineStr">
        <is>
          <t>0151671195</t>
        </is>
      </c>
      <c r="C23" s="352" t="inlineStr">
        <is>
          <t>MOLINA SUIN CAMILO GABRIEL</t>
        </is>
      </c>
      <c r="D23" s="344" t="inlineStr">
        <is>
          <t>9,00</t>
        </is>
      </c>
      <c r="E23" s="344" t="inlineStr">
        <is>
          <t>A-</t>
        </is>
      </c>
      <c r="F23" s="345" t="inlineStr">
        <is>
          <t>9,30</t>
        </is>
      </c>
      <c r="G23" s="345" t="inlineStr">
        <is>
          <t>A-</t>
        </is>
      </c>
      <c r="H23" s="346" t="inlineStr">
        <is>
          <t>9,13</t>
        </is>
      </c>
      <c r="I23" s="346" t="inlineStr">
        <is>
          <t>A-</t>
        </is>
      </c>
      <c r="J23" s="347" t="inlineStr">
        <is>
          <t>8,87</t>
        </is>
      </c>
      <c r="K23" s="347" t="inlineStr">
        <is>
          <t>A-</t>
        </is>
      </c>
      <c r="L23" s="348" t="inlineStr">
        <is>
          <t>8,85</t>
        </is>
      </c>
      <c r="M23" s="348" t="inlineStr">
        <is>
          <t>A-</t>
        </is>
      </c>
      <c r="N23" s="344" t="inlineStr">
        <is>
          <t>9,14</t>
        </is>
      </c>
      <c r="O23" s="344" t="inlineStr">
        <is>
          <t>A-</t>
        </is>
      </c>
      <c r="P23" s="353" t="inlineStr">
        <is>
          <t>8,60</t>
        </is>
      </c>
      <c r="Q23" s="349" t="inlineStr">
        <is>
          <t>A-</t>
        </is>
      </c>
      <c r="R23" s="344" t="inlineStr">
        <is>
          <t>A-</t>
        </is>
      </c>
      <c r="S23" s="344" t="inlineStr">
        <is>
          <t>A-</t>
        </is>
      </c>
      <c r="T23" s="353" t="inlineStr">
        <is>
          <t>8,99</t>
        </is>
      </c>
      <c r="U23" s="342" t="inlineStr">
        <is>
          <t>A-</t>
        </is>
      </c>
      <c r="V23" s="342" t="inlineStr">
        <is>
          <t>S</t>
        </is>
      </c>
      <c r="W23" s="351" t="inlineStr">
        <is>
          <t>PROMOVIDO</t>
        </is>
      </c>
    </row>
    <row r="24" ht="20" customHeight="1" s="225">
      <c r="A24" s="342" t="inlineStr">
        <is>
          <t>21</t>
        </is>
      </c>
      <c r="B24" s="342" t="inlineStr">
        <is>
          <t>0151747482</t>
        </is>
      </c>
      <c r="C24" s="352" t="inlineStr">
        <is>
          <t>MORA TIGRE KATIA JORDANA</t>
        </is>
      </c>
      <c r="D24" s="344" t="inlineStr">
        <is>
          <t>7,96</t>
        </is>
      </c>
      <c r="E24" s="344" t="inlineStr">
        <is>
          <t>B+</t>
        </is>
      </c>
      <c r="F24" s="345" t="inlineStr">
        <is>
          <t>7,60</t>
        </is>
      </c>
      <c r="G24" s="345" t="inlineStr">
        <is>
          <t>B+</t>
        </is>
      </c>
      <c r="H24" s="346" t="inlineStr">
        <is>
          <t>8,02</t>
        </is>
      </c>
      <c r="I24" s="346" t="inlineStr">
        <is>
          <t>B+</t>
        </is>
      </c>
      <c r="J24" s="347" t="inlineStr">
        <is>
          <t>7,78</t>
        </is>
      </c>
      <c r="K24" s="347" t="inlineStr">
        <is>
          <t>B+</t>
        </is>
      </c>
      <c r="L24" s="348" t="inlineStr">
        <is>
          <t>7,60</t>
        </is>
      </c>
      <c r="M24" s="348" t="inlineStr">
        <is>
          <t>B+</t>
        </is>
      </c>
      <c r="N24" s="344" t="inlineStr">
        <is>
          <t>8,01</t>
        </is>
      </c>
      <c r="O24" s="344" t="inlineStr">
        <is>
          <t>B+</t>
        </is>
      </c>
      <c r="P24" s="353" t="inlineStr">
        <is>
          <t>9,10</t>
        </is>
      </c>
      <c r="Q24" s="349" t="inlineStr">
        <is>
          <t>A-</t>
        </is>
      </c>
      <c r="R24" s="344" t="inlineStr">
        <is>
          <t>B+</t>
        </is>
      </c>
      <c r="S24" s="344" t="inlineStr">
        <is>
          <t>A-</t>
        </is>
      </c>
      <c r="T24" s="353" t="inlineStr">
        <is>
          <t>8,01</t>
        </is>
      </c>
      <c r="U24" s="342" t="inlineStr">
        <is>
          <t>B+</t>
        </is>
      </c>
      <c r="V24" s="342" t="inlineStr">
        <is>
          <t>S</t>
        </is>
      </c>
      <c r="W24" s="351" t="inlineStr">
        <is>
          <t>PROMOVIDO</t>
        </is>
      </c>
    </row>
    <row r="25" ht="20" customHeight="1" s="225">
      <c r="A25" s="342" t="inlineStr">
        <is>
          <t>22</t>
        </is>
      </c>
      <c r="B25" s="342" t="inlineStr">
        <is>
          <t>0151755115</t>
        </is>
      </c>
      <c r="C25" s="352" t="inlineStr">
        <is>
          <t>MOREIRA FLORES BIANCA NATALIA</t>
        </is>
      </c>
      <c r="D25" s="344" t="inlineStr">
        <is>
          <t>7,70</t>
        </is>
      </c>
      <c r="E25" s="344" t="inlineStr">
        <is>
          <t>B+</t>
        </is>
      </c>
      <c r="F25" s="345" t="inlineStr">
        <is>
          <t>7,91</t>
        </is>
      </c>
      <c r="G25" s="345" t="inlineStr">
        <is>
          <t>B+</t>
        </is>
      </c>
      <c r="H25" s="346" t="inlineStr">
        <is>
          <t>8,33</t>
        </is>
      </c>
      <c r="I25" s="346" t="inlineStr">
        <is>
          <t>B+</t>
        </is>
      </c>
      <c r="J25" s="347" t="inlineStr">
        <is>
          <t>8,13</t>
        </is>
      </c>
      <c r="K25" s="347" t="inlineStr">
        <is>
          <t>B+</t>
        </is>
      </c>
      <c r="L25" s="348" t="inlineStr">
        <is>
          <t>8,08</t>
        </is>
      </c>
      <c r="M25" s="348" t="inlineStr">
        <is>
          <t>B+</t>
        </is>
      </c>
      <c r="N25" s="344" t="inlineStr">
        <is>
          <t>8,23</t>
        </is>
      </c>
      <c r="O25" s="344" t="inlineStr">
        <is>
          <t>B+</t>
        </is>
      </c>
      <c r="P25" s="353" t="inlineStr">
        <is>
          <t>9,09</t>
        </is>
      </c>
      <c r="Q25" s="349" t="inlineStr">
        <is>
          <t>A-</t>
        </is>
      </c>
      <c r="R25" s="344" t="inlineStr">
        <is>
          <t>B-</t>
        </is>
      </c>
      <c r="S25" s="344" t="inlineStr">
        <is>
          <t>A-</t>
        </is>
      </c>
      <c r="T25" s="353" t="inlineStr">
        <is>
          <t>8,21</t>
        </is>
      </c>
      <c r="U25" s="342" t="inlineStr">
        <is>
          <t>B+</t>
        </is>
      </c>
      <c r="V25" s="342" t="inlineStr">
        <is>
          <t>S</t>
        </is>
      </c>
      <c r="W25" s="351" t="inlineStr">
        <is>
          <t>PROMOVIDO</t>
        </is>
      </c>
    </row>
    <row r="26" ht="20" customHeight="1" s="225">
      <c r="A26" s="342" t="inlineStr">
        <is>
          <t>23</t>
        </is>
      </c>
      <c r="B26" s="342" t="inlineStr">
        <is>
          <t>0151701810</t>
        </is>
      </c>
      <c r="C26" s="352" t="inlineStr">
        <is>
          <t>MUZHA PINDO ASHLEY ANAHI</t>
        </is>
      </c>
      <c r="D26" s="344" t="inlineStr">
        <is>
          <t>8,07</t>
        </is>
      </c>
      <c r="E26" s="344" t="inlineStr">
        <is>
          <t>B+</t>
        </is>
      </c>
      <c r="F26" s="345" t="inlineStr">
        <is>
          <t>8,34</t>
        </is>
      </c>
      <c r="G26" s="345" t="inlineStr">
        <is>
          <t>B+</t>
        </is>
      </c>
      <c r="H26" s="346" t="inlineStr">
        <is>
          <t>8,50</t>
        </is>
      </c>
      <c r="I26" s="346" t="inlineStr">
        <is>
          <t>A-</t>
        </is>
      </c>
      <c r="J26" s="347" t="inlineStr">
        <is>
          <t>8,40</t>
        </is>
      </c>
      <c r="K26" s="347" t="inlineStr">
        <is>
          <t>B+</t>
        </is>
      </c>
      <c r="L26" s="348" t="inlineStr">
        <is>
          <t>8,65</t>
        </is>
      </c>
      <c r="M26" s="348" t="inlineStr">
        <is>
          <t>A-</t>
        </is>
      </c>
      <c r="N26" s="344" t="inlineStr">
        <is>
          <t>8,45</t>
        </is>
      </c>
      <c r="O26" s="344" t="inlineStr">
        <is>
          <t>B+</t>
        </is>
      </c>
      <c r="P26" s="353" t="inlineStr">
        <is>
          <t>8,12</t>
        </is>
      </c>
      <c r="Q26" s="349" t="inlineStr">
        <is>
          <t>B+</t>
        </is>
      </c>
      <c r="R26" s="344" t="inlineStr">
        <is>
          <t>B+</t>
        </is>
      </c>
      <c r="S26" s="344" t="inlineStr">
        <is>
          <t>A-</t>
        </is>
      </c>
      <c r="T26" s="353" t="inlineStr">
        <is>
          <t>8,36</t>
        </is>
      </c>
      <c r="U26" s="342" t="inlineStr">
        <is>
          <t>B+</t>
        </is>
      </c>
      <c r="V26" s="342" t="inlineStr">
        <is>
          <t>S</t>
        </is>
      </c>
      <c r="W26" s="351" t="inlineStr">
        <is>
          <t>PROMOVIDO</t>
        </is>
      </c>
    </row>
    <row r="27" ht="20" customHeight="1" s="225">
      <c r="A27" s="342" t="inlineStr">
        <is>
          <t>24</t>
        </is>
      </c>
      <c r="B27" s="342" t="inlineStr">
        <is>
          <t>0350454328</t>
        </is>
      </c>
      <c r="C27" s="352" t="inlineStr">
        <is>
          <t>ORELLANA GUICHAY JAIME EXEQUIEL</t>
        </is>
      </c>
      <c r="D27" s="344" t="inlineStr">
        <is>
          <t>8,29</t>
        </is>
      </c>
      <c r="E27" s="344" t="inlineStr">
        <is>
          <t>B+</t>
        </is>
      </c>
      <c r="F27" s="345" t="inlineStr">
        <is>
          <t>8,64</t>
        </is>
      </c>
      <c r="G27" s="345" t="inlineStr">
        <is>
          <t>A-</t>
        </is>
      </c>
      <c r="H27" s="346" t="inlineStr">
        <is>
          <t>8,85</t>
        </is>
      </c>
      <c r="I27" s="346" t="inlineStr">
        <is>
          <t>A-</t>
        </is>
      </c>
      <c r="J27" s="347" t="inlineStr">
        <is>
          <t>8,36</t>
        </is>
      </c>
      <c r="K27" s="347" t="inlineStr">
        <is>
          <t>B+</t>
        </is>
      </c>
      <c r="L27" s="348" t="inlineStr">
        <is>
          <t>8,46</t>
        </is>
      </c>
      <c r="M27" s="348" t="inlineStr">
        <is>
          <t>B+</t>
        </is>
      </c>
      <c r="N27" s="344" t="inlineStr">
        <is>
          <t>8,88</t>
        </is>
      </c>
      <c r="O27" s="344" t="inlineStr">
        <is>
          <t>A-</t>
        </is>
      </c>
      <c r="P27" s="353" t="inlineStr">
        <is>
          <t>8,30</t>
        </is>
      </c>
      <c r="Q27" s="349" t="inlineStr">
        <is>
          <t>B+</t>
        </is>
      </c>
      <c r="R27" s="344" t="inlineStr">
        <is>
          <t>B+</t>
        </is>
      </c>
      <c r="S27" s="344" t="inlineStr">
        <is>
          <t>A-</t>
        </is>
      </c>
      <c r="T27" s="353" t="inlineStr">
        <is>
          <t>8,54</t>
        </is>
      </c>
      <c r="U27" s="342" t="inlineStr">
        <is>
          <t>A-</t>
        </is>
      </c>
      <c r="V27" s="342" t="inlineStr">
        <is>
          <t>S</t>
        </is>
      </c>
      <c r="W27" s="351" t="inlineStr">
        <is>
          <t>PROMOVIDO</t>
        </is>
      </c>
    </row>
    <row r="28" ht="20" customHeight="1" s="225">
      <c r="A28" s="342" t="inlineStr">
        <is>
          <t>25</t>
        </is>
      </c>
      <c r="B28" s="342" t="inlineStr">
        <is>
          <t>0151625075</t>
        </is>
      </c>
      <c r="C28" s="343" t="inlineStr">
        <is>
          <t>PARRA TUDAY ALISSON ARLETTE</t>
        </is>
      </c>
      <c r="D28" s="344" t="inlineStr">
        <is>
          <t>8,26</t>
        </is>
      </c>
      <c r="E28" s="344" t="inlineStr">
        <is>
          <t>B+</t>
        </is>
      </c>
      <c r="F28" s="345" t="inlineStr">
        <is>
          <t>8,11</t>
        </is>
      </c>
      <c r="G28" s="345" t="inlineStr">
        <is>
          <t>B+</t>
        </is>
      </c>
      <c r="H28" s="346" t="inlineStr">
        <is>
          <t>8,34</t>
        </is>
      </c>
      <c r="I28" s="346" t="inlineStr">
        <is>
          <t>B+</t>
        </is>
      </c>
      <c r="J28" s="347" t="inlineStr">
        <is>
          <t>8,54</t>
        </is>
      </c>
      <c r="K28" s="347" t="inlineStr">
        <is>
          <t>A-</t>
        </is>
      </c>
      <c r="L28" s="348" t="inlineStr">
        <is>
          <t>8,39</t>
        </is>
      </c>
      <c r="M28" s="348" t="inlineStr">
        <is>
          <t>B+</t>
        </is>
      </c>
      <c r="N28" s="344" t="inlineStr">
        <is>
          <t>8,53</t>
        </is>
      </c>
      <c r="O28" s="344" t="inlineStr">
        <is>
          <t>A-</t>
        </is>
      </c>
      <c r="P28" s="349" t="inlineStr">
        <is>
          <t>8,64</t>
        </is>
      </c>
      <c r="Q28" s="349" t="inlineStr">
        <is>
          <t>A-</t>
        </is>
      </c>
      <c r="R28" s="344" t="inlineStr">
        <is>
          <t>A-</t>
        </is>
      </c>
      <c r="S28" s="344" t="inlineStr">
        <is>
          <t>A-</t>
        </is>
      </c>
      <c r="T28" s="350" t="inlineStr">
        <is>
          <t>8,40</t>
        </is>
      </c>
      <c r="U28" s="342" t="inlineStr">
        <is>
          <t>B+</t>
        </is>
      </c>
      <c r="V28" s="342" t="inlineStr">
        <is>
          <t>S</t>
        </is>
      </c>
      <c r="W28" s="351" t="inlineStr">
        <is>
          <t>PROMOVIDO</t>
        </is>
      </c>
    </row>
    <row r="29" ht="20" customHeight="1" s="225">
      <c r="A29" s="342" t="inlineStr">
        <is>
          <t>26</t>
        </is>
      </c>
      <c r="B29" s="342" t="inlineStr">
        <is>
          <t>0151779949</t>
        </is>
      </c>
      <c r="C29" s="343" t="inlineStr">
        <is>
          <t>PAUCAR ESPINOZA STEVEN JHOSE</t>
        </is>
      </c>
      <c r="D29" s="344" t="inlineStr">
        <is>
          <t>8,39</t>
        </is>
      </c>
      <c r="E29" s="344" t="inlineStr">
        <is>
          <t>B+</t>
        </is>
      </c>
      <c r="F29" s="345" t="inlineStr">
        <is>
          <t>9,35</t>
        </is>
      </c>
      <c r="G29" s="345" t="inlineStr">
        <is>
          <t>A-</t>
        </is>
      </c>
      <c r="H29" s="346" t="inlineStr">
        <is>
          <t>9,30</t>
        </is>
      </c>
      <c r="I29" s="346" t="inlineStr">
        <is>
          <t>A-</t>
        </is>
      </c>
      <c r="J29" s="347" t="inlineStr">
        <is>
          <t>8,64</t>
        </is>
      </c>
      <c r="K29" s="347" t="inlineStr">
        <is>
          <t>A-</t>
        </is>
      </c>
      <c r="L29" s="348" t="inlineStr">
        <is>
          <t>9,34</t>
        </is>
      </c>
      <c r="M29" s="348" t="inlineStr">
        <is>
          <t>A-</t>
        </is>
      </c>
      <c r="N29" s="344" t="inlineStr">
        <is>
          <t>8,95</t>
        </is>
      </c>
      <c r="O29" s="344" t="inlineStr">
        <is>
          <t>A-</t>
        </is>
      </c>
      <c r="P29" s="349" t="inlineStr">
        <is>
          <t>9,16</t>
        </is>
      </c>
      <c r="Q29" s="349" t="inlineStr">
        <is>
          <t>A-</t>
        </is>
      </c>
      <c r="R29" s="344" t="inlineStr">
        <is>
          <t>B-</t>
        </is>
      </c>
      <c r="S29" s="344" t="inlineStr">
        <is>
          <t>A-</t>
        </is>
      </c>
      <c r="T29" s="350" t="inlineStr">
        <is>
          <t>9,02</t>
        </is>
      </c>
      <c r="U29" s="342" t="inlineStr">
        <is>
          <t>A-</t>
        </is>
      </c>
      <c r="V29" s="342" t="inlineStr">
        <is>
          <t>S</t>
        </is>
      </c>
      <c r="W29" s="351" t="inlineStr">
        <is>
          <t>PROMOVIDO</t>
        </is>
      </c>
    </row>
    <row r="30" ht="20" customHeight="1" s="225">
      <c r="A30" s="342" t="inlineStr">
        <is>
          <t>27</t>
        </is>
      </c>
      <c r="B30" s="342" t="inlineStr">
        <is>
          <t>0151710159</t>
        </is>
      </c>
      <c r="C30" s="352" t="inlineStr">
        <is>
          <t>PINTADO CONTRERAS ALEJANDRO NICOLAS</t>
        </is>
      </c>
      <c r="D30" s="344" t="inlineStr">
        <is>
          <t>8,62</t>
        </is>
      </c>
      <c r="E30" s="344" t="inlineStr">
        <is>
          <t>A-</t>
        </is>
      </c>
      <c r="F30" s="345" t="inlineStr">
        <is>
          <t>8,24</t>
        </is>
      </c>
      <c r="G30" s="345" t="inlineStr">
        <is>
          <t>B+</t>
        </is>
      </c>
      <c r="H30" s="346" t="inlineStr">
        <is>
          <t>8,71</t>
        </is>
      </c>
      <c r="I30" s="346" t="inlineStr">
        <is>
          <t>A-</t>
        </is>
      </c>
      <c r="J30" s="347" t="inlineStr">
        <is>
          <t>8,64</t>
        </is>
      </c>
      <c r="K30" s="347" t="inlineStr">
        <is>
          <t>A-</t>
        </is>
      </c>
      <c r="L30" s="348" t="inlineStr">
        <is>
          <t>8,28</t>
        </is>
      </c>
      <c r="M30" s="348" t="inlineStr">
        <is>
          <t>B+</t>
        </is>
      </c>
      <c r="N30" s="344" t="inlineStr">
        <is>
          <t>8,38</t>
        </is>
      </c>
      <c r="O30" s="344" t="inlineStr">
        <is>
          <t>B+</t>
        </is>
      </c>
      <c r="P30" s="353" t="inlineStr">
        <is>
          <t>9,37</t>
        </is>
      </c>
      <c r="Q30" s="349" t="inlineStr">
        <is>
          <t>A-</t>
        </is>
      </c>
      <c r="R30" s="344" t="inlineStr">
        <is>
          <t>B+</t>
        </is>
      </c>
      <c r="S30" s="344" t="inlineStr">
        <is>
          <t>A-</t>
        </is>
      </c>
      <c r="T30" s="353" t="inlineStr">
        <is>
          <t>8,61</t>
        </is>
      </c>
      <c r="U30" s="342" t="inlineStr">
        <is>
          <t>A-</t>
        </is>
      </c>
      <c r="V30" s="342" t="inlineStr">
        <is>
          <t>S</t>
        </is>
      </c>
      <c r="W30" s="351" t="inlineStr">
        <is>
          <t>PROMOVIDO</t>
        </is>
      </c>
    </row>
    <row r="31" ht="20" customHeight="1" s="225">
      <c r="A31" s="342" t="inlineStr">
        <is>
          <t>28</t>
        </is>
      </c>
      <c r="B31" s="342" t="inlineStr">
        <is>
          <t>0151706140</t>
        </is>
      </c>
      <c r="C31" s="352" t="inlineStr">
        <is>
          <t>PINZON PACCHA DANNA MILENA</t>
        </is>
      </c>
      <c r="D31" s="344" t="inlineStr">
        <is>
          <t>8,55</t>
        </is>
      </c>
      <c r="E31" s="344" t="inlineStr">
        <is>
          <t>A-</t>
        </is>
      </c>
      <c r="F31" s="345" t="inlineStr">
        <is>
          <t>8,32</t>
        </is>
      </c>
      <c r="G31" s="345" t="inlineStr">
        <is>
          <t>B+</t>
        </is>
      </c>
      <c r="H31" s="346" t="inlineStr">
        <is>
          <t>7,76</t>
        </is>
      </c>
      <c r="I31" s="346" t="inlineStr">
        <is>
          <t>B+</t>
        </is>
      </c>
      <c r="J31" s="347" t="inlineStr">
        <is>
          <t>7,95</t>
        </is>
      </c>
      <c r="K31" s="347" t="inlineStr">
        <is>
          <t>B+</t>
        </is>
      </c>
      <c r="L31" s="348" t="inlineStr">
        <is>
          <t>8,08</t>
        </is>
      </c>
      <c r="M31" s="348" t="inlineStr">
        <is>
          <t>B+</t>
        </is>
      </c>
      <c r="N31" s="344" t="inlineStr">
        <is>
          <t>8,58</t>
        </is>
      </c>
      <c r="O31" s="344" t="inlineStr">
        <is>
          <t>A-</t>
        </is>
      </c>
      <c r="P31" s="353" t="inlineStr">
        <is>
          <t>9,35</t>
        </is>
      </c>
      <c r="Q31" s="349" t="inlineStr">
        <is>
          <t>A-</t>
        </is>
      </c>
      <c r="R31" s="344" t="inlineStr">
        <is>
          <t>B+</t>
        </is>
      </c>
      <c r="S31" s="344" t="inlineStr">
        <is>
          <t>A-</t>
        </is>
      </c>
      <c r="T31" s="350" t="inlineStr">
        <is>
          <t>8,37</t>
        </is>
      </c>
      <c r="U31" s="342" t="inlineStr">
        <is>
          <t>B+</t>
        </is>
      </c>
      <c r="V31" s="342" t="inlineStr">
        <is>
          <t>S</t>
        </is>
      </c>
      <c r="W31" s="351" t="inlineStr">
        <is>
          <t>PROMOVIDO</t>
        </is>
      </c>
    </row>
    <row r="32" ht="20" customHeight="1" s="225">
      <c r="A32" s="342" t="inlineStr">
        <is>
          <t>29</t>
        </is>
      </c>
      <c r="B32" s="342" t="inlineStr">
        <is>
          <t>0151741253</t>
        </is>
      </c>
      <c r="C32" s="343" t="inlineStr">
        <is>
          <t>POROQUIZA PAGUAY KELLY ZOE</t>
        </is>
      </c>
      <c r="D32" s="344" t="inlineStr">
        <is>
          <t>8,22</t>
        </is>
      </c>
      <c r="E32" s="344" t="inlineStr">
        <is>
          <t>B+</t>
        </is>
      </c>
      <c r="F32" s="345" t="inlineStr">
        <is>
          <t>8,71</t>
        </is>
      </c>
      <c r="G32" s="345" t="inlineStr">
        <is>
          <t>A-</t>
        </is>
      </c>
      <c r="H32" s="346" t="inlineStr">
        <is>
          <t>8,37</t>
        </is>
      </c>
      <c r="I32" s="346" t="inlineStr">
        <is>
          <t>B+</t>
        </is>
      </c>
      <c r="J32" s="347" t="inlineStr">
        <is>
          <t>8,54</t>
        </is>
      </c>
      <c r="K32" s="347" t="inlineStr">
        <is>
          <t>A-</t>
        </is>
      </c>
      <c r="L32" s="348" t="inlineStr">
        <is>
          <t>8,56</t>
        </is>
      </c>
      <c r="M32" s="348" t="inlineStr">
        <is>
          <t>A-</t>
        </is>
      </c>
      <c r="N32" s="344" t="inlineStr">
        <is>
          <t>8,72</t>
        </is>
      </c>
      <c r="O32" s="344" t="inlineStr">
        <is>
          <t>A-</t>
        </is>
      </c>
      <c r="P32" s="349" t="inlineStr">
        <is>
          <t>9,32</t>
        </is>
      </c>
      <c r="Q32" s="349" t="inlineStr">
        <is>
          <t>A-</t>
        </is>
      </c>
      <c r="R32" s="344" t="inlineStr">
        <is>
          <t>B+</t>
        </is>
      </c>
      <c r="S32" s="344" t="inlineStr">
        <is>
          <t>A-</t>
        </is>
      </c>
      <c r="T32" s="350" t="inlineStr">
        <is>
          <t>8,63</t>
        </is>
      </c>
      <c r="U32" s="342" t="inlineStr">
        <is>
          <t>A-</t>
        </is>
      </c>
      <c r="V32" s="342" t="inlineStr">
        <is>
          <t>S</t>
        </is>
      </c>
      <c r="W32" s="351" t="inlineStr">
        <is>
          <t>PROMOVIDO</t>
        </is>
      </c>
    </row>
    <row r="33" ht="20" customHeight="1" s="225">
      <c r="A33" s="342" t="inlineStr">
        <is>
          <t>30</t>
        </is>
      </c>
      <c r="B33" s="342" t="inlineStr">
        <is>
          <t>0151767795</t>
        </is>
      </c>
      <c r="C33" s="352" t="inlineStr">
        <is>
          <t>RAMON QUIZHPI KEVIN ISMAEL</t>
        </is>
      </c>
      <c r="D33" s="344" t="inlineStr">
        <is>
          <t>8,85</t>
        </is>
      </c>
      <c r="E33" s="344" t="inlineStr">
        <is>
          <t>A-</t>
        </is>
      </c>
      <c r="F33" s="345" t="inlineStr">
        <is>
          <t>8,84</t>
        </is>
      </c>
      <c r="G33" s="345" t="inlineStr">
        <is>
          <t>A-</t>
        </is>
      </c>
      <c r="H33" s="346" t="inlineStr">
        <is>
          <t>9,06</t>
        </is>
      </c>
      <c r="I33" s="346" t="inlineStr">
        <is>
          <t>A-</t>
        </is>
      </c>
      <c r="J33" s="347" t="inlineStr">
        <is>
          <t>9,14</t>
        </is>
      </c>
      <c r="K33" s="347" t="inlineStr">
        <is>
          <t>A-</t>
        </is>
      </c>
      <c r="L33" s="348" t="inlineStr">
        <is>
          <t>8,74</t>
        </is>
      </c>
      <c r="M33" s="348" t="inlineStr">
        <is>
          <t>A-</t>
        </is>
      </c>
      <c r="N33" s="344" t="inlineStr">
        <is>
          <t>9,11</t>
        </is>
      </c>
      <c r="O33" s="344" t="inlineStr">
        <is>
          <t>A-</t>
        </is>
      </c>
      <c r="P33" s="353" t="inlineStr">
        <is>
          <t>9,32</t>
        </is>
      </c>
      <c r="Q33" s="349" t="inlineStr">
        <is>
          <t>A-</t>
        </is>
      </c>
      <c r="R33" s="344" t="inlineStr">
        <is>
          <t>A-</t>
        </is>
      </c>
      <c r="S33" s="344" t="inlineStr">
        <is>
          <t>A-</t>
        </is>
      </c>
      <c r="T33" s="350" t="inlineStr">
        <is>
          <t>9,01</t>
        </is>
      </c>
      <c r="U33" s="342" t="inlineStr">
        <is>
          <t>A-</t>
        </is>
      </c>
      <c r="V33" s="342" t="inlineStr">
        <is>
          <t>S</t>
        </is>
      </c>
      <c r="W33" s="351" t="inlineStr">
        <is>
          <t>PROMOVIDO</t>
        </is>
      </c>
    </row>
    <row r="34" ht="20" customHeight="1" s="225">
      <c r="A34" s="342" t="inlineStr">
        <is>
          <t>31</t>
        </is>
      </c>
      <c r="B34" s="342" t="inlineStr">
        <is>
          <t>0151771250</t>
        </is>
      </c>
      <c r="C34" s="352" t="inlineStr">
        <is>
          <t>RODRIGUEZ GUAMBAÑA CRISTOFER ARIEL</t>
        </is>
      </c>
      <c r="D34" s="344" t="inlineStr">
        <is>
          <t>9,25</t>
        </is>
      </c>
      <c r="E34" s="344" t="inlineStr">
        <is>
          <t>A-</t>
        </is>
      </c>
      <c r="F34" s="345" t="inlineStr">
        <is>
          <t>9,12</t>
        </is>
      </c>
      <c r="G34" s="345" t="inlineStr">
        <is>
          <t>A-</t>
        </is>
      </c>
      <c r="H34" s="346" t="inlineStr">
        <is>
          <t>9,30</t>
        </is>
      </c>
      <c r="I34" s="346" t="inlineStr">
        <is>
          <t>A-</t>
        </is>
      </c>
      <c r="J34" s="347" t="inlineStr">
        <is>
          <t>9,04</t>
        </is>
      </c>
      <c r="K34" s="347" t="inlineStr">
        <is>
          <t>A-</t>
        </is>
      </c>
      <c r="L34" s="348" t="inlineStr">
        <is>
          <t>8,76</t>
        </is>
      </c>
      <c r="M34" s="348" t="inlineStr">
        <is>
          <t>A-</t>
        </is>
      </c>
      <c r="N34" s="344" t="inlineStr">
        <is>
          <t>8,95</t>
        </is>
      </c>
      <c r="O34" s="344" t="inlineStr">
        <is>
          <t>A-</t>
        </is>
      </c>
      <c r="P34" s="353" t="inlineStr">
        <is>
          <t>9,20</t>
        </is>
      </c>
      <c r="Q34" s="349" t="inlineStr">
        <is>
          <t>A-</t>
        </is>
      </c>
      <c r="R34" s="344" t="inlineStr">
        <is>
          <t>A-</t>
        </is>
      </c>
      <c r="S34" s="344" t="inlineStr">
        <is>
          <t>A-</t>
        </is>
      </c>
      <c r="T34" s="350" t="inlineStr">
        <is>
          <t>9,09</t>
        </is>
      </c>
      <c r="U34" s="342" t="inlineStr">
        <is>
          <t>A-</t>
        </is>
      </c>
      <c r="V34" s="342" t="inlineStr">
        <is>
          <t>S</t>
        </is>
      </c>
      <c r="W34" s="351" t="inlineStr">
        <is>
          <t>PROMOVIDO</t>
        </is>
      </c>
    </row>
    <row r="35" ht="20" customHeight="1" s="225">
      <c r="A35" s="342" t="inlineStr">
        <is>
          <t>32</t>
        </is>
      </c>
      <c r="B35" s="342" t="inlineStr">
        <is>
          <t>0151674942</t>
        </is>
      </c>
      <c r="C35" s="352" t="inlineStr">
        <is>
          <t>SANTANDER SIGUENCIA MARIA JOSE</t>
        </is>
      </c>
      <c r="D35" s="344" t="inlineStr">
        <is>
          <t>8,05</t>
        </is>
      </c>
      <c r="E35" s="344" t="inlineStr">
        <is>
          <t>B+</t>
        </is>
      </c>
      <c r="F35" s="345" t="inlineStr">
        <is>
          <t>8,02</t>
        </is>
      </c>
      <c r="G35" s="345" t="inlineStr">
        <is>
          <t>B+</t>
        </is>
      </c>
      <c r="H35" s="346" t="inlineStr">
        <is>
          <t>8,35</t>
        </is>
      </c>
      <c r="I35" s="346" t="inlineStr">
        <is>
          <t>B+</t>
        </is>
      </c>
      <c r="J35" s="347" t="inlineStr">
        <is>
          <t>7,98</t>
        </is>
      </c>
      <c r="K35" s="347" t="inlineStr">
        <is>
          <t>B+</t>
        </is>
      </c>
      <c r="L35" s="348" t="inlineStr">
        <is>
          <t>7,86</t>
        </is>
      </c>
      <c r="M35" s="348" t="inlineStr">
        <is>
          <t>B+</t>
        </is>
      </c>
      <c r="N35" s="344" t="inlineStr">
        <is>
          <t>8,49</t>
        </is>
      </c>
      <c r="O35" s="344" t="inlineStr">
        <is>
          <t>B+</t>
        </is>
      </c>
      <c r="P35" s="353" t="inlineStr">
        <is>
          <t>9,22</t>
        </is>
      </c>
      <c r="Q35" s="349" t="inlineStr">
        <is>
          <t>A-</t>
        </is>
      </c>
      <c r="R35" s="344" t="inlineStr">
        <is>
          <t>B+</t>
        </is>
      </c>
      <c r="S35" s="344" t="inlineStr">
        <is>
          <t>A-</t>
        </is>
      </c>
      <c r="T35" s="350" t="inlineStr">
        <is>
          <t>8,28</t>
        </is>
      </c>
      <c r="U35" s="342" t="inlineStr">
        <is>
          <t>B+</t>
        </is>
      </c>
      <c r="V35" s="342" t="inlineStr">
        <is>
          <t>S</t>
        </is>
      </c>
      <c r="W35" s="351" t="inlineStr">
        <is>
          <t>PROMOVIDO</t>
        </is>
      </c>
    </row>
    <row r="36" ht="20" customHeight="1" s="225">
      <c r="A36" s="342" t="inlineStr">
        <is>
          <t>33</t>
        </is>
      </c>
      <c r="B36" s="342" t="inlineStr">
        <is>
          <t>0151699584</t>
        </is>
      </c>
      <c r="C36" s="352" t="inlineStr">
        <is>
          <t>SINCHI LEMA NATALY ANDREA</t>
        </is>
      </c>
      <c r="D36" s="344" t="inlineStr">
        <is>
          <t>9,05</t>
        </is>
      </c>
      <c r="E36" s="344" t="inlineStr">
        <is>
          <t>A-</t>
        </is>
      </c>
      <c r="F36" s="345" t="inlineStr">
        <is>
          <t>9,00</t>
        </is>
      </c>
      <c r="G36" s="345" t="inlineStr">
        <is>
          <t>A-</t>
        </is>
      </c>
      <c r="H36" s="346" t="inlineStr">
        <is>
          <t>9,16</t>
        </is>
      </c>
      <c r="I36" s="346" t="inlineStr">
        <is>
          <t>A-</t>
        </is>
      </c>
      <c r="J36" s="347" t="inlineStr">
        <is>
          <t>9,03</t>
        </is>
      </c>
      <c r="K36" s="347" t="inlineStr">
        <is>
          <t>A-</t>
        </is>
      </c>
      <c r="L36" s="348" t="inlineStr">
        <is>
          <t>9,11</t>
        </is>
      </c>
      <c r="M36" s="348" t="inlineStr">
        <is>
          <t>A-</t>
        </is>
      </c>
      <c r="N36" s="344" t="inlineStr">
        <is>
          <t>9,15</t>
        </is>
      </c>
      <c r="O36" s="344" t="inlineStr">
        <is>
          <t>A-</t>
        </is>
      </c>
      <c r="P36" s="353" t="inlineStr">
        <is>
          <t>9,47</t>
        </is>
      </c>
      <c r="Q36" s="349" t="inlineStr">
        <is>
          <t>A-</t>
        </is>
      </c>
      <c r="R36" s="344" t="inlineStr">
        <is>
          <t>A-</t>
        </is>
      </c>
      <c r="S36" s="344" t="inlineStr">
        <is>
          <t>A-</t>
        </is>
      </c>
      <c r="T36" s="353" t="inlineStr">
        <is>
          <t>9,14</t>
        </is>
      </c>
      <c r="U36" s="342" t="inlineStr">
        <is>
          <t>A-</t>
        </is>
      </c>
      <c r="V36" s="342" t="inlineStr">
        <is>
          <t>S</t>
        </is>
      </c>
      <c r="W36" s="351" t="inlineStr">
        <is>
          <t>PROMOVIDO</t>
        </is>
      </c>
    </row>
    <row r="37" ht="20" customHeight="1" s="225">
      <c r="A37" s="342" t="inlineStr">
        <is>
          <t>34</t>
        </is>
      </c>
      <c r="B37" s="342" t="inlineStr">
        <is>
          <t>0151737913</t>
        </is>
      </c>
      <c r="C37" s="343" t="inlineStr">
        <is>
          <t>TENESACA JUELA ALEXIS SEBASTIAN</t>
        </is>
      </c>
      <c r="D37" s="344" t="inlineStr">
        <is>
          <t>9,12</t>
        </is>
      </c>
      <c r="E37" s="344" t="inlineStr">
        <is>
          <t>A-</t>
        </is>
      </c>
      <c r="F37" s="345" t="inlineStr">
        <is>
          <t>9,22</t>
        </is>
      </c>
      <c r="G37" s="345" t="inlineStr">
        <is>
          <t>A-</t>
        </is>
      </c>
      <c r="H37" s="346" t="inlineStr">
        <is>
          <t>9,20</t>
        </is>
      </c>
      <c r="I37" s="346" t="inlineStr">
        <is>
          <t>A-</t>
        </is>
      </c>
      <c r="J37" s="347" t="inlineStr">
        <is>
          <t>9,26</t>
        </is>
      </c>
      <c r="K37" s="347" t="inlineStr">
        <is>
          <t>A-</t>
        </is>
      </c>
      <c r="L37" s="348" t="inlineStr">
        <is>
          <t>8,96</t>
        </is>
      </c>
      <c r="M37" s="348" t="inlineStr">
        <is>
          <t>A-</t>
        </is>
      </c>
      <c r="N37" s="344" t="inlineStr">
        <is>
          <t>8,88</t>
        </is>
      </c>
      <c r="O37" s="344" t="inlineStr">
        <is>
          <t>A-</t>
        </is>
      </c>
      <c r="P37" s="349" t="inlineStr">
        <is>
          <t>9,37</t>
        </is>
      </c>
      <c r="Q37" s="349" t="inlineStr">
        <is>
          <t>A-</t>
        </is>
      </c>
      <c r="R37" s="344" t="inlineStr">
        <is>
          <t>A-</t>
        </is>
      </c>
      <c r="S37" s="344" t="inlineStr">
        <is>
          <t>A-</t>
        </is>
      </c>
      <c r="T37" s="350" t="inlineStr">
        <is>
          <t>9,15</t>
        </is>
      </c>
      <c r="U37" s="342" t="inlineStr">
        <is>
          <t>A-</t>
        </is>
      </c>
      <c r="V37" s="342" t="inlineStr">
        <is>
          <t>S</t>
        </is>
      </c>
      <c r="W37" s="351" t="inlineStr">
        <is>
          <t>PROMOVIDO</t>
        </is>
      </c>
    </row>
    <row r="38" ht="20" customHeight="1" s="225">
      <c r="A38" s="342" t="inlineStr">
        <is>
          <t>35</t>
        </is>
      </c>
      <c r="B38" s="342" t="inlineStr">
        <is>
          <t>0151774031</t>
        </is>
      </c>
      <c r="C38" s="352" t="inlineStr">
        <is>
          <t>TUCUPI RAMON DAVID ALEXANDER</t>
        </is>
      </c>
      <c r="D38" s="344" t="inlineStr">
        <is>
          <t>8,83</t>
        </is>
      </c>
      <c r="E38" s="344" t="inlineStr">
        <is>
          <t>A-</t>
        </is>
      </c>
      <c r="F38" s="345" t="inlineStr">
        <is>
          <t>9,31</t>
        </is>
      </c>
      <c r="G38" s="345" t="inlineStr">
        <is>
          <t>A-</t>
        </is>
      </c>
      <c r="H38" s="346" t="inlineStr">
        <is>
          <t>9,00</t>
        </is>
      </c>
      <c r="I38" s="346" t="inlineStr">
        <is>
          <t>A-</t>
        </is>
      </c>
      <c r="J38" s="347" t="inlineStr">
        <is>
          <t>8,88</t>
        </is>
      </c>
      <c r="K38" s="347" t="inlineStr">
        <is>
          <t>A-</t>
        </is>
      </c>
      <c r="L38" s="348" t="inlineStr">
        <is>
          <t>8,52</t>
        </is>
      </c>
      <c r="M38" s="348" t="inlineStr">
        <is>
          <t>A-</t>
        </is>
      </c>
      <c r="N38" s="344" t="inlineStr">
        <is>
          <t>8,74</t>
        </is>
      </c>
      <c r="O38" s="344" t="inlineStr">
        <is>
          <t>A-</t>
        </is>
      </c>
      <c r="P38" s="353" t="inlineStr">
        <is>
          <t>9,21</t>
        </is>
      </c>
      <c r="Q38" s="349" t="inlineStr">
        <is>
          <t>A-</t>
        </is>
      </c>
      <c r="R38" s="344" t="inlineStr">
        <is>
          <t>A-</t>
        </is>
      </c>
      <c r="S38" s="344" t="inlineStr">
        <is>
          <t>A-</t>
        </is>
      </c>
      <c r="T38" s="350" t="inlineStr">
        <is>
          <t>8,93</t>
        </is>
      </c>
      <c r="U38" s="342" t="inlineStr">
        <is>
          <t>A-</t>
        </is>
      </c>
      <c r="V38" s="342" t="inlineStr">
        <is>
          <t>S</t>
        </is>
      </c>
      <c r="W38" s="351" t="inlineStr">
        <is>
          <t>PROMOVIDO</t>
        </is>
      </c>
    </row>
    <row r="39" ht="20" customHeight="1" s="225">
      <c r="A39" s="354" t="inlineStr">
        <is>
          <t>36</t>
        </is>
      </c>
      <c r="B39" s="354" t="n"/>
      <c r="C39" s="354" t="inlineStr">
        <is>
          <t>PROMEDIOS ANUALES</t>
        </is>
      </c>
      <c r="D39" s="355" t="inlineStr">
        <is>
          <t>8,49</t>
        </is>
      </c>
      <c r="E39" s="355" t="inlineStr">
        <is>
          <t>B+</t>
        </is>
      </c>
      <c r="F39" s="356" t="inlineStr">
        <is>
          <t>8,59</t>
        </is>
      </c>
      <c r="G39" s="356" t="inlineStr">
        <is>
          <t>A-</t>
        </is>
      </c>
      <c r="H39" s="357" t="inlineStr">
        <is>
          <t>8,63</t>
        </is>
      </c>
      <c r="I39" s="357" t="inlineStr">
        <is>
          <t>A-</t>
        </is>
      </c>
      <c r="J39" s="358" t="inlineStr">
        <is>
          <t>8,53</t>
        </is>
      </c>
      <c r="K39" s="358" t="inlineStr">
        <is>
          <t>A-</t>
        </is>
      </c>
      <c r="L39" s="359" t="inlineStr">
        <is>
          <t>8,48</t>
        </is>
      </c>
      <c r="M39" s="359" t="inlineStr">
        <is>
          <t>B+</t>
        </is>
      </c>
      <c r="N39" s="355" t="inlineStr">
        <is>
          <t>8,62</t>
        </is>
      </c>
      <c r="O39" s="355" t="inlineStr">
        <is>
          <t>A-</t>
        </is>
      </c>
      <c r="P39" s="360" t="inlineStr">
        <is>
          <t>9,11</t>
        </is>
      </c>
      <c r="Q39" s="360" t="inlineStr">
        <is>
          <t>A-</t>
        </is>
      </c>
      <c r="R39" s="355" t="n"/>
      <c r="S39" s="355" t="n"/>
      <c r="T39" s="354" t="inlineStr">
        <is>
          <t>8,63</t>
        </is>
      </c>
      <c r="U39" s="354" t="inlineStr">
        <is>
          <t>A-</t>
        </is>
      </c>
      <c r="V39" s="354" t="inlineStr">
        <is>
          <t>S</t>
        </is>
      </c>
      <c r="W39" s="354" t="inlineStr">
        <is>
          <t>PROMOVIDO</t>
        </is>
      </c>
    </row>
    <row r="40" ht="20" customHeight="1" s="225">
      <c r="A40" s="342" t="inlineStr">
        <is>
          <t>37</t>
        </is>
      </c>
      <c r="B40" s="342" t="n"/>
      <c r="C40" s="343" t="n"/>
      <c r="D40" s="350" t="n"/>
      <c r="E40" s="350" t="n"/>
      <c r="F40" s="350" t="n"/>
      <c r="G40" s="350" t="n"/>
      <c r="H40" s="350" t="n"/>
      <c r="I40" s="350" t="n"/>
      <c r="J40" s="350" t="n"/>
      <c r="K40" s="350" t="n"/>
      <c r="L40" s="350" t="n"/>
      <c r="M40" s="350" t="n"/>
      <c r="N40" s="350" t="n"/>
      <c r="O40" s="350" t="n"/>
      <c r="P40" s="350" t="n"/>
      <c r="Q40" s="350" t="n"/>
      <c r="R40" s="350" t="n"/>
      <c r="S40" s="350" t="n"/>
      <c r="T40" s="350" t="n"/>
      <c r="U40" s="342" t="n"/>
      <c r="V40" s="342" t="n"/>
      <c r="W40" s="351" t="n"/>
    </row>
  </sheetData>
  <mergeCells count="18">
    <mergeCell ref="L2:M2"/>
    <mergeCell ref="F2:G2"/>
    <mergeCell ref="H2:I2"/>
    <mergeCell ref="D2:E2"/>
    <mergeCell ref="A1:C1"/>
    <mergeCell ref="U2:U3"/>
    <mergeCell ref="C2:C3"/>
    <mergeCell ref="J2:K2"/>
    <mergeCell ref="N2:O2"/>
    <mergeCell ref="P2:Q2"/>
    <mergeCell ref="S2"/>
    <mergeCell ref="D1:W1"/>
    <mergeCell ref="B2:B3"/>
    <mergeCell ref="A2:A3"/>
    <mergeCell ref="V2:V3"/>
    <mergeCell ref="T2:T3"/>
    <mergeCell ref="R2"/>
    <mergeCell ref="W2:W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42" customWidth="1" style="225" min="3" max="3"/>
    <col width="6" customWidth="1" style="225" min="4" max="4"/>
    <col width="12" customWidth="1" style="225" min="23" max="23"/>
    <col width="8.851559999999999" customWidth="1" style="225" min="24" max="24"/>
  </cols>
  <sheetData>
    <row r="1" ht="25" customHeight="1" s="225">
      <c r="A1" s="226" t="inlineStr">
        <is>
          <t>DATOS INFORMATIVOS
ESTUDIANTES</t>
        </is>
      </c>
      <c r="B1" s="255" t="n"/>
      <c r="C1" s="256" t="n"/>
      <c r="D1" s="364" t="inlineStr">
        <is>
          <t>CONSOLIDADO FINAL</t>
        </is>
      </c>
      <c r="E1" s="255" t="n"/>
      <c r="F1" s="255" t="n"/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6" t="n"/>
    </row>
    <row r="2" ht="45" customHeight="1" s="225">
      <c r="A2" s="258" t="inlineStr">
        <is>
          <t>N°</t>
        </is>
      </c>
      <c r="B2" s="258" t="inlineStr">
        <is>
          <t>CÉDULA</t>
        </is>
      </c>
      <c r="C2" s="258" t="inlineStr">
        <is>
          <t>APELLIDOS/NOMBRES</t>
        </is>
      </c>
      <c r="D2" s="258" t="inlineStr">
        <is>
          <t>LENGUA Y
LITERATURA</t>
        </is>
      </c>
      <c r="E2" s="256" t="n"/>
      <c r="F2" s="259" t="inlineStr">
        <is>
          <t>MATEMÁTICA</t>
        </is>
      </c>
      <c r="G2" s="256" t="n"/>
      <c r="H2" s="260" t="inlineStr">
        <is>
          <t>CIENCIAS
NATURALES</t>
        </is>
      </c>
      <c r="I2" s="256" t="n"/>
      <c r="J2" s="261" t="inlineStr">
        <is>
          <t>ESTUDIOS
SOCIALES</t>
        </is>
      </c>
      <c r="K2" s="256" t="n"/>
      <c r="L2" s="262" t="inlineStr">
        <is>
          <t>INGLÉS</t>
        </is>
      </c>
      <c r="M2" s="256" t="n"/>
      <c r="N2" s="263" t="inlineStr">
        <is>
          <t>ECA</t>
        </is>
      </c>
      <c r="O2" s="256" t="n"/>
      <c r="P2" s="264" t="inlineStr">
        <is>
          <t>EDUCACIÓN
FÍSICA</t>
        </is>
      </c>
      <c r="Q2" s="256" t="n"/>
      <c r="R2" s="265" t="inlineStr">
        <is>
          <t>ANIMACIÓN A
LA LECTURA</t>
        </is>
      </c>
      <c r="S2" s="265" t="inlineStr">
        <is>
          <t>CAI</t>
        </is>
      </c>
      <c r="T2" s="266" t="inlineStr">
        <is>
          <t>PROMEDIO</t>
        </is>
      </c>
      <c r="U2" s="266" t="inlineStr">
        <is>
          <t>CUALITATIVA</t>
        </is>
      </c>
      <c r="V2" s="266" t="inlineStr">
        <is>
          <t>COMPORTAMIEN.</t>
        </is>
      </c>
      <c r="W2" s="259" t="inlineStr">
        <is>
          <t>PROMOCIÓN</t>
        </is>
      </c>
    </row>
    <row r="3" ht="45" customHeight="1" s="225">
      <c r="A3" s="257" t="n"/>
      <c r="B3" s="257" t="n"/>
      <c r="C3" s="257" t="n"/>
      <c r="D3" s="270" t="inlineStr">
        <is>
          <t>NOTA</t>
        </is>
      </c>
      <c r="E3" s="270" t="inlineStr">
        <is>
          <t>CUALIT.</t>
        </is>
      </c>
      <c r="F3" s="270" t="inlineStr">
        <is>
          <t>NOTA</t>
        </is>
      </c>
      <c r="G3" s="270" t="inlineStr">
        <is>
          <t>CUALIT.</t>
        </is>
      </c>
      <c r="H3" s="270" t="inlineStr">
        <is>
          <t>NOTA</t>
        </is>
      </c>
      <c r="I3" s="270" t="inlineStr">
        <is>
          <t>CUALIT.</t>
        </is>
      </c>
      <c r="J3" s="270" t="inlineStr">
        <is>
          <t>NOTA</t>
        </is>
      </c>
      <c r="K3" s="270" t="inlineStr">
        <is>
          <t>CUALIT.</t>
        </is>
      </c>
      <c r="L3" s="270" t="inlineStr">
        <is>
          <t>NOTA</t>
        </is>
      </c>
      <c r="M3" s="270" t="inlineStr">
        <is>
          <t>CUALIT.</t>
        </is>
      </c>
      <c r="N3" s="270" t="inlineStr">
        <is>
          <t>NOTA</t>
        </is>
      </c>
      <c r="O3" s="270" t="inlineStr">
        <is>
          <t>CUALIT.</t>
        </is>
      </c>
      <c r="P3" s="270" t="inlineStr">
        <is>
          <t>NOTA</t>
        </is>
      </c>
      <c r="Q3" s="270" t="inlineStr">
        <is>
          <t>CUALIT.</t>
        </is>
      </c>
      <c r="R3" s="270" t="inlineStr">
        <is>
          <t>NOTA</t>
        </is>
      </c>
      <c r="S3" s="270" t="inlineStr">
        <is>
          <t>NOTA</t>
        </is>
      </c>
      <c r="T3" s="257" t="n"/>
      <c r="U3" s="257" t="n"/>
      <c r="V3" s="257" t="n"/>
      <c r="W3" s="257" t="n"/>
    </row>
    <row r="4" ht="11.2" customHeight="1" s="225">
      <c r="A4" s="365" t="n">
        <v>1</v>
      </c>
      <c r="B4" s="366" t="inlineStr">
        <is>
          <t>0151731379</t>
        </is>
      </c>
      <c r="C4" s="367" t="inlineStr">
        <is>
          <t>ASMAL CAJAMARCA PAULA LIZETH</t>
        </is>
      </c>
      <c r="D4" s="368" t="n">
        <v>9.27</v>
      </c>
      <c r="E4" s="369" t="inlineStr">
        <is>
          <t>A-</t>
        </is>
      </c>
      <c r="F4" s="368" t="n">
        <v>9.01</v>
      </c>
      <c r="G4" s="369" t="inlineStr">
        <is>
          <t>A-</t>
        </is>
      </c>
      <c r="H4" s="368" t="n">
        <v>9.220000000000001</v>
      </c>
      <c r="I4" s="369" t="inlineStr">
        <is>
          <t>A-</t>
        </is>
      </c>
      <c r="J4" s="368" t="n">
        <v>9.119999999999999</v>
      </c>
      <c r="K4" s="369" t="inlineStr">
        <is>
          <t>A-</t>
        </is>
      </c>
      <c r="L4" s="370" t="n">
        <v>9.279999999999999</v>
      </c>
      <c r="M4" s="369" t="inlineStr">
        <is>
          <t>A-</t>
        </is>
      </c>
      <c r="N4" s="368" t="n">
        <v>9.1</v>
      </c>
      <c r="O4" s="369" t="inlineStr">
        <is>
          <t>A-</t>
        </is>
      </c>
      <c r="P4" s="368" t="n">
        <v>9.5</v>
      </c>
      <c r="Q4" s="369" t="inlineStr">
        <is>
          <t>A+</t>
        </is>
      </c>
      <c r="R4" s="368" t="n">
        <v>9</v>
      </c>
      <c r="S4" s="369" t="inlineStr">
        <is>
          <t>A-</t>
        </is>
      </c>
      <c r="T4" s="370" t="n">
        <v>9.210000000000001</v>
      </c>
      <c r="U4" s="371" t="inlineStr">
        <is>
          <t>A-</t>
        </is>
      </c>
      <c r="V4" s="371" t="inlineStr">
        <is>
          <t>S</t>
        </is>
      </c>
      <c r="W4" s="371" t="inlineStr">
        <is>
          <t>PROMOVIDO</t>
        </is>
      </c>
    </row>
    <row r="5" ht="11.2" customHeight="1" s="225">
      <c r="A5" s="365" t="n">
        <v>2</v>
      </c>
      <c r="B5" s="366" t="inlineStr">
        <is>
          <t>0151766664</t>
        </is>
      </c>
      <c r="C5" s="366" t="inlineStr">
        <is>
          <t>BARZALLO BUESTAN ARIEL SEBASTIAN</t>
        </is>
      </c>
      <c r="D5" s="368" t="n">
        <v>9.01</v>
      </c>
      <c r="E5" s="369" t="inlineStr">
        <is>
          <t>A-</t>
        </is>
      </c>
      <c r="F5" s="368" t="n">
        <v>9.01</v>
      </c>
      <c r="G5" s="369" t="inlineStr">
        <is>
          <t>A-</t>
        </is>
      </c>
      <c r="H5" s="368" t="n">
        <v>9.19</v>
      </c>
      <c r="I5" s="369" t="inlineStr">
        <is>
          <t>A-</t>
        </is>
      </c>
      <c r="J5" s="368" t="n">
        <v>9.369999999999999</v>
      </c>
      <c r="K5" s="369" t="inlineStr">
        <is>
          <t>A-</t>
        </is>
      </c>
      <c r="L5" s="368" t="n">
        <v>9.02</v>
      </c>
      <c r="M5" s="369" t="inlineStr">
        <is>
          <t>A-</t>
        </is>
      </c>
      <c r="N5" s="368" t="n">
        <v>9.18</v>
      </c>
      <c r="O5" s="369" t="inlineStr">
        <is>
          <t>A-</t>
        </is>
      </c>
      <c r="P5" s="368" t="n">
        <v>9.279999999999999</v>
      </c>
      <c r="Q5" s="369" t="inlineStr">
        <is>
          <t>A-</t>
        </is>
      </c>
      <c r="R5" s="368" t="n">
        <v>9</v>
      </c>
      <c r="S5" s="369" t="inlineStr">
        <is>
          <t>A-</t>
        </is>
      </c>
      <c r="T5" s="368" t="n">
        <v>9.15</v>
      </c>
      <c r="U5" s="371" t="inlineStr">
        <is>
          <t>A-</t>
        </is>
      </c>
      <c r="V5" s="371" t="inlineStr">
        <is>
          <t>S</t>
        </is>
      </c>
      <c r="W5" s="371" t="inlineStr">
        <is>
          <t>PROMOVIDO</t>
        </is>
      </c>
    </row>
    <row r="6" ht="11.2" customHeight="1" s="225">
      <c r="A6" s="365" t="n">
        <v>3</v>
      </c>
      <c r="B6" s="366" t="inlineStr">
        <is>
          <t>151745858</t>
        </is>
      </c>
      <c r="C6" s="367" t="inlineStr">
        <is>
          <t>BUENO BORJA PABLO JOSUE</t>
        </is>
      </c>
      <c r="D6" s="368" t="n">
        <v>8.300000000000001</v>
      </c>
      <c r="E6" s="369" t="inlineStr">
        <is>
          <t>B+</t>
        </is>
      </c>
      <c r="F6" s="368" t="n">
        <v>8.68</v>
      </c>
      <c r="G6" s="369" t="inlineStr">
        <is>
          <t>A-</t>
        </is>
      </c>
      <c r="H6" s="370" t="n">
        <v>8.35</v>
      </c>
      <c r="I6" s="369" t="inlineStr">
        <is>
          <t>B+</t>
        </is>
      </c>
      <c r="J6" s="368" t="n">
        <v>8.56</v>
      </c>
      <c r="K6" s="369" t="inlineStr">
        <is>
          <t>A-</t>
        </is>
      </c>
      <c r="L6" s="368" t="n">
        <v>8.73</v>
      </c>
      <c r="M6" s="369" t="inlineStr">
        <is>
          <t>A-</t>
        </is>
      </c>
      <c r="N6" s="368" t="n">
        <v>8.94</v>
      </c>
      <c r="O6" s="369" t="inlineStr">
        <is>
          <t>A-</t>
        </is>
      </c>
      <c r="P6" s="368" t="n">
        <v>9.42</v>
      </c>
      <c r="Q6" s="369" t="inlineStr">
        <is>
          <t>A-</t>
        </is>
      </c>
      <c r="R6" s="368" t="n">
        <v>8.66</v>
      </c>
      <c r="S6" s="369" t="inlineStr">
        <is>
          <t>A-</t>
        </is>
      </c>
      <c r="T6" s="368" t="n">
        <v>8.710000000000001</v>
      </c>
      <c r="U6" s="371" t="inlineStr">
        <is>
          <t>A-</t>
        </is>
      </c>
      <c r="V6" s="371" t="inlineStr">
        <is>
          <t>S</t>
        </is>
      </c>
      <c r="W6" s="371" t="inlineStr">
        <is>
          <t>PROMOVIDO</t>
        </is>
      </c>
    </row>
    <row r="7" ht="11.2" customHeight="1" s="225">
      <c r="A7" s="365" t="n">
        <v>4</v>
      </c>
      <c r="B7" s="366" t="inlineStr">
        <is>
          <t>0151760141</t>
        </is>
      </c>
      <c r="C7" s="366" t="inlineStr">
        <is>
          <t>BUENO FERNANDEZ MARIA BELEN</t>
        </is>
      </c>
      <c r="D7" s="368" t="n">
        <v>8.390000000000001</v>
      </c>
      <c r="E7" s="369" t="inlineStr">
        <is>
          <t>B+</t>
        </is>
      </c>
      <c r="F7" s="368" t="n">
        <v>8.369999999999999</v>
      </c>
      <c r="G7" s="369" t="inlineStr">
        <is>
          <t>B+</t>
        </is>
      </c>
      <c r="H7" s="368" t="n">
        <v>8.710000000000001</v>
      </c>
      <c r="I7" s="369" t="inlineStr">
        <is>
          <t>A-</t>
        </is>
      </c>
      <c r="J7" s="368" t="n">
        <v>8.57</v>
      </c>
      <c r="K7" s="369" t="inlineStr">
        <is>
          <t>A-</t>
        </is>
      </c>
      <c r="L7" s="368" t="n">
        <v>8.93</v>
      </c>
      <c r="M7" s="369" t="inlineStr">
        <is>
          <t>A-</t>
        </is>
      </c>
      <c r="N7" s="368" t="n">
        <v>8.81</v>
      </c>
      <c r="O7" s="369" t="inlineStr">
        <is>
          <t>A-</t>
        </is>
      </c>
      <c r="P7" s="368" t="n">
        <v>9.199999999999999</v>
      </c>
      <c r="Q7" s="369" t="inlineStr">
        <is>
          <t>A-</t>
        </is>
      </c>
      <c r="R7" s="368" t="n">
        <v>8.66</v>
      </c>
      <c r="S7" s="369" t="inlineStr">
        <is>
          <t>A-</t>
        </is>
      </c>
      <c r="T7" s="368" t="n">
        <v>8.710000000000001</v>
      </c>
      <c r="U7" s="371" t="inlineStr">
        <is>
          <t>A-</t>
        </is>
      </c>
      <c r="V7" s="371" t="inlineStr">
        <is>
          <t>S</t>
        </is>
      </c>
      <c r="W7" s="371" t="inlineStr">
        <is>
          <t>PROMOVIDO</t>
        </is>
      </c>
    </row>
    <row r="8" ht="11.2" customHeight="1" s="225">
      <c r="A8" s="365" t="n">
        <v>5</v>
      </c>
      <c r="B8" s="366" t="inlineStr">
        <is>
          <t>0151690067</t>
        </is>
      </c>
      <c r="C8" s="366" t="inlineStr">
        <is>
          <t>CABRERA PESANTEZ ROBERTO EMANUEL</t>
        </is>
      </c>
      <c r="D8" s="368" t="n">
        <v>8.949999999999999</v>
      </c>
      <c r="E8" s="369" t="inlineStr">
        <is>
          <t>A-</t>
        </is>
      </c>
      <c r="F8" s="368" t="n">
        <v>9.41</v>
      </c>
      <c r="G8" s="369" t="inlineStr">
        <is>
          <t>A-</t>
        </is>
      </c>
      <c r="H8" s="368" t="n">
        <v>9.359999999999999</v>
      </c>
      <c r="I8" s="369" t="inlineStr">
        <is>
          <t>A-</t>
        </is>
      </c>
      <c r="J8" s="368" t="n">
        <v>8.890000000000001</v>
      </c>
      <c r="K8" s="369" t="inlineStr">
        <is>
          <t>A-</t>
        </is>
      </c>
      <c r="L8" s="368" t="n">
        <v>9.119999999999999</v>
      </c>
      <c r="M8" s="369" t="inlineStr">
        <is>
          <t>A-</t>
        </is>
      </c>
      <c r="N8" s="368" t="n">
        <v>9.01</v>
      </c>
      <c r="O8" s="369" t="inlineStr">
        <is>
          <t>A-</t>
        </is>
      </c>
      <c r="P8" s="368" t="n">
        <v>9.449999999999999</v>
      </c>
      <c r="Q8" s="369" t="inlineStr">
        <is>
          <t>A-</t>
        </is>
      </c>
      <c r="R8" s="368" t="n">
        <v>9</v>
      </c>
      <c r="S8" s="369" t="inlineStr">
        <is>
          <t>A-</t>
        </is>
      </c>
      <c r="T8" s="368" t="n">
        <v>9.17</v>
      </c>
      <c r="U8" s="371" t="inlineStr">
        <is>
          <t>A-</t>
        </is>
      </c>
      <c r="V8" s="371" t="inlineStr">
        <is>
          <t>S</t>
        </is>
      </c>
      <c r="W8" s="371" t="inlineStr">
        <is>
          <t>PROMOVIDO</t>
        </is>
      </c>
    </row>
    <row r="9" ht="11.2" customHeight="1" s="225">
      <c r="A9" s="365" t="n">
        <v>6</v>
      </c>
      <c r="B9" s="366" t="inlineStr">
        <is>
          <t>015175504</t>
        </is>
      </c>
      <c r="C9" s="366" t="inlineStr">
        <is>
          <t>CABRERA RODRIGUEZ DANNIA ARACELY</t>
        </is>
      </c>
      <c r="D9" s="368" t="n">
        <v>9.279999999999999</v>
      </c>
      <c r="E9" s="369" t="inlineStr">
        <is>
          <t>A-</t>
        </is>
      </c>
      <c r="F9" s="368" t="n">
        <v>9.4</v>
      </c>
      <c r="G9" s="369" t="inlineStr">
        <is>
          <t>A-</t>
        </is>
      </c>
      <c r="H9" s="368" t="n">
        <v>9.34</v>
      </c>
      <c r="I9" s="369" t="inlineStr">
        <is>
          <t>A-</t>
        </is>
      </c>
      <c r="J9" s="368" t="n">
        <v>9.08</v>
      </c>
      <c r="K9" s="369" t="inlineStr">
        <is>
          <t>A-</t>
        </is>
      </c>
      <c r="L9" s="368" t="n">
        <v>9.35</v>
      </c>
      <c r="M9" s="369" t="inlineStr">
        <is>
          <t>A-</t>
        </is>
      </c>
      <c r="N9" s="368" t="n">
        <v>9.25</v>
      </c>
      <c r="O9" s="369" t="inlineStr">
        <is>
          <t>A-</t>
        </is>
      </c>
      <c r="P9" s="368" t="n">
        <v>9.57</v>
      </c>
      <c r="Q9" s="369" t="inlineStr">
        <is>
          <t>A+</t>
        </is>
      </c>
      <c r="R9" s="368" t="n">
        <v>10</v>
      </c>
      <c r="S9" s="369" t="inlineStr">
        <is>
          <t>A+</t>
        </is>
      </c>
      <c r="T9" s="368" t="n">
        <v>9.32</v>
      </c>
      <c r="U9" s="371" t="inlineStr">
        <is>
          <t>A-</t>
        </is>
      </c>
      <c r="V9" s="371" t="inlineStr">
        <is>
          <t>S</t>
        </is>
      </c>
      <c r="W9" s="371" t="inlineStr">
        <is>
          <t>PROMOVIDO</t>
        </is>
      </c>
    </row>
    <row r="10" ht="11.2" customHeight="1" s="225">
      <c r="A10" s="365" t="n">
        <v>7</v>
      </c>
      <c r="B10" s="366" t="inlineStr">
        <is>
          <t>0751467242</t>
        </is>
      </c>
      <c r="C10" s="366" t="inlineStr">
        <is>
          <t>CALDERON GRANDA JARED FAVIAN</t>
        </is>
      </c>
      <c r="D10" s="368" t="n">
        <v>7.6</v>
      </c>
      <c r="E10" s="369" t="inlineStr">
        <is>
          <t>B+</t>
        </is>
      </c>
      <c r="F10" s="368" t="n">
        <v>7.97</v>
      </c>
      <c r="G10" s="369" t="inlineStr">
        <is>
          <t>B+</t>
        </is>
      </c>
      <c r="H10" s="368" t="n">
        <v>8.01</v>
      </c>
      <c r="I10" s="369" t="inlineStr">
        <is>
          <t>B+</t>
        </is>
      </c>
      <c r="J10" s="368" t="n">
        <v>8.01</v>
      </c>
      <c r="K10" s="369" t="inlineStr">
        <is>
          <t>B+</t>
        </is>
      </c>
      <c r="L10" s="368" t="n">
        <v>7.5</v>
      </c>
      <c r="M10" s="369" t="inlineStr">
        <is>
          <t>B+</t>
        </is>
      </c>
      <c r="N10" s="368" t="n">
        <v>8.56</v>
      </c>
      <c r="O10" s="369" t="inlineStr">
        <is>
          <t>A-</t>
        </is>
      </c>
      <c r="P10" s="368" t="n">
        <v>8.57</v>
      </c>
      <c r="Q10" s="369" t="inlineStr">
        <is>
          <t>A-</t>
        </is>
      </c>
      <c r="R10" s="368" t="n">
        <v>8</v>
      </c>
      <c r="S10" s="369" t="inlineStr">
        <is>
          <t>B+</t>
        </is>
      </c>
      <c r="T10" s="368" t="n">
        <v>8.029999999999999</v>
      </c>
      <c r="U10" s="371" t="inlineStr">
        <is>
          <t>B+</t>
        </is>
      </c>
      <c r="V10" s="371" t="inlineStr">
        <is>
          <t>S</t>
        </is>
      </c>
      <c r="W10" s="371" t="inlineStr">
        <is>
          <t>PROMOVIDO</t>
        </is>
      </c>
    </row>
    <row r="11" ht="11.2" customHeight="1" s="225">
      <c r="A11" s="365" t="n">
        <v>8</v>
      </c>
      <c r="B11" s="366" t="inlineStr">
        <is>
          <t>0151593652</t>
        </is>
      </c>
      <c r="C11" s="366" t="inlineStr">
        <is>
          <t>CORAISACA NAULA GONZALO SEBASTIAN</t>
        </is>
      </c>
      <c r="D11" s="368" t="n">
        <v>9.1</v>
      </c>
      <c r="E11" s="369" t="inlineStr">
        <is>
          <t>A-</t>
        </is>
      </c>
      <c r="F11" s="368" t="n">
        <v>9.359999999999999</v>
      </c>
      <c r="G11" s="369" t="inlineStr">
        <is>
          <t>A-</t>
        </is>
      </c>
      <c r="H11" s="368" t="n">
        <v>9.56</v>
      </c>
      <c r="I11" s="369" t="inlineStr">
        <is>
          <t>A+</t>
        </is>
      </c>
      <c r="J11" s="368" t="n">
        <v>9.48</v>
      </c>
      <c r="K11" s="369" t="inlineStr">
        <is>
          <t>A-</t>
        </is>
      </c>
      <c r="L11" s="368" t="n">
        <v>9.369999999999999</v>
      </c>
      <c r="M11" s="369" t="inlineStr">
        <is>
          <t>A-</t>
        </is>
      </c>
      <c r="N11" s="368" t="n">
        <v>9.09</v>
      </c>
      <c r="O11" s="369" t="inlineStr">
        <is>
          <t>A-</t>
        </is>
      </c>
      <c r="P11" s="368" t="n">
        <v>9.32</v>
      </c>
      <c r="Q11" s="369" t="inlineStr">
        <is>
          <t>A-</t>
        </is>
      </c>
      <c r="R11" s="368" t="n">
        <v>9.33</v>
      </c>
      <c r="S11" s="369" t="inlineStr">
        <is>
          <t>A-</t>
        </is>
      </c>
      <c r="T11" s="368" t="n">
        <v>9.33</v>
      </c>
      <c r="U11" s="371" t="inlineStr">
        <is>
          <t>A-</t>
        </is>
      </c>
      <c r="V11" s="371" t="inlineStr">
        <is>
          <t>S</t>
        </is>
      </c>
      <c r="W11" s="371" t="inlineStr">
        <is>
          <t>PROMOVIDO</t>
        </is>
      </c>
    </row>
    <row r="12" ht="11.2" customHeight="1" s="225">
      <c r="A12" s="365" t="n">
        <v>9</v>
      </c>
      <c r="B12" s="366" t="inlineStr">
        <is>
          <t>0151601396</t>
        </is>
      </c>
      <c r="C12" s="367" t="inlineStr">
        <is>
          <t>GARCIA LARRAZABAL FRANCIS ALEXANDER</t>
        </is>
      </c>
      <c r="D12" s="368" t="n">
        <v>9.119999999999999</v>
      </c>
      <c r="E12" s="369" t="inlineStr">
        <is>
          <t>A-</t>
        </is>
      </c>
      <c r="F12" s="368" t="n">
        <v>9.449999999999999</v>
      </c>
      <c r="G12" s="369" t="inlineStr">
        <is>
          <t>A-</t>
        </is>
      </c>
      <c r="H12" s="368" t="n">
        <v>9.44</v>
      </c>
      <c r="I12" s="369" t="inlineStr">
        <is>
          <t>A-</t>
        </is>
      </c>
      <c r="J12" s="370" t="n">
        <v>8.890000000000001</v>
      </c>
      <c r="K12" s="369" t="inlineStr">
        <is>
          <t>A-</t>
        </is>
      </c>
      <c r="L12" s="368" t="n">
        <v>8.49</v>
      </c>
      <c r="M12" s="369" t="inlineStr">
        <is>
          <t>B+</t>
        </is>
      </c>
      <c r="N12" s="368" t="n">
        <v>8.85</v>
      </c>
      <c r="O12" s="369" t="inlineStr">
        <is>
          <t>A-</t>
        </is>
      </c>
      <c r="P12" s="368" t="n">
        <v>8.880000000000001</v>
      </c>
      <c r="Q12" s="369" t="inlineStr">
        <is>
          <t>A-</t>
        </is>
      </c>
      <c r="R12" s="368" t="n">
        <v>9.66</v>
      </c>
      <c r="S12" s="369" t="inlineStr">
        <is>
          <t>A+</t>
        </is>
      </c>
      <c r="T12" s="370" t="n">
        <v>9.02</v>
      </c>
      <c r="U12" s="371" t="inlineStr">
        <is>
          <t>A-</t>
        </is>
      </c>
      <c r="V12" s="371" t="inlineStr">
        <is>
          <t>S</t>
        </is>
      </c>
      <c r="W12" s="371" t="inlineStr">
        <is>
          <t>PROMOVIDO</t>
        </is>
      </c>
    </row>
    <row r="13" ht="11.2" customHeight="1" s="225">
      <c r="A13" s="365" t="n">
        <v>10</v>
      </c>
      <c r="B13" s="366" t="inlineStr">
        <is>
          <t>151641917</t>
        </is>
      </c>
      <c r="C13" s="367" t="inlineStr">
        <is>
          <t>GUARTAN CHILLOGALLI NAYELI MARILU</t>
        </is>
      </c>
      <c r="D13" s="368" t="n">
        <v>7.39</v>
      </c>
      <c r="E13" s="369" t="inlineStr">
        <is>
          <t>B-</t>
        </is>
      </c>
      <c r="F13" s="368" t="n">
        <v>7.8</v>
      </c>
      <c r="G13" s="369" t="inlineStr">
        <is>
          <t>B+</t>
        </is>
      </c>
      <c r="H13" s="368" t="n">
        <v>8.300000000000001</v>
      </c>
      <c r="I13" s="369" t="inlineStr">
        <is>
          <t>B+</t>
        </is>
      </c>
      <c r="J13" s="370" t="n">
        <v>7.5</v>
      </c>
      <c r="K13" s="369" t="inlineStr">
        <is>
          <t>B-</t>
        </is>
      </c>
      <c r="L13" s="368" t="n">
        <v>7.73</v>
      </c>
      <c r="M13" s="369" t="inlineStr">
        <is>
          <t>B+</t>
        </is>
      </c>
      <c r="N13" s="368" t="n">
        <v>8.279999999999999</v>
      </c>
      <c r="O13" s="369" t="inlineStr">
        <is>
          <t>B+</t>
        </is>
      </c>
      <c r="P13" s="368" t="n">
        <v>8.33</v>
      </c>
      <c r="Q13" s="369" t="inlineStr">
        <is>
          <t>B+</t>
        </is>
      </c>
      <c r="R13" s="368" t="n">
        <v>7.66</v>
      </c>
      <c r="S13" s="369" t="inlineStr">
        <is>
          <t>B+</t>
        </is>
      </c>
      <c r="T13" s="368" t="n">
        <v>7.9</v>
      </c>
      <c r="U13" s="371" t="inlineStr">
        <is>
          <t>B+</t>
        </is>
      </c>
      <c r="V13" s="371" t="inlineStr">
        <is>
          <t>S</t>
        </is>
      </c>
      <c r="W13" s="371" t="inlineStr">
        <is>
          <t>PROMOVIDO</t>
        </is>
      </c>
    </row>
    <row r="14" ht="11.2" customHeight="1" s="225">
      <c r="A14" s="365" t="n">
        <v>11</v>
      </c>
      <c r="B14" s="366" t="inlineStr">
        <is>
          <t>0151740751</t>
        </is>
      </c>
      <c r="C14" s="366" t="inlineStr">
        <is>
          <t>GUACHICHULLCA ZHUNIO SANTIAGO ALEJANDRO</t>
        </is>
      </c>
      <c r="D14" s="368" t="n">
        <v>8.58</v>
      </c>
      <c r="E14" s="369" t="inlineStr">
        <is>
          <t>A-</t>
        </is>
      </c>
      <c r="F14" s="368" t="n">
        <v>8.609999999999999</v>
      </c>
      <c r="G14" s="369" t="inlineStr">
        <is>
          <t>A-</t>
        </is>
      </c>
      <c r="H14" s="368" t="n">
        <v>8.970000000000001</v>
      </c>
      <c r="I14" s="369" t="inlineStr">
        <is>
          <t>A-</t>
        </is>
      </c>
      <c r="J14" s="368" t="n">
        <v>8.84</v>
      </c>
      <c r="K14" s="369" t="inlineStr">
        <is>
          <t>A-</t>
        </is>
      </c>
      <c r="L14" s="368" t="n">
        <v>8.890000000000001</v>
      </c>
      <c r="M14" s="369" t="inlineStr">
        <is>
          <t>A-</t>
        </is>
      </c>
      <c r="N14" s="368" t="n">
        <v>8.51</v>
      </c>
      <c r="O14" s="369" t="inlineStr">
        <is>
          <t>A-</t>
        </is>
      </c>
      <c r="P14" s="368" t="n">
        <v>9.33</v>
      </c>
      <c r="Q14" s="369" t="inlineStr">
        <is>
          <t>A-</t>
        </is>
      </c>
      <c r="R14" s="368" t="n">
        <v>8.33</v>
      </c>
      <c r="S14" s="369" t="inlineStr">
        <is>
          <t>B+</t>
        </is>
      </c>
      <c r="T14" s="368" t="n">
        <v>8.82</v>
      </c>
      <c r="U14" s="371" t="inlineStr">
        <is>
          <t>A-</t>
        </is>
      </c>
      <c r="V14" s="371" t="inlineStr">
        <is>
          <t>S</t>
        </is>
      </c>
      <c r="W14" s="371" t="inlineStr">
        <is>
          <t>PROMOVIDO</t>
        </is>
      </c>
    </row>
    <row r="15" ht="11.2" customHeight="1" s="225">
      <c r="A15" s="365" t="n">
        <v>12</v>
      </c>
      <c r="B15" s="366" t="inlineStr">
        <is>
          <t>0151714250</t>
        </is>
      </c>
      <c r="C15" s="366" t="inlineStr">
        <is>
          <t>HURTADO CALLE SCARLETT SAMIRA</t>
        </is>
      </c>
      <c r="D15" s="368" t="n">
        <v>8.289999999999999</v>
      </c>
      <c r="E15" s="369" t="inlineStr">
        <is>
          <t>B+</t>
        </is>
      </c>
      <c r="F15" s="368" t="n">
        <v>8.4</v>
      </c>
      <c r="G15" s="369" t="inlineStr">
        <is>
          <t>B+</t>
        </is>
      </c>
      <c r="H15" s="368" t="n">
        <v>8.4</v>
      </c>
      <c r="I15" s="369" t="inlineStr">
        <is>
          <t>B+</t>
        </is>
      </c>
      <c r="J15" s="368" t="n">
        <v>7.97</v>
      </c>
      <c r="K15" s="369" t="inlineStr">
        <is>
          <t>B+</t>
        </is>
      </c>
      <c r="L15" s="368" t="n">
        <v>7.93</v>
      </c>
      <c r="M15" s="369" t="inlineStr">
        <is>
          <t>B+</t>
        </is>
      </c>
      <c r="N15" s="368" t="n">
        <v>8.84</v>
      </c>
      <c r="O15" s="369" t="inlineStr">
        <is>
          <t>A-</t>
        </is>
      </c>
      <c r="P15" s="368" t="n">
        <v>9.25</v>
      </c>
      <c r="Q15" s="369" t="inlineStr">
        <is>
          <t>A-</t>
        </is>
      </c>
      <c r="R15" s="368" t="n">
        <v>7.33</v>
      </c>
      <c r="S15" s="369" t="inlineStr">
        <is>
          <t>B-</t>
        </is>
      </c>
      <c r="T15" s="368" t="n">
        <v>8.44</v>
      </c>
      <c r="U15" s="371" t="inlineStr">
        <is>
          <t>B+</t>
        </is>
      </c>
      <c r="V15" s="371" t="inlineStr">
        <is>
          <t>S</t>
        </is>
      </c>
      <c r="W15" s="371" t="inlineStr">
        <is>
          <t>PROMOVIDO</t>
        </is>
      </c>
    </row>
    <row r="16" ht="11.2" customHeight="1" s="225">
      <c r="A16" s="365" t="n">
        <v>13</v>
      </c>
      <c r="B16" s="366" t="inlineStr">
        <is>
          <t>0151737905</t>
        </is>
      </c>
      <c r="C16" s="366" t="inlineStr">
        <is>
          <t>JAPA GUACHICHULLCA DALILA JAMILETH</t>
        </is>
      </c>
      <c r="D16" s="368" t="n">
        <v>8.6</v>
      </c>
      <c r="E16" s="369" t="inlineStr">
        <is>
          <t>A-</t>
        </is>
      </c>
      <c r="F16" s="368" t="n">
        <v>8.539999999999999</v>
      </c>
      <c r="G16" s="369" t="inlineStr">
        <is>
          <t>A-</t>
        </is>
      </c>
      <c r="H16" s="368" t="n">
        <v>9.07</v>
      </c>
      <c r="I16" s="369" t="inlineStr">
        <is>
          <t>A-</t>
        </is>
      </c>
      <c r="J16" s="368" t="n">
        <v>8.26</v>
      </c>
      <c r="K16" s="369" t="inlineStr">
        <is>
          <t>B+</t>
        </is>
      </c>
      <c r="L16" s="368" t="n">
        <v>8.66</v>
      </c>
      <c r="M16" s="369" t="inlineStr">
        <is>
          <t>A-</t>
        </is>
      </c>
      <c r="N16" s="368" t="n">
        <v>8.609999999999999</v>
      </c>
      <c r="O16" s="369" t="inlineStr">
        <is>
          <t>A-</t>
        </is>
      </c>
      <c r="P16" s="368" t="n">
        <v>9.17</v>
      </c>
      <c r="Q16" s="369" t="inlineStr">
        <is>
          <t>A-</t>
        </is>
      </c>
      <c r="R16" s="368" t="n">
        <v>8</v>
      </c>
      <c r="S16" s="369" t="inlineStr">
        <is>
          <t>B-</t>
        </is>
      </c>
      <c r="T16" s="368" t="n">
        <v>8.699999999999999</v>
      </c>
      <c r="U16" s="371" t="inlineStr">
        <is>
          <t>A-</t>
        </is>
      </c>
      <c r="V16" s="371" t="inlineStr">
        <is>
          <t>S</t>
        </is>
      </c>
      <c r="W16" s="371" t="inlineStr">
        <is>
          <t>PROMOVIDO</t>
        </is>
      </c>
    </row>
    <row r="17" ht="11.2" customHeight="1" s="225">
      <c r="A17" s="365" t="n">
        <v>14</v>
      </c>
      <c r="B17" s="366" t="inlineStr">
        <is>
          <t>215103122016</t>
        </is>
      </c>
      <c r="C17" s="367" t="inlineStr">
        <is>
          <t>MAUREL APONCIO CHARLES ANTONIO</t>
        </is>
      </c>
      <c r="D17" s="368" t="n">
        <v>8.619999999999999</v>
      </c>
      <c r="E17" s="369" t="inlineStr">
        <is>
          <t>A-</t>
        </is>
      </c>
      <c r="F17" s="370" t="n">
        <v>8.58</v>
      </c>
      <c r="G17" s="369" t="inlineStr">
        <is>
          <t>A-</t>
        </is>
      </c>
      <c r="H17" s="368" t="n">
        <v>8.68</v>
      </c>
      <c r="I17" s="369" t="inlineStr">
        <is>
          <t>A-</t>
        </is>
      </c>
      <c r="J17" s="368" t="n">
        <v>8.529999999999999</v>
      </c>
      <c r="K17" s="369" t="inlineStr">
        <is>
          <t>A-</t>
        </is>
      </c>
      <c r="L17" s="368" t="n">
        <v>8.77</v>
      </c>
      <c r="M17" s="369" t="inlineStr">
        <is>
          <t>A-</t>
        </is>
      </c>
      <c r="N17" s="368" t="n">
        <v>8.81</v>
      </c>
      <c r="O17" s="369" t="inlineStr">
        <is>
          <t>A-</t>
        </is>
      </c>
      <c r="P17" s="368" t="n">
        <v>9.449999999999999</v>
      </c>
      <c r="Q17" s="369" t="inlineStr">
        <is>
          <t>A-</t>
        </is>
      </c>
      <c r="R17" s="368" t="n">
        <v>9</v>
      </c>
      <c r="S17" s="369" t="inlineStr">
        <is>
          <t>A-</t>
        </is>
      </c>
      <c r="T17" s="368" t="n">
        <v>8.779999999999999</v>
      </c>
      <c r="U17" s="371" t="inlineStr">
        <is>
          <t>A-</t>
        </is>
      </c>
      <c r="V17" s="371" t="inlineStr">
        <is>
          <t>S</t>
        </is>
      </c>
      <c r="W17" s="371" t="inlineStr">
        <is>
          <t>PROMOVIDO</t>
        </is>
      </c>
    </row>
    <row r="18" ht="11.2" customHeight="1" s="225">
      <c r="A18" s="365" t="n">
        <v>15</v>
      </c>
      <c r="B18" s="366" t="inlineStr">
        <is>
          <t>0151713203</t>
        </is>
      </c>
      <c r="C18" s="366" t="inlineStr">
        <is>
          <t>MERCHAN LUNA MATIEL ISRAEL</t>
        </is>
      </c>
      <c r="D18" s="368" t="n">
        <v>8.529999999999999</v>
      </c>
      <c r="E18" s="369" t="inlineStr">
        <is>
          <t>A-</t>
        </is>
      </c>
      <c r="F18" s="368" t="n">
        <v>8.01</v>
      </c>
      <c r="G18" s="369" t="inlineStr">
        <is>
          <t>B+</t>
        </is>
      </c>
      <c r="H18" s="368" t="n">
        <v>8.9</v>
      </c>
      <c r="I18" s="369" t="inlineStr">
        <is>
          <t>A-</t>
        </is>
      </c>
      <c r="J18" s="368" t="n">
        <v>8.460000000000001</v>
      </c>
      <c r="K18" s="369" t="inlineStr">
        <is>
          <t>B+</t>
        </is>
      </c>
      <c r="L18" s="368" t="n">
        <v>7.96</v>
      </c>
      <c r="M18" s="369" t="inlineStr">
        <is>
          <t>B+</t>
        </is>
      </c>
      <c r="N18" s="368" t="n">
        <v>8.48</v>
      </c>
      <c r="O18" s="369" t="inlineStr">
        <is>
          <t>B+</t>
        </is>
      </c>
      <c r="P18" s="368" t="n">
        <v>8.800000000000001</v>
      </c>
      <c r="Q18" s="369" t="inlineStr">
        <is>
          <t>A-</t>
        </is>
      </c>
      <c r="R18" s="368" t="n">
        <v>9</v>
      </c>
      <c r="S18" s="369" t="inlineStr">
        <is>
          <t>A-</t>
        </is>
      </c>
      <c r="T18" s="368" t="n">
        <v>8.449999999999999</v>
      </c>
      <c r="U18" s="371" t="inlineStr">
        <is>
          <t>B+</t>
        </is>
      </c>
      <c r="V18" s="371" t="inlineStr">
        <is>
          <t>S</t>
        </is>
      </c>
      <c r="W18" s="371" t="inlineStr">
        <is>
          <t>PROMOVIDO</t>
        </is>
      </c>
    </row>
    <row r="19" ht="11.2" customHeight="1" s="225">
      <c r="A19" s="365" t="n">
        <v>16</v>
      </c>
      <c r="B19" s="366" t="inlineStr">
        <is>
          <t>0151753441</t>
        </is>
      </c>
      <c r="C19" s="366" t="inlineStr">
        <is>
          <t>MENDEZ ORDOÑEZ BRITHANY KASSANDRA</t>
        </is>
      </c>
      <c r="D19" s="368" t="n">
        <v>9.130000000000001</v>
      </c>
      <c r="E19" s="369" t="inlineStr">
        <is>
          <t>A-</t>
        </is>
      </c>
      <c r="F19" s="368" t="n">
        <v>8.949999999999999</v>
      </c>
      <c r="G19" s="369" t="inlineStr">
        <is>
          <t>A-</t>
        </is>
      </c>
      <c r="H19" s="368" t="n">
        <v>9.06</v>
      </c>
      <c r="I19" s="369" t="inlineStr">
        <is>
          <t>A-</t>
        </is>
      </c>
      <c r="J19" s="368" t="n">
        <v>8.73</v>
      </c>
      <c r="K19" s="369" t="inlineStr">
        <is>
          <t>A-</t>
        </is>
      </c>
      <c r="L19" s="368" t="n">
        <v>8.880000000000001</v>
      </c>
      <c r="M19" s="369" t="inlineStr">
        <is>
          <t>A-</t>
        </is>
      </c>
      <c r="N19" s="368" t="n">
        <v>9.289999999999999</v>
      </c>
      <c r="O19" s="369" t="inlineStr">
        <is>
          <t>A-</t>
        </is>
      </c>
      <c r="P19" s="368" t="n">
        <v>8.84</v>
      </c>
      <c r="Q19" s="369" t="inlineStr">
        <is>
          <t>A-</t>
        </is>
      </c>
      <c r="R19" s="368" t="n">
        <v>9</v>
      </c>
      <c r="S19" s="369" t="inlineStr">
        <is>
          <t>A-</t>
        </is>
      </c>
      <c r="T19" s="368" t="n">
        <v>8.98</v>
      </c>
      <c r="U19" s="371" t="inlineStr">
        <is>
          <t>A-</t>
        </is>
      </c>
      <c r="V19" s="371" t="inlineStr">
        <is>
          <t>S</t>
        </is>
      </c>
      <c r="W19" s="371" t="inlineStr">
        <is>
          <t>PROMOVIDO</t>
        </is>
      </c>
    </row>
    <row r="20" ht="11.2" customHeight="1" s="225">
      <c r="A20" s="365" t="n">
        <v>17</v>
      </c>
      <c r="B20" s="366" t="inlineStr">
        <is>
          <t>0151782000</t>
        </is>
      </c>
      <c r="C20" s="367" t="inlineStr">
        <is>
          <t>MORA VILLALBA ARIANA GRACIELA</t>
        </is>
      </c>
      <c r="D20" s="370" t="n">
        <v>9.84</v>
      </c>
      <c r="E20" s="369" t="inlineStr">
        <is>
          <t>A+</t>
        </is>
      </c>
      <c r="F20" s="370" t="n">
        <v>9.59</v>
      </c>
      <c r="G20" s="369" t="inlineStr">
        <is>
          <t>A+</t>
        </is>
      </c>
      <c r="H20" s="370" t="n">
        <v>9.69</v>
      </c>
      <c r="I20" s="369" t="inlineStr">
        <is>
          <t>A+</t>
        </is>
      </c>
      <c r="J20" s="370" t="n">
        <v>9.59</v>
      </c>
      <c r="K20" s="369" t="inlineStr">
        <is>
          <t>A+</t>
        </is>
      </c>
      <c r="L20" s="368" t="n">
        <v>9.380000000000001</v>
      </c>
      <c r="M20" s="369" t="inlineStr">
        <is>
          <t>A-</t>
        </is>
      </c>
      <c r="N20" s="370" t="n">
        <v>9.51</v>
      </c>
      <c r="O20" s="369" t="inlineStr">
        <is>
          <t>A+</t>
        </is>
      </c>
      <c r="P20" s="368" t="n">
        <v>9.289999999999999</v>
      </c>
      <c r="Q20" s="369" t="inlineStr">
        <is>
          <t>A-</t>
        </is>
      </c>
      <c r="R20" s="368" t="n">
        <v>9.33</v>
      </c>
      <c r="S20" s="369" t="inlineStr">
        <is>
          <t>A-</t>
        </is>
      </c>
      <c r="T20" s="370" t="n">
        <v>9.550000000000001</v>
      </c>
      <c r="U20" s="371" t="inlineStr">
        <is>
          <t>A+</t>
        </is>
      </c>
      <c r="V20" s="371" t="inlineStr">
        <is>
          <t>S</t>
        </is>
      </c>
      <c r="W20" s="371" t="inlineStr">
        <is>
          <t>PROMOVIDO</t>
        </is>
      </c>
    </row>
    <row r="21" ht="11.2" customHeight="1" s="225">
      <c r="A21" s="365" t="n">
        <v>18</v>
      </c>
      <c r="B21" s="366" t="inlineStr">
        <is>
          <t>0151692613</t>
        </is>
      </c>
      <c r="C21" s="366" t="inlineStr">
        <is>
          <t>MORQUECHO ORELLANA MIKAELA ARACELY</t>
        </is>
      </c>
      <c r="D21" s="368" t="n">
        <v>7.49</v>
      </c>
      <c r="E21" s="369" t="inlineStr">
        <is>
          <t>B-</t>
        </is>
      </c>
      <c r="F21" s="368" t="n">
        <v>7.96</v>
      </c>
      <c r="G21" s="369" t="inlineStr">
        <is>
          <t>B+</t>
        </is>
      </c>
      <c r="H21" s="368" t="n">
        <v>8.609999999999999</v>
      </c>
      <c r="I21" s="369" t="inlineStr">
        <is>
          <t>A-</t>
        </is>
      </c>
      <c r="J21" s="368" t="n">
        <v>8.119999999999999</v>
      </c>
      <c r="K21" s="369" t="inlineStr">
        <is>
          <t>B+</t>
        </is>
      </c>
      <c r="L21" s="368" t="n">
        <v>7.69</v>
      </c>
      <c r="M21" s="369" t="inlineStr">
        <is>
          <t>B+</t>
        </is>
      </c>
      <c r="N21" s="368" t="n">
        <v>8.68</v>
      </c>
      <c r="O21" s="369" t="inlineStr">
        <is>
          <t>A-</t>
        </is>
      </c>
      <c r="P21" s="368" t="n">
        <v>8.869999999999999</v>
      </c>
      <c r="Q21" s="369" t="inlineStr">
        <is>
          <t>A-</t>
        </is>
      </c>
      <c r="R21" s="368" t="n">
        <v>8.33</v>
      </c>
      <c r="S21" s="369" t="inlineStr">
        <is>
          <t>A-</t>
        </is>
      </c>
      <c r="T21" s="368" t="n">
        <v>8.199999999999999</v>
      </c>
      <c r="U21" s="371" t="inlineStr">
        <is>
          <t>B+</t>
        </is>
      </c>
      <c r="V21" s="371" t="inlineStr">
        <is>
          <t>S</t>
        </is>
      </c>
      <c r="W21" s="371" t="inlineStr">
        <is>
          <t>PROMOVIDO</t>
        </is>
      </c>
    </row>
    <row r="22" ht="11.2" customHeight="1" s="225">
      <c r="A22" s="365" t="n">
        <v>19</v>
      </c>
      <c r="B22" s="366" t="inlineStr">
        <is>
          <t>0151846938</t>
        </is>
      </c>
      <c r="C22" s="366" t="inlineStr">
        <is>
          <t>MUÑOZ ANDRADE JULIO CRISTHOFER</t>
        </is>
      </c>
      <c r="D22" s="368" t="n">
        <v>8.9</v>
      </c>
      <c r="E22" s="369" t="inlineStr">
        <is>
          <t>A-</t>
        </is>
      </c>
      <c r="F22" s="368" t="n">
        <v>9.25</v>
      </c>
      <c r="G22" s="369" t="inlineStr">
        <is>
          <t>A-</t>
        </is>
      </c>
      <c r="H22" s="368" t="n">
        <v>9.42</v>
      </c>
      <c r="I22" s="369" t="inlineStr">
        <is>
          <t>A-</t>
        </is>
      </c>
      <c r="J22" s="368" t="n">
        <v>9.050000000000001</v>
      </c>
      <c r="K22" s="369" t="inlineStr">
        <is>
          <t>A-</t>
        </is>
      </c>
      <c r="L22" s="368" t="n">
        <v>8.67</v>
      </c>
      <c r="M22" s="369" t="inlineStr">
        <is>
          <t>A-</t>
        </is>
      </c>
      <c r="N22" s="368" t="n">
        <v>9.07</v>
      </c>
      <c r="O22" s="369" t="inlineStr">
        <is>
          <t>A-</t>
        </is>
      </c>
      <c r="P22" s="368" t="n">
        <v>9.33</v>
      </c>
      <c r="Q22" s="369" t="inlineStr">
        <is>
          <t>A-</t>
        </is>
      </c>
      <c r="R22" s="368" t="n">
        <v>9</v>
      </c>
      <c r="S22" s="369" t="inlineStr">
        <is>
          <t>A-</t>
        </is>
      </c>
      <c r="T22" s="368" t="n">
        <v>9.1</v>
      </c>
      <c r="U22" s="371" t="inlineStr">
        <is>
          <t>A-</t>
        </is>
      </c>
      <c r="V22" s="371" t="inlineStr">
        <is>
          <t>S</t>
        </is>
      </c>
      <c r="W22" s="371" t="inlineStr">
        <is>
          <t>PROMOVIDO</t>
        </is>
      </c>
    </row>
    <row r="23" ht="11.2" customHeight="1" s="225">
      <c r="A23" s="365" t="n">
        <v>20</v>
      </c>
      <c r="B23" s="366" t="inlineStr">
        <is>
          <t>3251480757</t>
        </is>
      </c>
      <c r="C23" s="366" t="inlineStr">
        <is>
          <t>NARANJO HERNANDEZ ELIAS EZEQUIEL</t>
        </is>
      </c>
      <c r="D23" s="368" t="n">
        <v>7.42</v>
      </c>
      <c r="E23" s="369" t="inlineStr">
        <is>
          <t>B-</t>
        </is>
      </c>
      <c r="F23" s="368" t="n">
        <v>7.33</v>
      </c>
      <c r="G23" s="369" t="inlineStr">
        <is>
          <t>B-</t>
        </is>
      </c>
      <c r="H23" s="368" t="n">
        <v>8.02</v>
      </c>
      <c r="I23" s="369" t="inlineStr">
        <is>
          <t>B+</t>
        </is>
      </c>
      <c r="J23" s="368" t="n">
        <v>7.41</v>
      </c>
      <c r="K23" s="369" t="inlineStr">
        <is>
          <t>B-</t>
        </is>
      </c>
      <c r="L23" s="368" t="n">
        <v>6.52</v>
      </c>
      <c r="M23" s="369" t="inlineStr">
        <is>
          <t>B-</t>
        </is>
      </c>
      <c r="N23" s="368" t="n">
        <v>8</v>
      </c>
      <c r="O23" s="369" t="inlineStr">
        <is>
          <t>B+</t>
        </is>
      </c>
      <c r="P23" s="368" t="n">
        <v>8.31</v>
      </c>
      <c r="Q23" s="369" t="inlineStr">
        <is>
          <t>B+</t>
        </is>
      </c>
      <c r="R23" s="368" t="n">
        <v>7.33</v>
      </c>
      <c r="S23" s="369" t="inlineStr">
        <is>
          <t>B-</t>
        </is>
      </c>
      <c r="T23" s="368" t="n">
        <v>7.57</v>
      </c>
      <c r="U23" s="371" t="inlineStr">
        <is>
          <t>B+</t>
        </is>
      </c>
      <c r="V23" s="371" t="inlineStr">
        <is>
          <t>S</t>
        </is>
      </c>
      <c r="W23" s="371" t="inlineStr">
        <is>
          <t>PROMOVIDO</t>
        </is>
      </c>
    </row>
    <row r="24" ht="11.2" customHeight="1" s="225">
      <c r="A24" s="365" t="n">
        <v>21</v>
      </c>
      <c r="B24" s="366" t="inlineStr">
        <is>
          <t>0151755318</t>
        </is>
      </c>
      <c r="C24" s="366" t="inlineStr">
        <is>
          <t>PAUCAR AUCAPIÑA MATIAS EFRAIN</t>
        </is>
      </c>
      <c r="D24" s="368" t="n">
        <v>10</v>
      </c>
      <c r="E24" s="369" t="inlineStr">
        <is>
          <t>A+</t>
        </is>
      </c>
      <c r="F24" s="368" t="n">
        <v>9.789999999999999</v>
      </c>
      <c r="G24" s="369" t="inlineStr">
        <is>
          <t>A+</t>
        </is>
      </c>
      <c r="H24" s="368" t="n">
        <v>9.77</v>
      </c>
      <c r="I24" s="369" t="inlineStr">
        <is>
          <t>A+</t>
        </is>
      </c>
      <c r="J24" s="368" t="n">
        <v>9.789999999999999</v>
      </c>
      <c r="K24" s="369" t="inlineStr">
        <is>
          <t>A+</t>
        </is>
      </c>
      <c r="L24" s="368" t="n">
        <v>9.869999999999999</v>
      </c>
      <c r="M24" s="369" t="inlineStr">
        <is>
          <t>A+</t>
        </is>
      </c>
      <c r="N24" s="368" t="n">
        <v>9.220000000000001</v>
      </c>
      <c r="O24" s="369" t="inlineStr">
        <is>
          <t>A-</t>
        </is>
      </c>
      <c r="P24" s="368" t="n">
        <v>9.77</v>
      </c>
      <c r="Q24" s="369" t="inlineStr">
        <is>
          <t>A+</t>
        </is>
      </c>
      <c r="R24" s="368" t="n">
        <v>10</v>
      </c>
      <c r="S24" s="369" t="inlineStr">
        <is>
          <t>A+</t>
        </is>
      </c>
      <c r="T24" s="368" t="n">
        <v>9.75</v>
      </c>
      <c r="U24" s="371" t="inlineStr">
        <is>
          <t>A+</t>
        </is>
      </c>
      <c r="V24" s="371" t="inlineStr">
        <is>
          <t>S</t>
        </is>
      </c>
      <c r="W24" s="371" t="inlineStr">
        <is>
          <t>PROMOVIDO</t>
        </is>
      </c>
    </row>
    <row r="25" ht="11.2" customHeight="1" s="225">
      <c r="A25" s="365" t="n">
        <v>22</v>
      </c>
      <c r="B25" s="366" t="inlineStr">
        <is>
          <t>0151668571</t>
        </is>
      </c>
      <c r="C25" s="367" t="inlineStr">
        <is>
          <t>PEREZ SINCHI MATIAS FERNANDO</t>
        </is>
      </c>
      <c r="D25" s="368" t="n">
        <v>8.83</v>
      </c>
      <c r="E25" s="369" t="inlineStr">
        <is>
          <t>A-</t>
        </is>
      </c>
      <c r="F25" s="368" t="n">
        <v>8.85</v>
      </c>
      <c r="G25" s="369" t="inlineStr">
        <is>
          <t>A-</t>
        </is>
      </c>
      <c r="H25" s="368" t="n">
        <v>9.18</v>
      </c>
      <c r="I25" s="369" t="inlineStr">
        <is>
          <t>A-</t>
        </is>
      </c>
      <c r="J25" s="370" t="n">
        <v>8.6</v>
      </c>
      <c r="K25" s="369" t="inlineStr">
        <is>
          <t>A-</t>
        </is>
      </c>
      <c r="L25" s="368" t="n">
        <v>8.609999999999999</v>
      </c>
      <c r="M25" s="369" t="inlineStr">
        <is>
          <t>A-</t>
        </is>
      </c>
      <c r="N25" s="368" t="n">
        <v>8.74</v>
      </c>
      <c r="O25" s="369" t="inlineStr">
        <is>
          <t>A-</t>
        </is>
      </c>
      <c r="P25" s="368" t="n">
        <v>8.69</v>
      </c>
      <c r="Q25" s="369" t="inlineStr">
        <is>
          <t>A-</t>
        </is>
      </c>
      <c r="R25" s="368" t="n">
        <v>9</v>
      </c>
      <c r="S25" s="369" t="inlineStr">
        <is>
          <t>A-</t>
        </is>
      </c>
      <c r="T25" s="368" t="n">
        <v>8.789999999999999</v>
      </c>
      <c r="U25" s="371" t="inlineStr">
        <is>
          <t>A-</t>
        </is>
      </c>
      <c r="V25" s="371" t="inlineStr">
        <is>
          <t>S</t>
        </is>
      </c>
      <c r="W25" s="371" t="inlineStr">
        <is>
          <t>PROMOVIDO</t>
        </is>
      </c>
    </row>
    <row r="26" ht="11.2" customHeight="1" s="225">
      <c r="A26" s="365" t="n">
        <v>23</v>
      </c>
      <c r="B26" s="366" t="inlineStr">
        <is>
          <t>0151759909</t>
        </is>
      </c>
      <c r="C26" s="366" t="inlineStr">
        <is>
          <t>POMA SARAGURO KARLA VALENTINA</t>
        </is>
      </c>
      <c r="D26" s="368" t="n">
        <v>7.72</v>
      </c>
      <c r="E26" s="369" t="inlineStr">
        <is>
          <t>B+</t>
        </is>
      </c>
      <c r="F26" s="368" t="n">
        <v>8.23</v>
      </c>
      <c r="G26" s="369" t="inlineStr">
        <is>
          <t>B+</t>
        </is>
      </c>
      <c r="H26" s="368" t="n">
        <v>8.77</v>
      </c>
      <c r="I26" s="369" t="inlineStr">
        <is>
          <t>A-</t>
        </is>
      </c>
      <c r="J26" s="368" t="n">
        <v>8.01</v>
      </c>
      <c r="K26" s="369" t="inlineStr">
        <is>
          <t>B+</t>
        </is>
      </c>
      <c r="L26" s="368" t="n">
        <v>8.26</v>
      </c>
      <c r="M26" s="369" t="inlineStr">
        <is>
          <t>B+</t>
        </is>
      </c>
      <c r="N26" s="368" t="n">
        <v>8.83</v>
      </c>
      <c r="O26" s="369" t="inlineStr">
        <is>
          <t>A-</t>
        </is>
      </c>
      <c r="P26" s="368" t="n">
        <v>8.94</v>
      </c>
      <c r="Q26" s="369" t="inlineStr">
        <is>
          <t>A-</t>
        </is>
      </c>
      <c r="R26" s="368" t="n">
        <v>8</v>
      </c>
      <c r="S26" s="369" t="inlineStr">
        <is>
          <t>B+</t>
        </is>
      </c>
      <c r="T26" s="368" t="n">
        <v>8.390000000000001</v>
      </c>
      <c r="U26" s="371" t="inlineStr">
        <is>
          <t>B+</t>
        </is>
      </c>
      <c r="V26" s="371" t="inlineStr">
        <is>
          <t>S</t>
        </is>
      </c>
      <c r="W26" s="371" t="inlineStr">
        <is>
          <t>PROMOVIDO</t>
        </is>
      </c>
    </row>
    <row r="27" ht="11.2" customHeight="1" s="225">
      <c r="A27" s="365" t="n">
        <v>24</v>
      </c>
      <c r="B27" s="366" t="inlineStr">
        <is>
          <t>0151755352</t>
        </is>
      </c>
      <c r="C27" s="366" t="inlineStr">
        <is>
          <t>PROCEL MARIN EMANUEL NICOLAS</t>
        </is>
      </c>
      <c r="D27" s="368" t="n">
        <v>8.01</v>
      </c>
      <c r="E27" s="369" t="inlineStr">
        <is>
          <t>B+</t>
        </is>
      </c>
      <c r="F27" s="368" t="n">
        <v>8.06</v>
      </c>
      <c r="G27" s="369" t="inlineStr">
        <is>
          <t>B+</t>
        </is>
      </c>
      <c r="H27" s="368" t="n">
        <v>8.029999999999999</v>
      </c>
      <c r="I27" s="369" t="inlineStr">
        <is>
          <t>B+</t>
        </is>
      </c>
      <c r="J27" s="368" t="n">
        <v>7.81</v>
      </c>
      <c r="K27" s="369" t="inlineStr">
        <is>
          <t>B+</t>
        </is>
      </c>
      <c r="L27" s="368" t="n">
        <v>7.26</v>
      </c>
      <c r="M27" s="369" t="inlineStr">
        <is>
          <t>B-</t>
        </is>
      </c>
      <c r="N27" s="368" t="n">
        <v>8.720000000000001</v>
      </c>
      <c r="O27" s="369" t="inlineStr">
        <is>
          <t>A-</t>
        </is>
      </c>
      <c r="P27" s="368" t="n">
        <v>8.25</v>
      </c>
      <c r="Q27" s="369" t="inlineStr">
        <is>
          <t>B+</t>
        </is>
      </c>
      <c r="R27" s="368" t="n">
        <v>8</v>
      </c>
      <c r="S27" s="369" t="inlineStr">
        <is>
          <t>B-</t>
        </is>
      </c>
      <c r="T27" s="368" t="n">
        <v>8.02</v>
      </c>
      <c r="U27" s="371" t="inlineStr">
        <is>
          <t>B+</t>
        </is>
      </c>
      <c r="V27" s="371" t="inlineStr">
        <is>
          <t>S</t>
        </is>
      </c>
      <c r="W27" s="371" t="inlineStr">
        <is>
          <t>PROMOVIDO</t>
        </is>
      </c>
    </row>
    <row r="28" ht="11.2" customHeight="1" s="225">
      <c r="A28" s="365" t="n">
        <v>25</v>
      </c>
      <c r="B28" s="366" t="inlineStr">
        <is>
          <t>0151751856</t>
        </is>
      </c>
      <c r="C28" s="366" t="inlineStr">
        <is>
          <t>RAMIREZ PINTO MAYKEL ISRAEL</t>
        </is>
      </c>
      <c r="D28" s="368" t="n">
        <v>7.46</v>
      </c>
      <c r="E28" s="369" t="inlineStr">
        <is>
          <t>B-</t>
        </is>
      </c>
      <c r="F28" s="368" t="n">
        <v>7.82</v>
      </c>
      <c r="G28" s="369" t="inlineStr">
        <is>
          <t>B+</t>
        </is>
      </c>
      <c r="H28" s="368" t="n">
        <v>8.16</v>
      </c>
      <c r="I28" s="369" t="inlineStr">
        <is>
          <t>B+</t>
        </is>
      </c>
      <c r="J28" s="368" t="n">
        <v>8.15</v>
      </c>
      <c r="K28" s="369" t="inlineStr">
        <is>
          <t>B+</t>
        </is>
      </c>
      <c r="L28" s="368" t="n">
        <v>7.67</v>
      </c>
      <c r="M28" s="369" t="inlineStr">
        <is>
          <t>B+</t>
        </is>
      </c>
      <c r="N28" s="368" t="n">
        <v>8.67</v>
      </c>
      <c r="O28" s="369" t="inlineStr">
        <is>
          <t>A-</t>
        </is>
      </c>
      <c r="P28" s="368" t="n">
        <v>9.01</v>
      </c>
      <c r="Q28" s="369" t="inlineStr">
        <is>
          <t>A-</t>
        </is>
      </c>
      <c r="R28" s="368" t="n">
        <v>8</v>
      </c>
      <c r="S28" s="369" t="inlineStr">
        <is>
          <t>B-</t>
        </is>
      </c>
      <c r="T28" s="368" t="n">
        <v>8.130000000000001</v>
      </c>
      <c r="U28" s="371" t="inlineStr">
        <is>
          <t>B+</t>
        </is>
      </c>
      <c r="V28" s="371" t="inlineStr">
        <is>
          <t>S</t>
        </is>
      </c>
      <c r="W28" s="371" t="inlineStr">
        <is>
          <t>PROMOVIDO</t>
        </is>
      </c>
    </row>
    <row r="29" ht="11.2" customHeight="1" s="225">
      <c r="A29" s="365" t="n">
        <v>26</v>
      </c>
      <c r="B29" s="366" t="inlineStr">
        <is>
          <t>0151752599</t>
        </is>
      </c>
      <c r="C29" s="366" t="inlineStr">
        <is>
          <t>ROMERO NACIPUCHA LUIS ESTEBAN</t>
        </is>
      </c>
      <c r="D29" s="368" t="n">
        <v>7.67</v>
      </c>
      <c r="E29" s="369" t="inlineStr">
        <is>
          <t>B+</t>
        </is>
      </c>
      <c r="F29" s="368" t="n">
        <v>7.73</v>
      </c>
      <c r="G29" s="369" t="inlineStr">
        <is>
          <t>B+</t>
        </is>
      </c>
      <c r="H29" s="368" t="n">
        <v>8.359999999999999</v>
      </c>
      <c r="I29" s="369" t="inlineStr">
        <is>
          <t>B+</t>
        </is>
      </c>
      <c r="J29" s="368" t="n">
        <v>7.88</v>
      </c>
      <c r="K29" s="369" t="inlineStr">
        <is>
          <t>B+</t>
        </is>
      </c>
      <c r="L29" s="368" t="n">
        <v>7.75</v>
      </c>
      <c r="M29" s="369" t="inlineStr">
        <is>
          <t>B+</t>
        </is>
      </c>
      <c r="N29" s="368" t="n">
        <v>8.300000000000001</v>
      </c>
      <c r="O29" s="369" t="inlineStr">
        <is>
          <t>B+</t>
        </is>
      </c>
      <c r="P29" s="368" t="n">
        <v>8.85</v>
      </c>
      <c r="Q29" s="369" t="inlineStr">
        <is>
          <t>A-</t>
        </is>
      </c>
      <c r="R29" s="368" t="n">
        <v>8.33</v>
      </c>
      <c r="S29" s="369" t="inlineStr">
        <is>
          <t>A-</t>
        </is>
      </c>
      <c r="T29" s="368" t="n">
        <v>8.08</v>
      </c>
      <c r="U29" s="371" t="inlineStr">
        <is>
          <t>B+</t>
        </is>
      </c>
      <c r="V29" s="371" t="inlineStr">
        <is>
          <t>S</t>
        </is>
      </c>
      <c r="W29" s="371" t="inlineStr">
        <is>
          <t>PROMOVIDO</t>
        </is>
      </c>
    </row>
    <row r="30" ht="11.2" customHeight="1" s="225">
      <c r="A30" s="365" t="n">
        <v>27</v>
      </c>
      <c r="B30" s="366" t="inlineStr">
        <is>
          <t>0151711009</t>
        </is>
      </c>
      <c r="C30" s="366" t="inlineStr">
        <is>
          <t>SINCHI MUÑOZ RUBEN DARIO</t>
        </is>
      </c>
      <c r="D30" s="368" t="n">
        <v>7.8</v>
      </c>
      <c r="E30" s="369" t="inlineStr">
        <is>
          <t>B+</t>
        </is>
      </c>
      <c r="F30" s="368" t="n">
        <v>7.91</v>
      </c>
      <c r="G30" s="369" t="inlineStr">
        <is>
          <t>B+</t>
        </is>
      </c>
      <c r="H30" s="368" t="n">
        <v>8.779999999999999</v>
      </c>
      <c r="I30" s="369" t="inlineStr">
        <is>
          <t>A-</t>
        </is>
      </c>
      <c r="J30" s="368" t="n">
        <v>7.71</v>
      </c>
      <c r="K30" s="369" t="inlineStr">
        <is>
          <t>B+</t>
        </is>
      </c>
      <c r="L30" s="368" t="n">
        <v>8.18</v>
      </c>
      <c r="M30" s="369" t="inlineStr">
        <is>
          <t>B+</t>
        </is>
      </c>
      <c r="N30" s="368" t="n">
        <v>8.84</v>
      </c>
      <c r="O30" s="369" t="inlineStr">
        <is>
          <t>A-</t>
        </is>
      </c>
      <c r="P30" s="368" t="n">
        <v>9.199999999999999</v>
      </c>
      <c r="Q30" s="369" t="inlineStr">
        <is>
          <t>A-</t>
        </is>
      </c>
      <c r="R30" s="368" t="n">
        <v>8</v>
      </c>
      <c r="S30" s="369" t="inlineStr">
        <is>
          <t>B+</t>
        </is>
      </c>
      <c r="T30" s="368" t="n">
        <v>8.35</v>
      </c>
      <c r="U30" s="371" t="inlineStr">
        <is>
          <t>B+</t>
        </is>
      </c>
      <c r="V30" s="371" t="inlineStr">
        <is>
          <t>S</t>
        </is>
      </c>
      <c r="W30" s="371" t="inlineStr">
        <is>
          <t>PROMOVIDO</t>
        </is>
      </c>
    </row>
    <row r="31" ht="11.2" customHeight="1" s="225">
      <c r="A31" s="365" t="n">
        <v>28</v>
      </c>
      <c r="B31" s="366" t="inlineStr">
        <is>
          <t>0151775194</t>
        </is>
      </c>
      <c r="C31" s="366" t="inlineStr">
        <is>
          <t>TIGRE QUITO JHOANNA LIZETH</t>
        </is>
      </c>
      <c r="D31" s="368" t="n">
        <v>9.02</v>
      </c>
      <c r="E31" s="369" t="inlineStr">
        <is>
          <t>A-</t>
        </is>
      </c>
      <c r="F31" s="368" t="n">
        <v>8.99</v>
      </c>
      <c r="G31" s="369" t="inlineStr">
        <is>
          <t>A-</t>
        </is>
      </c>
      <c r="H31" s="368" t="n">
        <v>9.19</v>
      </c>
      <c r="I31" s="369" t="inlineStr">
        <is>
          <t>A-</t>
        </is>
      </c>
      <c r="J31" s="368" t="n">
        <v>8.880000000000001</v>
      </c>
      <c r="K31" s="369" t="inlineStr">
        <is>
          <t>A-</t>
        </is>
      </c>
      <c r="L31" s="368" t="n">
        <v>8.550000000000001</v>
      </c>
      <c r="M31" s="369" t="inlineStr">
        <is>
          <t>A-</t>
        </is>
      </c>
      <c r="N31" s="368" t="n">
        <v>9.359999999999999</v>
      </c>
      <c r="O31" s="369" t="inlineStr">
        <is>
          <t>A-</t>
        </is>
      </c>
      <c r="P31" s="368" t="n">
        <v>9.32</v>
      </c>
      <c r="Q31" s="369" t="inlineStr">
        <is>
          <t>A-</t>
        </is>
      </c>
      <c r="R31" s="368" t="n">
        <v>8.66</v>
      </c>
      <c r="S31" s="369" t="inlineStr">
        <is>
          <t>A-</t>
        </is>
      </c>
      <c r="T31" s="368" t="n">
        <v>9.050000000000001</v>
      </c>
      <c r="U31" s="371" t="inlineStr">
        <is>
          <t>A-</t>
        </is>
      </c>
      <c r="V31" s="371" t="inlineStr">
        <is>
          <t>S</t>
        </is>
      </c>
      <c r="W31" s="371" t="inlineStr">
        <is>
          <t>PROMOVIDO</t>
        </is>
      </c>
    </row>
    <row r="32" ht="11.2" customHeight="1" s="225">
      <c r="A32" s="365" t="n">
        <v>29</v>
      </c>
      <c r="B32" s="366" t="inlineStr">
        <is>
          <t>1151257621</t>
        </is>
      </c>
      <c r="C32" s="366" t="inlineStr">
        <is>
          <t>TORRES AROTINGO ANTHONY JOEL</t>
        </is>
      </c>
      <c r="D32" s="368" t="n">
        <v>8.32</v>
      </c>
      <c r="E32" s="369" t="inlineStr">
        <is>
          <t>B+</t>
        </is>
      </c>
      <c r="F32" s="368" t="n">
        <v>8.52</v>
      </c>
      <c r="G32" s="369" t="inlineStr">
        <is>
          <t>A-</t>
        </is>
      </c>
      <c r="H32" s="368" t="n">
        <v>8.779999999999999</v>
      </c>
      <c r="I32" s="369" t="inlineStr">
        <is>
          <t>A-</t>
        </is>
      </c>
      <c r="J32" s="368" t="n">
        <v>8.539999999999999</v>
      </c>
      <c r="K32" s="369" t="inlineStr">
        <is>
          <t>A-</t>
        </is>
      </c>
      <c r="L32" s="368" t="n">
        <v>8.6</v>
      </c>
      <c r="M32" s="369" t="inlineStr">
        <is>
          <t>A-</t>
        </is>
      </c>
      <c r="N32" s="368" t="n">
        <v>8.369999999999999</v>
      </c>
      <c r="O32" s="369" t="inlineStr">
        <is>
          <t>B+</t>
        </is>
      </c>
      <c r="P32" s="368" t="n">
        <v>9</v>
      </c>
      <c r="Q32" s="369" t="inlineStr">
        <is>
          <t>A-</t>
        </is>
      </c>
      <c r="R32" s="368" t="n">
        <v>8</v>
      </c>
      <c r="S32" s="369" t="inlineStr">
        <is>
          <t>B+</t>
        </is>
      </c>
      <c r="T32" s="368" t="n">
        <v>8.59</v>
      </c>
      <c r="U32" s="371" t="inlineStr">
        <is>
          <t>A-</t>
        </is>
      </c>
      <c r="V32" s="371" t="inlineStr">
        <is>
          <t>S</t>
        </is>
      </c>
      <c r="W32" s="371" t="inlineStr">
        <is>
          <t>PROMOVIDO</t>
        </is>
      </c>
    </row>
    <row r="33" ht="11.2" customHeight="1" s="225">
      <c r="A33" s="365" t="n">
        <v>30</v>
      </c>
      <c r="B33" s="366" t="inlineStr">
        <is>
          <t>0151790226</t>
        </is>
      </c>
      <c r="C33" s="366" t="inlineStr">
        <is>
          <t>VASQUEZ PAREDES JOSTYN MATEO</t>
        </is>
      </c>
      <c r="D33" s="368" t="n">
        <v>7.76</v>
      </c>
      <c r="E33" s="369" t="inlineStr">
        <is>
          <t>B+</t>
        </is>
      </c>
      <c r="F33" s="368" t="n">
        <v>8.279999999999999</v>
      </c>
      <c r="G33" s="369" t="inlineStr">
        <is>
          <t>B+</t>
        </is>
      </c>
      <c r="H33" s="368" t="n">
        <v>8.359999999999999</v>
      </c>
      <c r="I33" s="369" t="inlineStr">
        <is>
          <t>B+</t>
        </is>
      </c>
      <c r="J33" s="368" t="n">
        <v>7.69</v>
      </c>
      <c r="K33" s="369" t="inlineStr">
        <is>
          <t>B+</t>
        </is>
      </c>
      <c r="L33" s="368" t="n">
        <v>7.29</v>
      </c>
      <c r="M33" s="369" t="inlineStr">
        <is>
          <t>B-</t>
        </is>
      </c>
      <c r="N33" s="368" t="n">
        <v>8.84</v>
      </c>
      <c r="O33" s="369" t="inlineStr">
        <is>
          <t>A-</t>
        </is>
      </c>
      <c r="P33" s="368" t="n">
        <v>8.66</v>
      </c>
      <c r="Q33" s="369" t="inlineStr">
        <is>
          <t>A-</t>
        </is>
      </c>
      <c r="R33" s="368" t="n">
        <v>8</v>
      </c>
      <c r="S33" s="369" t="inlineStr">
        <is>
          <t>B-</t>
        </is>
      </c>
      <c r="T33" s="368" t="n">
        <v>8.130000000000001</v>
      </c>
      <c r="U33" s="371" t="inlineStr">
        <is>
          <t>B+</t>
        </is>
      </c>
      <c r="V33" s="371" t="inlineStr">
        <is>
          <t>S</t>
        </is>
      </c>
      <c r="W33" s="371" t="inlineStr">
        <is>
          <t>PROMOVIDO</t>
        </is>
      </c>
    </row>
    <row r="34" ht="11.2" customHeight="1" s="225">
      <c r="A34" s="365" t="n">
        <v>31</v>
      </c>
      <c r="B34" s="366" t="inlineStr">
        <is>
          <t>0151674793</t>
        </is>
      </c>
      <c r="C34" s="367" t="inlineStr">
        <is>
          <t>VELIZ PAREDES EMILIA VALENTINA</t>
        </is>
      </c>
      <c r="D34" s="368" t="n">
        <v>9.51</v>
      </c>
      <c r="E34" s="369" t="inlineStr">
        <is>
          <t>A+</t>
        </is>
      </c>
      <c r="F34" s="368" t="n">
        <v>9.119999999999999</v>
      </c>
      <c r="G34" s="369" t="inlineStr">
        <is>
          <t>A-</t>
        </is>
      </c>
      <c r="H34" s="370" t="n">
        <v>8.91</v>
      </c>
      <c r="I34" s="369" t="inlineStr">
        <is>
          <t>A-</t>
        </is>
      </c>
      <c r="J34" s="368" t="n">
        <v>9.279999999999999</v>
      </c>
      <c r="K34" s="369" t="inlineStr">
        <is>
          <t>A-</t>
        </is>
      </c>
      <c r="L34" s="368" t="n">
        <v>9.039999999999999</v>
      </c>
      <c r="M34" s="369" t="inlineStr">
        <is>
          <t>A-</t>
        </is>
      </c>
      <c r="N34" s="368" t="n">
        <v>9.210000000000001</v>
      </c>
      <c r="O34" s="369" t="inlineStr">
        <is>
          <t>A-</t>
        </is>
      </c>
      <c r="P34" s="368" t="n">
        <v>9.16</v>
      </c>
      <c r="Q34" s="369" t="inlineStr">
        <is>
          <t>A-</t>
        </is>
      </c>
      <c r="R34" s="368" t="n">
        <v>9</v>
      </c>
      <c r="S34" s="369" t="inlineStr">
        <is>
          <t>A-</t>
        </is>
      </c>
      <c r="T34" s="368" t="n">
        <v>9.18</v>
      </c>
      <c r="U34" s="371" t="inlineStr">
        <is>
          <t>A-</t>
        </is>
      </c>
      <c r="V34" s="371" t="inlineStr">
        <is>
          <t>S</t>
        </is>
      </c>
      <c r="W34" s="371" t="inlineStr">
        <is>
          <t>PROMOVIDO</t>
        </is>
      </c>
    </row>
    <row r="35" ht="11.2" customHeight="1" s="225">
      <c r="A35" s="365" t="n">
        <v>32</v>
      </c>
      <c r="B35" s="366" t="inlineStr">
        <is>
          <t>0151703881</t>
        </is>
      </c>
      <c r="C35" s="366" t="inlineStr">
        <is>
          <t>ZHIZHPON CORTE JOSTIN PAUL</t>
        </is>
      </c>
      <c r="D35" s="368" t="n">
        <v>9.460000000000001</v>
      </c>
      <c r="E35" s="369" t="inlineStr">
        <is>
          <t>A+</t>
        </is>
      </c>
      <c r="F35" s="368" t="n">
        <v>9.369999999999999</v>
      </c>
      <c r="G35" s="369" t="inlineStr">
        <is>
          <t>A-</t>
        </is>
      </c>
      <c r="H35" s="368" t="n">
        <v>9.56</v>
      </c>
      <c r="I35" s="369" t="inlineStr">
        <is>
          <t>A+</t>
        </is>
      </c>
      <c r="J35" s="368" t="n">
        <v>9.19</v>
      </c>
      <c r="K35" s="369" t="inlineStr">
        <is>
          <t>A-</t>
        </is>
      </c>
      <c r="L35" s="368" t="n">
        <v>9.31</v>
      </c>
      <c r="M35" s="369" t="inlineStr">
        <is>
          <t>A-</t>
        </is>
      </c>
      <c r="N35" s="368" t="n">
        <v>9.23</v>
      </c>
      <c r="O35" s="369" t="inlineStr">
        <is>
          <t>A-</t>
        </is>
      </c>
      <c r="P35" s="368" t="n">
        <v>9.4</v>
      </c>
      <c r="Q35" s="369" t="inlineStr">
        <is>
          <t>A-</t>
        </is>
      </c>
      <c r="R35" s="368" t="n">
        <v>10</v>
      </c>
      <c r="S35" s="369" t="inlineStr">
        <is>
          <t>A+</t>
        </is>
      </c>
      <c r="T35" s="368" t="n">
        <v>9.359999999999999</v>
      </c>
      <c r="U35" s="371" t="inlineStr">
        <is>
          <t>A-</t>
        </is>
      </c>
      <c r="V35" s="371" t="inlineStr">
        <is>
          <t>S</t>
        </is>
      </c>
      <c r="W35" s="371" t="inlineStr">
        <is>
          <t>PROMOVIDO</t>
        </is>
      </c>
    </row>
    <row r="36" ht="11.2" customHeight="1" s="225">
      <c r="A36" s="365" t="n">
        <v>33</v>
      </c>
      <c r="B36" s="366" t="inlineStr">
        <is>
          <t>0151677000</t>
        </is>
      </c>
      <c r="C36" s="366" t="inlineStr">
        <is>
          <t>ZHUNIC QUITO MATIAS JOSUE</t>
        </is>
      </c>
      <c r="D36" s="368" t="n">
        <v>8.109999999999999</v>
      </c>
      <c r="E36" s="369" t="inlineStr">
        <is>
          <t>B+</t>
        </is>
      </c>
      <c r="F36" s="368" t="n">
        <v>8.56</v>
      </c>
      <c r="G36" s="369" t="inlineStr">
        <is>
          <t>A-</t>
        </is>
      </c>
      <c r="H36" s="368" t="n">
        <v>9.24</v>
      </c>
      <c r="I36" s="369" t="inlineStr">
        <is>
          <t>A-</t>
        </is>
      </c>
      <c r="J36" s="368" t="n">
        <v>8.27</v>
      </c>
      <c r="K36" s="369" t="inlineStr">
        <is>
          <t>B+</t>
        </is>
      </c>
      <c r="L36" s="368" t="n">
        <v>8.42</v>
      </c>
      <c r="M36" s="369" t="inlineStr">
        <is>
          <t>B+</t>
        </is>
      </c>
      <c r="N36" s="368" t="n">
        <v>8.82</v>
      </c>
      <c r="O36" s="369" t="inlineStr">
        <is>
          <t>A-</t>
        </is>
      </c>
      <c r="P36" s="368" t="n">
        <v>9.57</v>
      </c>
      <c r="Q36" s="369" t="inlineStr">
        <is>
          <t>A+</t>
        </is>
      </c>
      <c r="R36" s="368" t="n">
        <v>8</v>
      </c>
      <c r="S36" s="369" t="inlineStr">
        <is>
          <t>B-</t>
        </is>
      </c>
      <c r="T36" s="368" t="n">
        <v>8.710000000000001</v>
      </c>
      <c r="U36" s="371" t="inlineStr">
        <is>
          <t>A-</t>
        </is>
      </c>
      <c r="V36" s="371" t="inlineStr">
        <is>
          <t>S</t>
        </is>
      </c>
      <c r="W36" s="371" t="inlineStr">
        <is>
          <t>PROMOVIDO</t>
        </is>
      </c>
    </row>
    <row r="37" ht="11.2" customHeight="1" s="225">
      <c r="A37" s="365" t="n">
        <v>34</v>
      </c>
      <c r="B37" s="366" t="inlineStr">
        <is>
          <t>0151678042</t>
        </is>
      </c>
      <c r="C37" s="366" t="inlineStr">
        <is>
          <t>ZUMBA CAGUANA EMERSON JOAO</t>
        </is>
      </c>
      <c r="D37" s="368" t="n">
        <v>9.26</v>
      </c>
      <c r="E37" s="369" t="inlineStr">
        <is>
          <t>A-</t>
        </is>
      </c>
      <c r="F37" s="368" t="n">
        <v>9.23</v>
      </c>
      <c r="G37" s="369" t="inlineStr">
        <is>
          <t>A-</t>
        </is>
      </c>
      <c r="H37" s="368" t="n">
        <v>9.16</v>
      </c>
      <c r="I37" s="369" t="inlineStr">
        <is>
          <t>A-</t>
        </is>
      </c>
      <c r="J37" s="368" t="n">
        <v>9.02</v>
      </c>
      <c r="K37" s="369" t="inlineStr">
        <is>
          <t>A-</t>
        </is>
      </c>
      <c r="L37" s="368" t="n">
        <v>9.27</v>
      </c>
      <c r="M37" s="369" t="inlineStr">
        <is>
          <t>A-</t>
        </is>
      </c>
      <c r="N37" s="368" t="n">
        <v>9.1</v>
      </c>
      <c r="O37" s="369" t="inlineStr">
        <is>
          <t>A-</t>
        </is>
      </c>
      <c r="P37" s="368" t="n">
        <v>9.720000000000001</v>
      </c>
      <c r="Q37" s="369" t="inlineStr">
        <is>
          <t>A+</t>
        </is>
      </c>
      <c r="R37" s="368" t="n">
        <v>9</v>
      </c>
      <c r="S37" s="369" t="inlineStr">
        <is>
          <t>A-</t>
        </is>
      </c>
      <c r="T37" s="368" t="n">
        <v>9.25</v>
      </c>
      <c r="U37" s="371" t="inlineStr">
        <is>
          <t>A-</t>
        </is>
      </c>
      <c r="V37" s="371" t="inlineStr">
        <is>
          <t>S</t>
        </is>
      </c>
      <c r="W37" s="371" t="inlineStr">
        <is>
          <t>PROMOVIDO</t>
        </is>
      </c>
    </row>
  </sheetData>
  <mergeCells count="16">
    <mergeCell ref="L2:M2"/>
    <mergeCell ref="F2:G2"/>
    <mergeCell ref="H2:I2"/>
    <mergeCell ref="D2:E2"/>
    <mergeCell ref="A1:C1"/>
    <mergeCell ref="U2:U3"/>
    <mergeCell ref="C2:C3"/>
    <mergeCell ref="J2:K2"/>
    <mergeCell ref="N2:O2"/>
    <mergeCell ref="P2:Q2"/>
    <mergeCell ref="D1:W1"/>
    <mergeCell ref="B2:B3"/>
    <mergeCell ref="A2:A3"/>
    <mergeCell ref="V2:V3"/>
    <mergeCell ref="T2:T3"/>
    <mergeCell ref="W2:W3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42" customWidth="1" style="225" min="3" max="3"/>
    <col width="6" customWidth="1" style="225" min="4" max="4"/>
    <col width="6" customWidth="1" style="225" min="5" max="5"/>
    <col width="6" customWidth="1" style="225" min="6" max="6"/>
    <col width="6" customWidth="1" style="225" min="7" max="7"/>
    <col width="6" customWidth="1" style="225" min="8" max="8"/>
    <col width="6" customWidth="1" style="225" min="9" max="9"/>
    <col width="6" customWidth="1" style="225" min="10" max="10"/>
    <col width="6" customWidth="1" style="225" min="11" max="11"/>
    <col width="6" customWidth="1" style="225" min="12" max="12"/>
    <col width="6" customWidth="1" style="225" min="13" max="13"/>
    <col width="6" customWidth="1" style="225" min="14" max="14"/>
    <col width="13" customWidth="1" style="225" min="15" max="15"/>
  </cols>
  <sheetData>
    <row r="1" ht="40" customHeight="1" s="225">
      <c r="A1" s="372" t="inlineStr">
        <is>
          <t>DATOS INFORMATIVOS
ESTUDIANTES</t>
        </is>
      </c>
      <c r="D1" s="373" t="inlineStr">
        <is>
          <t>TUTOR</t>
        </is>
      </c>
      <c r="E1" s="374" t="inlineStr">
        <is>
          <t>LIC. PATRICIA PESANTEZ</t>
        </is>
      </c>
      <c r="G1" s="375" t="inlineStr">
        <is>
          <t>AÑO DE BÁSICA</t>
        </is>
      </c>
      <c r="H1" s="376" t="inlineStr">
        <is>
          <t>QUINTO A</t>
        </is>
      </c>
      <c r="J1" s="377" t="inlineStr">
        <is>
          <t>JORNADA</t>
        </is>
      </c>
      <c r="K1" s="376" t="inlineStr">
        <is>
          <t>VESPERTINA</t>
        </is>
      </c>
    </row>
    <row r="2" ht="130" customHeight="1" s="225">
      <c r="A2" s="378" t="inlineStr">
        <is>
          <t>N°</t>
        </is>
      </c>
      <c r="B2" s="378" t="inlineStr">
        <is>
          <t>CÉDULA</t>
        </is>
      </c>
      <c r="C2" s="378" t="inlineStr">
        <is>
          <t>APELLIDOS/NOMBRES</t>
        </is>
      </c>
      <c r="D2" s="379" t="inlineStr">
        <is>
          <t>LENGUA Y
LITERATURA</t>
        </is>
      </c>
      <c r="E2" s="380" t="inlineStr">
        <is>
          <t>MATEMÁTICA</t>
        </is>
      </c>
      <c r="F2" s="381" t="inlineStr">
        <is>
          <t>CIENCIAS
NATURALES</t>
        </is>
      </c>
      <c r="G2" s="382" t="inlineStr">
        <is>
          <t>ESTUDIOS
SOCIALES</t>
        </is>
      </c>
      <c r="H2" s="383" t="inlineStr">
        <is>
          <t>INGLES</t>
        </is>
      </c>
      <c r="I2" s="384" t="inlineStr">
        <is>
          <t>EDUCACIÓN
CULTURAL Y
ARTÍSTICA</t>
        </is>
      </c>
      <c r="J2" s="385" t="inlineStr">
        <is>
          <t>EDUCACIÓN
FÍSICA</t>
        </is>
      </c>
      <c r="K2" s="386" t="inlineStr">
        <is>
          <t>ANIMACIÓN A LA
LECTURA</t>
        </is>
      </c>
      <c r="L2" s="387" t="inlineStr">
        <is>
          <t>CÍVICA Y
ACOMPAÑAMIENTO
INTEGRAL</t>
        </is>
      </c>
      <c r="M2" s="388" t="inlineStr">
        <is>
          <t>PROMEDIO</t>
        </is>
      </c>
      <c r="N2" s="389" t="inlineStr">
        <is>
          <t>COMPORTAMIENTO</t>
        </is>
      </c>
      <c r="O2" s="380" t="inlineStr">
        <is>
          <t>PROMOCIÓN</t>
        </is>
      </c>
    </row>
    <row r="3">
      <c r="A3" s="390" t="n">
        <v>1</v>
      </c>
      <c r="B3" s="390" t="inlineStr">
        <is>
          <t>0151643947</t>
        </is>
      </c>
      <c r="C3" s="391" t="inlineStr">
        <is>
          <t>AMENDAÑO CARREÑO ARIANA SOFIA</t>
        </is>
      </c>
      <c r="D3" s="392" t="n">
        <v>9.210000000000001</v>
      </c>
      <c r="E3" s="392" t="n">
        <v>8.960000000000001</v>
      </c>
      <c r="F3" s="392" t="n">
        <v>9.24</v>
      </c>
      <c r="G3" s="392" t="n">
        <v>9.220000000000001</v>
      </c>
      <c r="H3" s="392" t="n">
        <v>8.32</v>
      </c>
      <c r="I3" s="392" t="n">
        <v>9.56</v>
      </c>
      <c r="J3" s="393" t="n">
        <v>8.970000000000001</v>
      </c>
      <c r="K3" s="392" t="n">
        <v>9.25</v>
      </c>
      <c r="L3" s="392" t="inlineStr">
        <is>
          <t>A+</t>
        </is>
      </c>
      <c r="M3" s="392" t="n">
        <v>9.06</v>
      </c>
      <c r="N3" s="392" t="inlineStr">
        <is>
          <t>S</t>
        </is>
      </c>
      <c r="O3" s="392" t="inlineStr">
        <is>
          <t>PROMOVIDO</t>
        </is>
      </c>
    </row>
    <row r="4">
      <c r="A4" s="390" t="n">
        <v>2</v>
      </c>
      <c r="B4" s="390" t="inlineStr">
        <is>
          <t>0151550145</t>
        </is>
      </c>
      <c r="C4" s="391" t="inlineStr">
        <is>
          <t>ASMAL TORRES SAMANTHA ANAHI</t>
        </is>
      </c>
      <c r="D4" s="392" t="n">
        <v>9.449999999999999</v>
      </c>
      <c r="E4" s="392" t="n">
        <v>9.23</v>
      </c>
      <c r="F4" s="392" t="n">
        <v>9.51</v>
      </c>
      <c r="G4" s="392" t="n">
        <v>9.449999999999999</v>
      </c>
      <c r="H4" s="392" t="n">
        <v>8.710000000000001</v>
      </c>
      <c r="I4" s="392" t="n">
        <v>9.42</v>
      </c>
      <c r="J4" s="393" t="n">
        <v>9.5</v>
      </c>
      <c r="K4" s="392" t="n">
        <v>9.25</v>
      </c>
      <c r="L4" s="392" t="inlineStr">
        <is>
          <t>A+</t>
        </is>
      </c>
      <c r="M4" s="393" t="n">
        <v>9.32</v>
      </c>
      <c r="N4" s="392" t="inlineStr">
        <is>
          <t>S</t>
        </is>
      </c>
      <c r="O4" s="392" t="inlineStr">
        <is>
          <t>PROMOVIDO</t>
        </is>
      </c>
    </row>
    <row r="5">
      <c r="A5" s="390" t="n">
        <v>3</v>
      </c>
      <c r="B5" s="390" t="inlineStr">
        <is>
          <t>0151574985</t>
        </is>
      </c>
      <c r="C5" s="391" t="inlineStr">
        <is>
          <t>BACUILIMA SANMARTIN ERIKA ALEJANDRA</t>
        </is>
      </c>
      <c r="D5" s="392" t="n">
        <v>9.85</v>
      </c>
      <c r="E5" s="392" t="n">
        <v>9.81</v>
      </c>
      <c r="F5" s="392" t="n">
        <v>9.710000000000001</v>
      </c>
      <c r="G5" s="392" t="n">
        <v>9.619999999999999</v>
      </c>
      <c r="H5" s="393" t="n">
        <v>8.99</v>
      </c>
      <c r="I5" s="392" t="n">
        <v>9.41</v>
      </c>
      <c r="J5" s="393" t="n">
        <v>9.949999999999999</v>
      </c>
      <c r="K5" s="392" t="n">
        <v>10</v>
      </c>
      <c r="L5" s="392" t="inlineStr">
        <is>
          <t>A+</t>
        </is>
      </c>
      <c r="M5" s="392" t="n">
        <v>9.619999999999999</v>
      </c>
      <c r="N5" s="392" t="inlineStr">
        <is>
          <t>S</t>
        </is>
      </c>
      <c r="O5" s="392" t="inlineStr">
        <is>
          <t>PROMOVIDO</t>
        </is>
      </c>
    </row>
    <row r="6">
      <c r="A6" s="390" t="n">
        <v>4</v>
      </c>
      <c r="B6" s="390" t="inlineStr">
        <is>
          <t>0151599701</t>
        </is>
      </c>
      <c r="C6" s="391" t="inlineStr">
        <is>
          <t>BERMEO MOROCHO MARIA JOSE</t>
        </is>
      </c>
      <c r="D6" s="392" t="n">
        <v>8.75</v>
      </c>
      <c r="E6" s="392" t="n">
        <v>8.029999999999999</v>
      </c>
      <c r="F6" s="392" t="n">
        <v>8.710000000000001</v>
      </c>
      <c r="G6" s="392" t="n">
        <v>8.99</v>
      </c>
      <c r="H6" s="393" t="n">
        <v>7.85</v>
      </c>
      <c r="I6" s="392" t="n">
        <v>8.92</v>
      </c>
      <c r="J6" s="393" t="n">
        <v>8.41</v>
      </c>
      <c r="K6" s="392" t="n">
        <v>8.25</v>
      </c>
      <c r="L6" s="392" t="inlineStr">
        <is>
          <t>A+</t>
        </is>
      </c>
      <c r="M6" s="393" t="n">
        <v>8.52</v>
      </c>
      <c r="N6" s="392" t="inlineStr">
        <is>
          <t>S</t>
        </is>
      </c>
      <c r="O6" s="392" t="inlineStr">
        <is>
          <t>PROMOVIDO</t>
        </is>
      </c>
    </row>
    <row r="7">
      <c r="A7" s="390" t="n">
        <v>5</v>
      </c>
      <c r="B7" s="390" t="inlineStr">
        <is>
          <t>0151650157</t>
        </is>
      </c>
      <c r="C7" s="391" t="inlineStr">
        <is>
          <t>BRITO ASTUDILLO HAYDEE VALENTINA</t>
        </is>
      </c>
      <c r="D7" s="392" t="n">
        <v>9.31</v>
      </c>
      <c r="E7" s="392" t="n">
        <v>9.039999999999999</v>
      </c>
      <c r="F7" s="392" t="n">
        <v>9.119999999999999</v>
      </c>
      <c r="G7" s="392" t="n">
        <v>9.130000000000001</v>
      </c>
      <c r="H7" s="393" t="n">
        <v>9.09</v>
      </c>
      <c r="I7" s="392" t="n">
        <v>9.529999999999999</v>
      </c>
      <c r="J7" s="393" t="n">
        <v>9.119999999999999</v>
      </c>
      <c r="K7" s="392" t="n">
        <v>9</v>
      </c>
      <c r="L7" s="392" t="inlineStr">
        <is>
          <t>A+</t>
        </is>
      </c>
      <c r="M7" s="393" t="n">
        <v>9.19</v>
      </c>
      <c r="N7" s="392" t="inlineStr">
        <is>
          <t>S</t>
        </is>
      </c>
      <c r="O7" s="392" t="inlineStr">
        <is>
          <t>PROMOVIDO</t>
        </is>
      </c>
    </row>
    <row r="8">
      <c r="A8" s="390" t="n">
        <v>6</v>
      </c>
      <c r="B8" s="390" t="inlineStr">
        <is>
          <t>0151631520</t>
        </is>
      </c>
      <c r="C8" s="391" t="inlineStr">
        <is>
          <t>CABRERA ARIAS ANDERSON PATRICIO</t>
        </is>
      </c>
      <c r="D8" s="392" t="n">
        <v>8.68</v>
      </c>
      <c r="E8" s="392" t="n">
        <v>9.029999999999999</v>
      </c>
      <c r="F8" s="392" t="n">
        <v>9.18</v>
      </c>
      <c r="G8" s="392" t="n">
        <v>8.65</v>
      </c>
      <c r="H8" s="393" t="n">
        <v>8.9</v>
      </c>
      <c r="I8" s="392" t="n">
        <v>9.210000000000001</v>
      </c>
      <c r="J8" s="393" t="n">
        <v>8.57</v>
      </c>
      <c r="K8" s="392" t="n">
        <v>9.25</v>
      </c>
      <c r="L8" s="392" t="inlineStr">
        <is>
          <t>A+</t>
        </is>
      </c>
      <c r="M8" s="393" t="n">
        <v>8.890000000000001</v>
      </c>
      <c r="N8" s="392" t="inlineStr">
        <is>
          <t>S</t>
        </is>
      </c>
      <c r="O8" s="392" t="inlineStr">
        <is>
          <t>PROMOVIDO</t>
        </is>
      </c>
    </row>
    <row r="9">
      <c r="A9" s="390" t="n">
        <v>7</v>
      </c>
      <c r="B9" s="390" t="inlineStr">
        <is>
          <t>0151524089</t>
        </is>
      </c>
      <c r="C9" s="391" t="inlineStr">
        <is>
          <t>CAMPOVERDE SALAMEA SOFIA VALENTINA</t>
        </is>
      </c>
      <c r="D9" s="392" t="n">
        <v>9.27</v>
      </c>
      <c r="E9" s="392" t="n">
        <v>8.75</v>
      </c>
      <c r="F9" s="392" t="n">
        <v>9.390000000000001</v>
      </c>
      <c r="G9" s="392" t="n">
        <v>9.42</v>
      </c>
      <c r="H9" s="393" t="n">
        <v>9.07</v>
      </c>
      <c r="I9" s="392" t="n">
        <v>9.06</v>
      </c>
      <c r="J9" s="393" t="n">
        <v>9.34</v>
      </c>
      <c r="K9" s="392" t="n">
        <v>9</v>
      </c>
      <c r="L9" s="392" t="inlineStr">
        <is>
          <t>A+</t>
        </is>
      </c>
      <c r="M9" s="393" t="n">
        <v>9.19</v>
      </c>
      <c r="N9" s="392" t="inlineStr">
        <is>
          <t>S</t>
        </is>
      </c>
      <c r="O9" s="392" t="inlineStr">
        <is>
          <t>PROMOVIDO</t>
        </is>
      </c>
    </row>
    <row r="10">
      <c r="A10" s="390" t="n">
        <v>8</v>
      </c>
      <c r="B10" s="390" t="inlineStr">
        <is>
          <t>0151596055</t>
        </is>
      </c>
      <c r="C10" s="391" t="inlineStr">
        <is>
          <t>CARDENAS NIEMES MERCEDES ESTEFANIA</t>
        </is>
      </c>
      <c r="D10" s="392" t="n">
        <v>9.359999999999999</v>
      </c>
      <c r="E10" s="392" t="n">
        <v>8.94</v>
      </c>
      <c r="F10" s="392" t="n">
        <v>9.02</v>
      </c>
      <c r="G10" s="392" t="n">
        <v>8.789999999999999</v>
      </c>
      <c r="H10" s="392" t="n">
        <v>9.18</v>
      </c>
      <c r="I10" s="392" t="n">
        <v>9.300000000000001</v>
      </c>
      <c r="J10" s="393" t="n">
        <v>9.550000000000001</v>
      </c>
      <c r="K10" s="392" t="n">
        <v>9</v>
      </c>
      <c r="L10" s="392" t="inlineStr">
        <is>
          <t>A+</t>
        </is>
      </c>
      <c r="M10" s="393" t="n">
        <v>9.16</v>
      </c>
      <c r="N10" s="392" t="inlineStr">
        <is>
          <t>S</t>
        </is>
      </c>
      <c r="O10" s="392" t="inlineStr">
        <is>
          <t>PROMOVIDO</t>
        </is>
      </c>
    </row>
    <row r="11">
      <c r="A11" s="390" t="n">
        <v>9</v>
      </c>
      <c r="B11" s="390" t="inlineStr">
        <is>
          <t>0151641313</t>
        </is>
      </c>
      <c r="C11" s="391" t="inlineStr">
        <is>
          <t>CEDEÑO VALENTIN DECNY DANIEL</t>
        </is>
      </c>
      <c r="D11" s="392" t="n">
        <v>8.6</v>
      </c>
      <c r="E11" s="392" t="n">
        <v>8.5</v>
      </c>
      <c r="F11" s="392" t="n">
        <v>8.960000000000001</v>
      </c>
      <c r="G11" s="392" t="n">
        <v>9.130000000000001</v>
      </c>
      <c r="H11" s="393" t="n">
        <v>8.34</v>
      </c>
      <c r="I11" s="392" t="n">
        <v>9.300000000000001</v>
      </c>
      <c r="J11" s="393" t="n">
        <v>9.24</v>
      </c>
      <c r="K11" s="392" t="n">
        <v>8.25</v>
      </c>
      <c r="L11" s="392" t="inlineStr">
        <is>
          <t>A+</t>
        </is>
      </c>
      <c r="M11" s="393" t="n">
        <v>8.869999999999999</v>
      </c>
      <c r="N11" s="392" t="inlineStr">
        <is>
          <t>S</t>
        </is>
      </c>
      <c r="O11" s="392" t="inlineStr">
        <is>
          <t>PROMOVIDO</t>
        </is>
      </c>
    </row>
    <row r="12">
      <c r="A12" s="390" t="n">
        <v>10</v>
      </c>
      <c r="B12" s="390" t="inlineStr">
        <is>
          <t>0151520103</t>
        </is>
      </c>
      <c r="C12" s="390" t="inlineStr">
        <is>
          <t>CHILLIGALLI MALLA SOFIA ALEJANDRA</t>
        </is>
      </c>
      <c r="D12" s="392" t="n">
        <v>9.5</v>
      </c>
      <c r="E12" s="392" t="n">
        <v>9.34</v>
      </c>
      <c r="F12" s="392" t="n">
        <v>9.449999999999999</v>
      </c>
      <c r="G12" s="392" t="n">
        <v>9.33</v>
      </c>
      <c r="H12" s="392" t="n">
        <v>9.08</v>
      </c>
      <c r="I12" s="392" t="n">
        <v>9.550000000000001</v>
      </c>
      <c r="J12" s="392" t="n">
        <v>9.66</v>
      </c>
      <c r="K12" s="392" t="n">
        <v>8.75</v>
      </c>
      <c r="L12" s="392" t="inlineStr">
        <is>
          <t>A+</t>
        </is>
      </c>
      <c r="M12" s="392" t="n">
        <v>9.42</v>
      </c>
      <c r="N12" s="392" t="inlineStr">
        <is>
          <t>S</t>
        </is>
      </c>
      <c r="O12" s="392" t="inlineStr">
        <is>
          <t>PROMOVIDO</t>
        </is>
      </c>
    </row>
    <row r="13">
      <c r="A13" s="390" t="n">
        <v>11</v>
      </c>
      <c r="B13" s="390" t="inlineStr">
        <is>
          <t>0350436689</t>
        </is>
      </c>
      <c r="C13" s="391" t="inlineStr">
        <is>
          <t>CORONEL LOZADA MAYRA VALENTINA</t>
        </is>
      </c>
      <c r="D13" s="392" t="n">
        <v>8.77</v>
      </c>
      <c r="E13" s="392" t="n">
        <v>8.82</v>
      </c>
      <c r="F13" s="392" t="n">
        <v>8.74</v>
      </c>
      <c r="G13" s="392" t="n">
        <v>8.529999999999999</v>
      </c>
      <c r="H13" s="393" t="n">
        <v>8</v>
      </c>
      <c r="I13" s="392" t="n">
        <v>9.51</v>
      </c>
      <c r="J13" s="393" t="n">
        <v>8.19</v>
      </c>
      <c r="K13" s="392" t="n">
        <v>9.25</v>
      </c>
      <c r="L13" s="392" t="inlineStr">
        <is>
          <t>A+</t>
        </is>
      </c>
      <c r="M13" s="392" t="n">
        <v>8.65</v>
      </c>
      <c r="N13" s="392" t="inlineStr">
        <is>
          <t>S</t>
        </is>
      </c>
      <c r="O13" s="392" t="inlineStr">
        <is>
          <t>PROMOVIDO</t>
        </is>
      </c>
    </row>
    <row r="14">
      <c r="A14" s="390" t="n">
        <v>12</v>
      </c>
      <c r="B14" s="390" t="inlineStr">
        <is>
          <t>0151600103</t>
        </is>
      </c>
      <c r="C14" s="391" t="inlineStr">
        <is>
          <t>GUANUQUIZA CARCHIPULLA GUADALUPE DEL ROCIO</t>
        </is>
      </c>
      <c r="D14" s="392" t="n">
        <v>9.02</v>
      </c>
      <c r="E14" s="392" t="n">
        <v>8.57</v>
      </c>
      <c r="F14" s="392" t="n">
        <v>9.26</v>
      </c>
      <c r="G14" s="392" t="n">
        <v>9.130000000000001</v>
      </c>
      <c r="H14" s="392" t="n">
        <v>7.99</v>
      </c>
      <c r="I14" s="392" t="n">
        <v>9.1</v>
      </c>
      <c r="J14" s="393" t="n">
        <v>9.029999999999999</v>
      </c>
      <c r="K14" s="392" t="n">
        <v>8.25</v>
      </c>
      <c r="L14" s="392" t="inlineStr">
        <is>
          <t>A+</t>
        </is>
      </c>
      <c r="M14" s="392" t="n">
        <v>8.869999999999999</v>
      </c>
      <c r="N14" s="392" t="inlineStr">
        <is>
          <t>S</t>
        </is>
      </c>
      <c r="O14" s="392" t="inlineStr">
        <is>
          <t>PROMOVIDO</t>
        </is>
      </c>
    </row>
    <row r="15">
      <c r="A15" s="390" t="n">
        <v>13</v>
      </c>
      <c r="B15" s="390" t="inlineStr">
        <is>
          <t>0151514312</t>
        </is>
      </c>
      <c r="C15" s="391" t="inlineStr">
        <is>
          <t>GUIRACOCHA QUITO CARLOS JHOEL</t>
        </is>
      </c>
      <c r="D15" s="392" t="n">
        <v>8.93</v>
      </c>
      <c r="E15" s="392" t="n">
        <v>9.210000000000001</v>
      </c>
      <c r="F15" s="392" t="n">
        <v>9.140000000000001</v>
      </c>
      <c r="G15" s="392" t="n">
        <v>8.84</v>
      </c>
      <c r="H15" s="392" t="n">
        <v>8.800000000000001</v>
      </c>
      <c r="I15" s="392" t="n">
        <v>9.1</v>
      </c>
      <c r="J15" s="393" t="n">
        <v>8.98</v>
      </c>
      <c r="K15" s="392" t="n">
        <v>8.75</v>
      </c>
      <c r="L15" s="392" t="inlineStr">
        <is>
          <t>A+</t>
        </is>
      </c>
      <c r="M15" s="393" t="n">
        <v>9</v>
      </c>
      <c r="N15" s="392" t="inlineStr">
        <is>
          <t>S</t>
        </is>
      </c>
      <c r="O15" s="392" t="inlineStr">
        <is>
          <t>PROMOVIDO</t>
        </is>
      </c>
    </row>
    <row r="16">
      <c r="A16" s="390" t="n">
        <v>14</v>
      </c>
      <c r="B16" s="390" t="inlineStr">
        <is>
          <t>0650605183</t>
        </is>
      </c>
      <c r="C16" s="391" t="inlineStr">
        <is>
          <t>LEMA SATIAN ANTHONY GABRIEL</t>
        </is>
      </c>
      <c r="D16" s="392" t="n">
        <v>9.33</v>
      </c>
      <c r="E16" s="392" t="n">
        <v>9.470000000000001</v>
      </c>
      <c r="F16" s="392" t="n">
        <v>9.27</v>
      </c>
      <c r="G16" s="392" t="n">
        <v>9.140000000000001</v>
      </c>
      <c r="H16" s="392" t="n">
        <v>9.5</v>
      </c>
      <c r="I16" s="392" t="n">
        <v>9.44</v>
      </c>
      <c r="J16" s="393" t="n">
        <v>9.59</v>
      </c>
      <c r="K16" s="392" t="n">
        <v>9.5</v>
      </c>
      <c r="L16" s="392" t="inlineStr">
        <is>
          <t>A+</t>
        </is>
      </c>
      <c r="M16" s="393" t="n">
        <v>9.390000000000001</v>
      </c>
      <c r="N16" s="392" t="inlineStr">
        <is>
          <t>S</t>
        </is>
      </c>
      <c r="O16" s="392" t="inlineStr">
        <is>
          <t>PROMOVIDO</t>
        </is>
      </c>
    </row>
    <row r="17">
      <c r="A17" s="390" t="n">
        <v>15</v>
      </c>
      <c r="B17" s="390" t="inlineStr">
        <is>
          <t>0151524873</t>
        </is>
      </c>
      <c r="C17" s="391" t="inlineStr">
        <is>
          <t>LLAPA BUESTAN EMILY YULEISY</t>
        </is>
      </c>
      <c r="D17" s="392" t="n">
        <v>9.67</v>
      </c>
      <c r="E17" s="392" t="n">
        <v>9.51</v>
      </c>
      <c r="F17" s="392" t="n">
        <v>9.67</v>
      </c>
      <c r="G17" s="392" t="n">
        <v>9.529999999999999</v>
      </c>
      <c r="H17" s="393" t="n">
        <v>8.890000000000001</v>
      </c>
      <c r="I17" s="392" t="n">
        <v>9.52</v>
      </c>
      <c r="J17" s="393" t="n">
        <v>9.51</v>
      </c>
      <c r="K17" s="392" t="n">
        <v>9.5</v>
      </c>
      <c r="L17" s="392" t="inlineStr">
        <is>
          <t>A+</t>
        </is>
      </c>
      <c r="M17" s="392" t="n">
        <v>9.470000000000001</v>
      </c>
      <c r="N17" s="392" t="inlineStr">
        <is>
          <t>S</t>
        </is>
      </c>
      <c r="O17" s="392" t="inlineStr">
        <is>
          <t>PROMOVIDO</t>
        </is>
      </c>
    </row>
    <row r="18">
      <c r="A18" s="390" t="n">
        <v>16</v>
      </c>
      <c r="B18" s="390" t="inlineStr">
        <is>
          <t>0151500105</t>
        </is>
      </c>
      <c r="C18" s="391" t="inlineStr">
        <is>
          <t>LONDA AGUDO ERICK JOSE</t>
        </is>
      </c>
      <c r="D18" s="392" t="n">
        <v>9.59</v>
      </c>
      <c r="E18" s="392" t="n">
        <v>9.48</v>
      </c>
      <c r="F18" s="392" t="n">
        <v>9.74</v>
      </c>
      <c r="G18" s="392" t="n">
        <v>9.52</v>
      </c>
      <c r="H18" s="393" t="n">
        <v>9.35</v>
      </c>
      <c r="I18" s="392" t="n">
        <v>9.52</v>
      </c>
      <c r="J18" s="393" t="n">
        <v>9.630000000000001</v>
      </c>
      <c r="K18" s="392" t="n">
        <v>9.75</v>
      </c>
      <c r="L18" s="392" t="inlineStr">
        <is>
          <t>A-</t>
        </is>
      </c>
      <c r="M18" s="393" t="n">
        <v>9.550000000000001</v>
      </c>
      <c r="N18" s="392" t="inlineStr">
        <is>
          <t>S</t>
        </is>
      </c>
      <c r="O18" s="392" t="inlineStr">
        <is>
          <t>PROMOVIDO</t>
        </is>
      </c>
    </row>
    <row r="19">
      <c r="A19" s="390" t="n">
        <v>17</v>
      </c>
      <c r="B19" s="390" t="inlineStr">
        <is>
          <t>0350391355</t>
        </is>
      </c>
      <c r="C19" s="391" t="inlineStr">
        <is>
          <t>LOPEZ CACERES NICOLE ELIZABETH</t>
        </is>
      </c>
      <c r="D19" s="392" t="n">
        <v>8.449999999999999</v>
      </c>
      <c r="E19" s="393" t="n">
        <v>8.359999999999999</v>
      </c>
      <c r="F19" s="392" t="n">
        <v>8.74</v>
      </c>
      <c r="G19" s="392" t="n">
        <v>8.35</v>
      </c>
      <c r="H19" s="393" t="n">
        <v>8.58</v>
      </c>
      <c r="I19" s="392" t="n">
        <v>9.09</v>
      </c>
      <c r="J19" s="393" t="n">
        <v>8.77</v>
      </c>
      <c r="K19" s="392" t="n">
        <v>8.5</v>
      </c>
      <c r="L19" s="392" t="inlineStr">
        <is>
          <t>A-</t>
        </is>
      </c>
      <c r="M19" s="393" t="n">
        <v>8.619999999999999</v>
      </c>
      <c r="N19" s="392" t="inlineStr">
        <is>
          <t>S</t>
        </is>
      </c>
      <c r="O19" s="392" t="inlineStr">
        <is>
          <t>PROMOVIDO</t>
        </is>
      </c>
    </row>
    <row r="20">
      <c r="A20" s="390" t="n">
        <v>18</v>
      </c>
      <c r="B20" s="390" t="inlineStr">
        <is>
          <t>0151524527</t>
        </is>
      </c>
      <c r="C20" s="391" t="inlineStr">
        <is>
          <t>MAYANCELA ROMERO BORIS ANDRES</t>
        </is>
      </c>
      <c r="D20" s="392" t="n">
        <v>8.74</v>
      </c>
      <c r="E20" s="392" t="n">
        <v>8.390000000000001</v>
      </c>
      <c r="F20" s="392" t="n">
        <v>8.99</v>
      </c>
      <c r="G20" s="392" t="n">
        <v>8.99</v>
      </c>
      <c r="H20" s="393" t="n">
        <v>7.86</v>
      </c>
      <c r="I20" s="392" t="n">
        <v>9.15</v>
      </c>
      <c r="J20" s="393" t="n">
        <v>8.859999999999999</v>
      </c>
      <c r="K20" s="392" t="n">
        <v>9.5</v>
      </c>
      <c r="L20" s="392" t="inlineStr">
        <is>
          <t>A-</t>
        </is>
      </c>
      <c r="M20" s="393" t="n">
        <v>8.710000000000001</v>
      </c>
      <c r="N20" s="392" t="inlineStr">
        <is>
          <t>F</t>
        </is>
      </c>
      <c r="O20" s="392" t="inlineStr">
        <is>
          <t>PROMOVIDO</t>
        </is>
      </c>
    </row>
    <row r="21">
      <c r="A21" s="390" t="n">
        <v>19</v>
      </c>
      <c r="B21" s="390" t="inlineStr">
        <is>
          <t>0151572054</t>
        </is>
      </c>
      <c r="C21" s="391" t="inlineStr">
        <is>
          <t>MAZA FERNANDEZ MAYCOL ALEJANDRO</t>
        </is>
      </c>
      <c r="D21" s="392" t="n">
        <v>8.26</v>
      </c>
      <c r="E21" s="392" t="n">
        <v>8.23</v>
      </c>
      <c r="F21" s="392" t="n">
        <v>8.75</v>
      </c>
      <c r="G21" s="392" t="n">
        <v>8.619999999999999</v>
      </c>
      <c r="H21" s="393" t="n">
        <v>7.8</v>
      </c>
      <c r="I21" s="392" t="n">
        <v>9.48</v>
      </c>
      <c r="J21" s="393" t="n">
        <v>8.720000000000001</v>
      </c>
      <c r="K21" s="392" t="n">
        <v>8.5</v>
      </c>
      <c r="L21" s="392" t="inlineStr">
        <is>
          <t>A-</t>
        </is>
      </c>
      <c r="M21" s="393" t="n">
        <v>8.550000000000001</v>
      </c>
      <c r="N21" s="392" t="inlineStr">
        <is>
          <t>S</t>
        </is>
      </c>
      <c r="O21" s="392" t="inlineStr">
        <is>
          <t>PROMOVIDO</t>
        </is>
      </c>
    </row>
    <row r="22">
      <c r="A22" s="390" t="n">
        <v>20</v>
      </c>
      <c r="B22" s="390" t="inlineStr">
        <is>
          <t>0151521291</t>
        </is>
      </c>
      <c r="C22" s="391" t="inlineStr">
        <is>
          <t>MEJIA OTAVALO MAITE VANESA</t>
        </is>
      </c>
      <c r="D22" s="392" t="n">
        <v>9.029999999999999</v>
      </c>
      <c r="E22" s="392" t="n">
        <v>9.02</v>
      </c>
      <c r="F22" s="392" t="n">
        <v>9.220000000000001</v>
      </c>
      <c r="G22" s="392" t="n">
        <v>9.06</v>
      </c>
      <c r="H22" s="393" t="n">
        <v>9</v>
      </c>
      <c r="I22" s="392" t="n">
        <v>9.039999999999999</v>
      </c>
      <c r="J22" s="393" t="n">
        <v>9.220000000000001</v>
      </c>
      <c r="K22" s="392" t="n">
        <v>9.25</v>
      </c>
      <c r="L22" s="392" t="inlineStr">
        <is>
          <t>A-</t>
        </is>
      </c>
      <c r="M22" s="393" t="n">
        <v>9.09</v>
      </c>
      <c r="N22" s="392" t="inlineStr">
        <is>
          <t>S</t>
        </is>
      </c>
      <c r="O22" s="392" t="inlineStr">
        <is>
          <t>PROMOVIDO</t>
        </is>
      </c>
    </row>
    <row r="23">
      <c r="A23" s="390" t="n">
        <v>21</v>
      </c>
      <c r="B23" s="390" t="inlineStr">
        <is>
          <t>0151514148</t>
        </is>
      </c>
      <c r="C23" s="391" t="inlineStr">
        <is>
          <t>MOROCHO CABRERA MATEO ALEJANDRO</t>
        </is>
      </c>
      <c r="D23" s="392" t="n">
        <v>9.06</v>
      </c>
      <c r="E23" s="392" t="n">
        <v>8.460000000000001</v>
      </c>
      <c r="F23" s="392" t="n">
        <v>9.01</v>
      </c>
      <c r="G23" s="392" t="n">
        <v>8.640000000000001</v>
      </c>
      <c r="H23" s="393" t="n">
        <v>8.869999999999999</v>
      </c>
      <c r="I23" s="392" t="n">
        <v>8.949999999999999</v>
      </c>
      <c r="J23" s="393" t="n">
        <v>8.07</v>
      </c>
      <c r="K23" s="392" t="n">
        <v>8.25</v>
      </c>
      <c r="L23" s="392" t="inlineStr">
        <is>
          <t>A-</t>
        </is>
      </c>
      <c r="M23" s="393" t="n">
        <v>8.720000000000001</v>
      </c>
      <c r="N23" s="392" t="inlineStr">
        <is>
          <t>S</t>
        </is>
      </c>
      <c r="O23" s="392" t="inlineStr">
        <is>
          <t>PROMOVIDO</t>
        </is>
      </c>
    </row>
    <row r="24">
      <c r="A24" s="390" t="n">
        <v>22</v>
      </c>
      <c r="B24" s="390" t="inlineStr">
        <is>
          <t>0151523386</t>
        </is>
      </c>
      <c r="C24" s="391" t="inlineStr">
        <is>
          <t>NIOLA QUITO DILAN FABIAN</t>
        </is>
      </c>
      <c r="D24" s="392" t="n">
        <v>8.67</v>
      </c>
      <c r="E24" s="392" t="n">
        <v>8.48</v>
      </c>
      <c r="F24" s="392" t="n">
        <v>9.01</v>
      </c>
      <c r="G24" s="392" t="n">
        <v>8.94</v>
      </c>
      <c r="H24" s="393" t="n">
        <v>9.039999999999999</v>
      </c>
      <c r="I24" s="393" t="n">
        <v>9.640000000000001</v>
      </c>
      <c r="J24" s="393" t="n">
        <v>9.59</v>
      </c>
      <c r="K24" s="392" t="n">
        <v>8.25</v>
      </c>
      <c r="L24" s="392" t="inlineStr">
        <is>
          <t>A-</t>
        </is>
      </c>
      <c r="M24" s="393" t="n">
        <v>9.050000000000001</v>
      </c>
      <c r="N24" s="392" t="inlineStr">
        <is>
          <t>S</t>
        </is>
      </c>
      <c r="O24" s="392" t="inlineStr">
        <is>
          <t>PROMOVIDO</t>
        </is>
      </c>
    </row>
    <row r="25">
      <c r="A25" s="390" t="n">
        <v>23</v>
      </c>
      <c r="B25" s="390" t="inlineStr">
        <is>
          <t>0151459245</t>
        </is>
      </c>
      <c r="C25" s="391" t="inlineStr">
        <is>
          <t>PEÑALOZA ROMERO AMELIA VALENTINA</t>
        </is>
      </c>
      <c r="D25" s="392" t="n">
        <v>9.539999999999999</v>
      </c>
      <c r="E25" s="392" t="n">
        <v>9.17</v>
      </c>
      <c r="F25" s="392" t="n">
        <v>9.359999999999999</v>
      </c>
      <c r="G25" s="392" t="n">
        <v>9.609999999999999</v>
      </c>
      <c r="H25" s="393" t="n">
        <v>8.710000000000001</v>
      </c>
      <c r="I25" s="393" t="n">
        <v>9.69</v>
      </c>
      <c r="J25" s="393" t="n">
        <v>8.84</v>
      </c>
      <c r="K25" s="392" t="n">
        <v>9.25</v>
      </c>
      <c r="L25" s="392" t="inlineStr">
        <is>
          <t>A-</t>
        </is>
      </c>
      <c r="M25" s="392" t="n">
        <v>9.279999999999999</v>
      </c>
      <c r="N25" s="392" t="inlineStr">
        <is>
          <t>S</t>
        </is>
      </c>
      <c r="O25" s="392" t="inlineStr">
        <is>
          <t>PROMOVIDO</t>
        </is>
      </c>
    </row>
    <row r="26">
      <c r="A26" s="390" t="n">
        <v>24</v>
      </c>
      <c r="B26" s="390" t="inlineStr">
        <is>
          <t>1757263270</t>
        </is>
      </c>
      <c r="C26" s="391" t="inlineStr">
        <is>
          <t>PINTO CRUZ ELIAN ISMAEL</t>
        </is>
      </c>
      <c r="D26" s="393" t="n">
        <v>9.109999999999999</v>
      </c>
      <c r="E26" s="392" t="n">
        <v>8.73</v>
      </c>
      <c r="F26" s="392" t="n">
        <v>9.26</v>
      </c>
      <c r="G26" s="392" t="n">
        <v>8.74</v>
      </c>
      <c r="H26" s="393" t="n">
        <v>8.789999999999999</v>
      </c>
      <c r="I26" s="392" t="n">
        <v>9.16</v>
      </c>
      <c r="J26" s="393" t="n">
        <v>8.710000000000001</v>
      </c>
      <c r="K26" s="392" t="n">
        <v>9</v>
      </c>
      <c r="L26" s="392" t="inlineStr">
        <is>
          <t>A+</t>
        </is>
      </c>
      <c r="M26" s="393" t="n">
        <v>8.93</v>
      </c>
      <c r="N26" s="392" t="inlineStr">
        <is>
          <t>S</t>
        </is>
      </c>
      <c r="O26" s="392" t="inlineStr">
        <is>
          <t>PROMOVIDO</t>
        </is>
      </c>
    </row>
    <row r="27">
      <c r="A27" s="390" t="n">
        <v>25</v>
      </c>
      <c r="B27" s="390" t="inlineStr">
        <is>
          <t>0151498292</t>
        </is>
      </c>
      <c r="C27" s="391" t="inlineStr">
        <is>
          <t>PIZARRO SALAMEA JOSEPH NOE</t>
        </is>
      </c>
      <c r="D27" s="392" t="n">
        <v>8.210000000000001</v>
      </c>
      <c r="E27" s="392" t="n">
        <v>8.029999999999999</v>
      </c>
      <c r="F27" s="392" t="n">
        <v>8.26</v>
      </c>
      <c r="G27" s="392" t="n">
        <v>8.34</v>
      </c>
      <c r="H27" s="393" t="n">
        <v>7.99</v>
      </c>
      <c r="I27" s="392" t="n">
        <v>8.949999999999999</v>
      </c>
      <c r="J27" s="393" t="n">
        <v>8.84</v>
      </c>
      <c r="K27" s="392" t="n">
        <v>8</v>
      </c>
      <c r="L27" s="392" t="inlineStr">
        <is>
          <t>A-</t>
        </is>
      </c>
      <c r="M27" s="393" t="n">
        <v>8.369999999999999</v>
      </c>
      <c r="N27" s="392" t="inlineStr">
        <is>
          <t>S</t>
        </is>
      </c>
      <c r="O27" s="392" t="inlineStr">
        <is>
          <t>PROMOVIDO</t>
        </is>
      </c>
    </row>
    <row r="28">
      <c r="A28" s="390" t="n">
        <v>26</v>
      </c>
      <c r="B28" s="390" t="inlineStr">
        <is>
          <t>0151519725</t>
        </is>
      </c>
      <c r="C28" s="391" t="inlineStr">
        <is>
          <t>QUITO BARRETO JUAN JOSE</t>
        </is>
      </c>
      <c r="D28" s="393" t="n">
        <v>8.75</v>
      </c>
      <c r="E28" s="393" t="n">
        <v>8.33</v>
      </c>
      <c r="F28" s="393" t="n">
        <v>8.65</v>
      </c>
      <c r="G28" s="393" t="n">
        <v>8.550000000000001</v>
      </c>
      <c r="H28" s="393" t="n">
        <v>8.31</v>
      </c>
      <c r="I28" s="392" t="n">
        <v>9.33</v>
      </c>
      <c r="J28" s="393" t="n">
        <v>8.56</v>
      </c>
      <c r="K28" s="392" t="n">
        <v>9</v>
      </c>
      <c r="L28" s="392" t="inlineStr">
        <is>
          <t>A-</t>
        </is>
      </c>
      <c r="M28" s="393" t="n">
        <v>8.640000000000001</v>
      </c>
      <c r="N28" s="392" t="inlineStr">
        <is>
          <t>S</t>
        </is>
      </c>
      <c r="O28" s="392" t="inlineStr">
        <is>
          <t>PROMOVIDO</t>
        </is>
      </c>
    </row>
    <row r="29">
      <c r="A29" s="390" t="n">
        <v>27</v>
      </c>
      <c r="B29" s="390" t="inlineStr">
        <is>
          <t>0151555919</t>
        </is>
      </c>
      <c r="C29" s="391" t="inlineStr">
        <is>
          <t>QUIZHPI CHABLA LUIS MIGUEL</t>
        </is>
      </c>
      <c r="D29" s="393" t="n">
        <v>9.16</v>
      </c>
      <c r="E29" s="393" t="n">
        <v>9.279999999999999</v>
      </c>
      <c r="F29" s="393" t="n">
        <v>9.390000000000001</v>
      </c>
      <c r="G29" s="393" t="n">
        <v>9.119999999999999</v>
      </c>
      <c r="H29" s="393" t="n">
        <v>9.06</v>
      </c>
      <c r="I29" s="393" t="n">
        <v>9.69</v>
      </c>
      <c r="J29" s="393" t="n">
        <v>9.81</v>
      </c>
      <c r="K29" s="392" t="n">
        <v>9.5</v>
      </c>
      <c r="L29" s="392" t="inlineStr">
        <is>
          <t>A+</t>
        </is>
      </c>
      <c r="M29" s="393" t="n">
        <v>9.359999999999999</v>
      </c>
      <c r="N29" s="392" t="inlineStr">
        <is>
          <t>S</t>
        </is>
      </c>
      <c r="O29" s="392" t="inlineStr">
        <is>
          <t>PROMOVIDO</t>
        </is>
      </c>
    </row>
    <row r="30">
      <c r="A30" s="390" t="n">
        <v>28</v>
      </c>
      <c r="B30" s="390" t="inlineStr">
        <is>
          <t>0151620704</t>
        </is>
      </c>
      <c r="C30" s="391" t="inlineStr">
        <is>
          <t>SANCHEZ LALVAY MATEO NICOLAS</t>
        </is>
      </c>
      <c r="D30" s="393" t="n">
        <v>9.699999999999999</v>
      </c>
      <c r="E30" s="393" t="n">
        <v>9.74</v>
      </c>
      <c r="F30" s="393" t="n">
        <v>9.69</v>
      </c>
      <c r="G30" s="393" t="n">
        <v>9.69</v>
      </c>
      <c r="H30" s="393" t="n">
        <v>9.630000000000001</v>
      </c>
      <c r="I30" s="393" t="n">
        <v>9.65</v>
      </c>
      <c r="J30" s="392" t="n">
        <v>10</v>
      </c>
      <c r="K30" s="392" t="n">
        <v>9.75</v>
      </c>
      <c r="L30" s="392" t="inlineStr">
        <is>
          <t>A+</t>
        </is>
      </c>
      <c r="M30" s="393" t="n">
        <v>9.73</v>
      </c>
      <c r="N30" s="392" t="inlineStr">
        <is>
          <t>S</t>
        </is>
      </c>
      <c r="O30" s="392" t="inlineStr">
        <is>
          <t>PROMOVIDO</t>
        </is>
      </c>
    </row>
    <row r="31">
      <c r="A31" s="390" t="n">
        <v>29</v>
      </c>
      <c r="B31" s="390" t="inlineStr">
        <is>
          <t>0151565801</t>
        </is>
      </c>
      <c r="C31" s="391" t="inlineStr">
        <is>
          <t>SIAVICHAY CALLE SHEYLA NICOLE</t>
        </is>
      </c>
      <c r="D31" s="393" t="n">
        <v>8.82</v>
      </c>
      <c r="E31" s="393" t="n">
        <v>8.73</v>
      </c>
      <c r="F31" s="393" t="n">
        <v>9.199999999999999</v>
      </c>
      <c r="G31" s="393" t="n">
        <v>9</v>
      </c>
      <c r="H31" s="393" t="n">
        <v>8.24</v>
      </c>
      <c r="I31" s="393" t="n">
        <v>9.34</v>
      </c>
      <c r="J31" s="393" t="n">
        <v>8.48</v>
      </c>
      <c r="K31" s="392" t="n">
        <v>8.25</v>
      </c>
      <c r="L31" s="392" t="inlineStr">
        <is>
          <t>A+</t>
        </is>
      </c>
      <c r="M31" s="393" t="n">
        <v>8.83</v>
      </c>
      <c r="N31" s="392" t="inlineStr">
        <is>
          <t>S</t>
        </is>
      </c>
      <c r="O31" s="392" t="inlineStr">
        <is>
          <t>PROMOVIDO</t>
        </is>
      </c>
    </row>
    <row r="32">
      <c r="A32" s="390" t="n">
        <v>30</v>
      </c>
      <c r="B32" s="390" t="inlineStr">
        <is>
          <t>0151575651</t>
        </is>
      </c>
      <c r="C32" s="391" t="inlineStr">
        <is>
          <t>TADAY ORTIZ JORDAN ISAIAS</t>
        </is>
      </c>
      <c r="D32" s="393" t="n">
        <v>8.109999999999999</v>
      </c>
      <c r="E32" s="393" t="n">
        <v>8.359999999999999</v>
      </c>
      <c r="F32" s="393" t="n">
        <v>8.65</v>
      </c>
      <c r="G32" s="393" t="n">
        <v>8.68</v>
      </c>
      <c r="H32" s="393" t="n">
        <v>7.88</v>
      </c>
      <c r="I32" s="393" t="n">
        <v>9.1</v>
      </c>
      <c r="J32" s="393" t="n">
        <v>8.76</v>
      </c>
      <c r="K32" s="392" t="n">
        <v>8.25</v>
      </c>
      <c r="L32" s="392" t="inlineStr">
        <is>
          <t>A+</t>
        </is>
      </c>
      <c r="M32" s="393" t="n">
        <v>8.5</v>
      </c>
      <c r="N32" s="392" t="inlineStr">
        <is>
          <t>S</t>
        </is>
      </c>
      <c r="O32" s="392" t="inlineStr">
        <is>
          <t>PROMOVIDO</t>
        </is>
      </c>
    </row>
    <row r="33">
      <c r="A33" s="390" t="n">
        <v>31</v>
      </c>
      <c r="B33" s="390" t="inlineStr">
        <is>
          <t>0152265849</t>
        </is>
      </c>
      <c r="C33" s="391" t="inlineStr">
        <is>
          <t>TENESACA ÑAUTA SAMUEL MATIAS</t>
        </is>
      </c>
      <c r="D33" s="393" t="n">
        <v>9.09</v>
      </c>
      <c r="E33" s="393" t="n">
        <v>9</v>
      </c>
      <c r="F33" s="393" t="n">
        <v>9.5</v>
      </c>
      <c r="G33" s="393" t="n">
        <v>9.08</v>
      </c>
      <c r="H33" s="393" t="n">
        <v>8.69</v>
      </c>
      <c r="I33" s="393" t="n">
        <v>9.65</v>
      </c>
      <c r="J33" s="393" t="n">
        <v>9.539999999999999</v>
      </c>
      <c r="K33" s="392" t="n">
        <v>9.5</v>
      </c>
      <c r="L33" s="392" t="inlineStr">
        <is>
          <t>A+</t>
        </is>
      </c>
      <c r="M33" s="393" t="n">
        <v>9.220000000000001</v>
      </c>
      <c r="N33" s="392" t="inlineStr">
        <is>
          <t>S</t>
        </is>
      </c>
      <c r="O33" s="392" t="inlineStr">
        <is>
          <t>PROMOVIDO</t>
        </is>
      </c>
    </row>
    <row r="34">
      <c r="A34" s="390" t="n">
        <v>32</v>
      </c>
      <c r="B34" s="390" t="inlineStr">
        <is>
          <t>0151553815</t>
        </is>
      </c>
      <c r="C34" s="391" t="inlineStr">
        <is>
          <t>VALDEZ MONTESDEOCA CARLOS EMANUEL</t>
        </is>
      </c>
      <c r="D34" s="393" t="n">
        <v>9.01</v>
      </c>
      <c r="E34" s="393" t="n">
        <v>8.94</v>
      </c>
      <c r="F34" s="393" t="n">
        <v>9.380000000000001</v>
      </c>
      <c r="G34" s="393" t="n">
        <v>9.140000000000001</v>
      </c>
      <c r="H34" s="393" t="n">
        <v>8.42</v>
      </c>
      <c r="I34" s="393" t="n">
        <v>9.039999999999999</v>
      </c>
      <c r="J34" s="393" t="n">
        <v>8.609999999999999</v>
      </c>
      <c r="K34" s="392" t="n">
        <v>8.25</v>
      </c>
      <c r="L34" s="392" t="inlineStr">
        <is>
          <t>A+</t>
        </is>
      </c>
      <c r="M34" s="393" t="n">
        <v>8.93</v>
      </c>
      <c r="N34" s="392" t="inlineStr">
        <is>
          <t>S</t>
        </is>
      </c>
      <c r="O34" s="392" t="inlineStr">
        <is>
          <t>PROMOVIDO</t>
        </is>
      </c>
    </row>
  </sheetData>
  <mergeCells count="4">
    <mergeCell ref="A1:C1"/>
    <mergeCell ref="K1:O1"/>
    <mergeCell ref="E1:F1"/>
    <mergeCell ref="H1:I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40" customWidth="1" style="225" min="3" max="3"/>
    <col width="6" customWidth="1" style="225" min="4" max="4"/>
    <col width="6" customWidth="1" style="225" min="5" max="5"/>
    <col width="6" customWidth="1" style="225" min="6" max="6"/>
    <col width="6" customWidth="1" style="225" min="7" max="7"/>
    <col width="6" customWidth="1" style="225" min="8" max="8"/>
    <col width="6" customWidth="1" style="225" min="9" max="9"/>
    <col width="6" customWidth="1" style="225" min="10" max="10"/>
    <col width="6" customWidth="1" style="225" min="11" max="11"/>
    <col width="6" customWidth="1" style="225" min="12" max="12"/>
    <col width="6" customWidth="1" style="225" min="13" max="13"/>
    <col width="6" customWidth="1" style="225" min="14" max="14"/>
    <col width="13" customWidth="1" style="225" min="15" max="15"/>
  </cols>
  <sheetData>
    <row r="1" ht="40" customHeight="1" s="225">
      <c r="A1" s="372" t="inlineStr">
        <is>
          <t>DATOS INFORMATIVOS
ESTUDIANTES</t>
        </is>
      </c>
      <c r="D1" s="394" t="inlineStr">
        <is>
          <t>TUTOR</t>
        </is>
      </c>
      <c r="E1" s="374" t="inlineStr">
        <is>
          <t>LIC. VERONICA CARCHI</t>
        </is>
      </c>
      <c r="G1" s="377" t="inlineStr">
        <is>
          <t>AÑO DE BÁSICA</t>
        </is>
      </c>
      <c r="H1" s="376" t="inlineStr">
        <is>
          <t>QUINTO B</t>
        </is>
      </c>
      <c r="J1" s="375" t="inlineStr">
        <is>
          <t>JORNADA</t>
        </is>
      </c>
      <c r="K1" s="376" t="inlineStr">
        <is>
          <t>VESPERTINA</t>
        </is>
      </c>
    </row>
    <row r="2" ht="110" customHeight="1" s="225">
      <c r="A2" s="395" t="inlineStr">
        <is>
          <t>N°</t>
        </is>
      </c>
      <c r="B2" s="395" t="inlineStr">
        <is>
          <t>CÉDULA</t>
        </is>
      </c>
      <c r="C2" s="395" t="inlineStr">
        <is>
          <t>APELLIDOS/NOMBRES</t>
        </is>
      </c>
      <c r="D2" s="396" t="inlineStr">
        <is>
          <t>LENGUA Y
LITERATURA</t>
        </is>
      </c>
      <c r="E2" s="397" t="inlineStr">
        <is>
          <t>MATEMÁTICA</t>
        </is>
      </c>
      <c r="F2" s="398" t="inlineStr">
        <is>
          <t>CIENCIAS
NATURALES</t>
        </is>
      </c>
      <c r="G2" s="396" t="inlineStr">
        <is>
          <t>ESTUDIOS
SOCIALES</t>
        </is>
      </c>
      <c r="H2" s="397" t="inlineStr">
        <is>
          <t>INGLES</t>
        </is>
      </c>
      <c r="I2" s="399" t="inlineStr">
        <is>
          <t>EDUCACIÓN
CULTURAL Y
ARTÍSTICA</t>
        </is>
      </c>
      <c r="J2" s="399" t="inlineStr">
        <is>
          <t>EDUCACIÓN
FÍSICA</t>
        </is>
      </c>
      <c r="K2" s="339" t="inlineStr">
        <is>
          <t>ANIMACIÓN A LA
LECTURA</t>
        </is>
      </c>
      <c r="L2" s="339" t="inlineStr">
        <is>
          <t>CÍVICA Y
ACOMPAÑAMIENTO
INTEGRAL</t>
        </is>
      </c>
      <c r="M2" s="400" t="inlineStr">
        <is>
          <t>PROMEDIO</t>
        </is>
      </c>
      <c r="N2" s="339" t="inlineStr">
        <is>
          <t>COMPORTAMIENTO</t>
        </is>
      </c>
      <c r="O2" s="397" t="inlineStr">
        <is>
          <t>PROMOCIÓN</t>
        </is>
      </c>
    </row>
    <row r="3">
      <c r="A3" s="390" t="n">
        <v>1</v>
      </c>
      <c r="B3" s="390" t="inlineStr">
        <is>
          <t>0151577798</t>
        </is>
      </c>
      <c r="C3" s="391" t="inlineStr">
        <is>
          <t>BARBECHO ZHINDON DILAN JESUS</t>
        </is>
      </c>
      <c r="D3" s="401" t="n">
        <v>7.53</v>
      </c>
      <c r="E3" s="392" t="n">
        <v>7.37</v>
      </c>
      <c r="F3" s="402" t="n">
        <v>7.38</v>
      </c>
      <c r="G3" s="392" t="n">
        <v>7.19</v>
      </c>
      <c r="H3" s="392" t="n">
        <v>7.96</v>
      </c>
      <c r="I3" s="392" t="n">
        <v>8.09</v>
      </c>
      <c r="J3" s="392" t="n">
        <v>7.65</v>
      </c>
      <c r="K3" s="392" t="inlineStr">
        <is>
          <t>B+</t>
        </is>
      </c>
      <c r="L3" s="392" t="inlineStr">
        <is>
          <t>A-</t>
        </is>
      </c>
      <c r="M3" s="393" t="n">
        <v>7.59</v>
      </c>
      <c r="N3" s="392" t="inlineStr">
        <is>
          <t>S</t>
        </is>
      </c>
      <c r="O3" s="392" t="inlineStr">
        <is>
          <t>PROMOVIDO</t>
        </is>
      </c>
    </row>
    <row r="4">
      <c r="A4" s="390" t="n">
        <v>2</v>
      </c>
      <c r="B4" s="390" t="inlineStr">
        <is>
          <t>0151636610</t>
        </is>
      </c>
      <c r="C4" s="390" t="inlineStr">
        <is>
          <t>BRAVO ZHAGUI MATIAS ALEXANDER</t>
        </is>
      </c>
      <c r="D4" s="401" t="n">
        <v>9.140000000000001</v>
      </c>
      <c r="E4" s="392" t="n">
        <v>8.029999999999999</v>
      </c>
      <c r="F4" s="401" t="n">
        <v>8.99</v>
      </c>
      <c r="G4" s="392" t="n">
        <v>9.06</v>
      </c>
      <c r="H4" s="392" t="n">
        <v>9.07</v>
      </c>
      <c r="I4" s="392" t="n">
        <v>8.5</v>
      </c>
      <c r="J4" s="392" t="n">
        <v>9.470000000000001</v>
      </c>
      <c r="K4" s="392" t="inlineStr">
        <is>
          <t>B+</t>
        </is>
      </c>
      <c r="L4" s="392" t="inlineStr">
        <is>
          <t>A+</t>
        </is>
      </c>
      <c r="M4" s="392" t="n">
        <v>8.890000000000001</v>
      </c>
      <c r="N4" s="392" t="inlineStr">
        <is>
          <t>S</t>
        </is>
      </c>
      <c r="O4" s="392" t="inlineStr">
        <is>
          <t>PROMOVIDO</t>
        </is>
      </c>
    </row>
    <row r="5">
      <c r="A5" s="390" t="n">
        <v>3</v>
      </c>
      <c r="B5" s="390" t="inlineStr">
        <is>
          <t>0151586179</t>
        </is>
      </c>
      <c r="C5" s="390" t="inlineStr">
        <is>
          <t>CABRERA MARTOS JAZBELY ROXANA</t>
        </is>
      </c>
      <c r="D5" s="401" t="n">
        <v>7.98</v>
      </c>
      <c r="E5" s="392" t="n">
        <v>7.43</v>
      </c>
      <c r="F5" s="401" t="n">
        <v>7.69</v>
      </c>
      <c r="G5" s="392" t="n">
        <v>8.1</v>
      </c>
      <c r="H5" s="392" t="n">
        <v>7.58</v>
      </c>
      <c r="I5" s="392" t="n">
        <v>7.99</v>
      </c>
      <c r="J5" s="392" t="n">
        <v>8.609999999999999</v>
      </c>
      <c r="K5" s="392" t="inlineStr">
        <is>
          <t>B-</t>
        </is>
      </c>
      <c r="L5" s="392" t="inlineStr">
        <is>
          <t>A+</t>
        </is>
      </c>
      <c r="M5" s="392" t="n">
        <v>7.91</v>
      </c>
      <c r="N5" s="392" t="inlineStr">
        <is>
          <t>S</t>
        </is>
      </c>
      <c r="O5" s="392" t="inlineStr">
        <is>
          <t>PROMOVIDO</t>
        </is>
      </c>
    </row>
    <row r="6">
      <c r="A6" s="390" t="n">
        <v>4</v>
      </c>
      <c r="B6" s="390" t="inlineStr">
        <is>
          <t>0151557444</t>
        </is>
      </c>
      <c r="C6" s="390" t="inlineStr">
        <is>
          <t>CAMPOVERDE PEÑA LISSETH CRISTINA</t>
        </is>
      </c>
      <c r="D6" s="401" t="n">
        <v>9.49</v>
      </c>
      <c r="E6" s="392" t="n">
        <v>8.81</v>
      </c>
      <c r="F6" s="401" t="n">
        <v>9.35</v>
      </c>
      <c r="G6" s="392" t="n">
        <v>8.51</v>
      </c>
      <c r="H6" s="392" t="n">
        <v>9.08</v>
      </c>
      <c r="I6" s="392" t="n">
        <v>9.210000000000001</v>
      </c>
      <c r="J6" s="392" t="n">
        <v>9.34</v>
      </c>
      <c r="K6" s="392" t="inlineStr">
        <is>
          <t>B+</t>
        </is>
      </c>
      <c r="L6" s="392" t="inlineStr">
        <is>
          <t>A-</t>
        </is>
      </c>
      <c r="M6" s="392" t="n">
        <v>9.109999999999999</v>
      </c>
      <c r="N6" s="392" t="inlineStr">
        <is>
          <t>S</t>
        </is>
      </c>
      <c r="O6" s="392" t="inlineStr">
        <is>
          <t>PROMOVIDO</t>
        </is>
      </c>
    </row>
    <row r="7">
      <c r="A7" s="390" t="n">
        <v>5</v>
      </c>
      <c r="B7" s="390" t="inlineStr">
        <is>
          <t>0151643905</t>
        </is>
      </c>
      <c r="C7" s="390" t="inlineStr">
        <is>
          <t>CHIMBO URGILES CAMILA ALEJANDRA</t>
        </is>
      </c>
      <c r="D7" s="401" t="n">
        <v>7.71</v>
      </c>
      <c r="E7" s="392" t="n">
        <v>7.51</v>
      </c>
      <c r="F7" s="401" t="n">
        <v>7.55</v>
      </c>
      <c r="G7" s="392" t="n">
        <v>8.119999999999999</v>
      </c>
      <c r="H7" s="392" t="n">
        <v>8.279999999999999</v>
      </c>
      <c r="I7" s="392" t="n">
        <v>8.06</v>
      </c>
      <c r="J7" s="392" t="n">
        <v>8.890000000000001</v>
      </c>
      <c r="K7" s="392" t="inlineStr">
        <is>
          <t>B-</t>
        </is>
      </c>
      <c r="L7" s="392" t="inlineStr">
        <is>
          <t>A+</t>
        </is>
      </c>
      <c r="M7" s="392" t="n">
        <v>8.02</v>
      </c>
      <c r="N7" s="392" t="inlineStr">
        <is>
          <t>S</t>
        </is>
      </c>
      <c r="O7" s="392" t="inlineStr">
        <is>
          <t>PROMOVIDO</t>
        </is>
      </c>
    </row>
    <row r="8">
      <c r="A8" s="390" t="n">
        <v>6</v>
      </c>
      <c r="B8" s="390" t="inlineStr">
        <is>
          <t>0151620168</t>
        </is>
      </c>
      <c r="C8" s="391" t="inlineStr">
        <is>
          <t>CUZCO SARANGO KATHERINE PAOLA</t>
        </is>
      </c>
      <c r="D8" s="401" t="n">
        <v>9.23</v>
      </c>
      <c r="E8" s="393" t="n">
        <v>9.27</v>
      </c>
      <c r="F8" s="401" t="n">
        <v>9.140000000000001</v>
      </c>
      <c r="G8" s="392" t="n">
        <v>9.09</v>
      </c>
      <c r="H8" s="392" t="n">
        <v>9.33</v>
      </c>
      <c r="I8" s="392" t="n">
        <v>8.93</v>
      </c>
      <c r="J8" s="392" t="n">
        <v>9.5</v>
      </c>
      <c r="K8" s="392" t="inlineStr">
        <is>
          <t>A+</t>
        </is>
      </c>
      <c r="L8" s="392" t="inlineStr">
        <is>
          <t>A-</t>
        </is>
      </c>
      <c r="M8" s="392" t="n">
        <v>9.210000000000001</v>
      </c>
      <c r="N8" s="392" t="inlineStr">
        <is>
          <t>S</t>
        </is>
      </c>
      <c r="O8" s="392" t="inlineStr">
        <is>
          <t>PROMOVIDO</t>
        </is>
      </c>
    </row>
    <row r="9">
      <c r="A9" s="390" t="n">
        <v>7</v>
      </c>
      <c r="B9" s="390" t="inlineStr">
        <is>
          <t>0151595584</t>
        </is>
      </c>
      <c r="C9" s="390" t="inlineStr">
        <is>
          <t>GUAMBAÑA AREVALO JEREMY JESUS</t>
        </is>
      </c>
      <c r="D9" s="401" t="n">
        <v>7.88</v>
      </c>
      <c r="E9" s="392" t="n">
        <v>8.49</v>
      </c>
      <c r="F9" s="401" t="n">
        <v>7.54</v>
      </c>
      <c r="G9" s="392" t="n">
        <v>8.130000000000001</v>
      </c>
      <c r="H9" s="392" t="n">
        <v>8.199999999999999</v>
      </c>
      <c r="I9" s="392" t="n">
        <v>8.210000000000001</v>
      </c>
      <c r="J9" s="392" t="n">
        <v>8.66</v>
      </c>
      <c r="K9" s="392" t="inlineStr">
        <is>
          <t>B+</t>
        </is>
      </c>
      <c r="L9" s="392" t="inlineStr">
        <is>
          <t>A-</t>
        </is>
      </c>
      <c r="M9" s="392" t="n">
        <v>8.16</v>
      </c>
      <c r="N9" s="392" t="inlineStr">
        <is>
          <t>S</t>
        </is>
      </c>
      <c r="O9" s="392" t="inlineStr">
        <is>
          <t>PROMOVIDO</t>
        </is>
      </c>
    </row>
    <row r="10">
      <c r="A10" s="390" t="n">
        <v>8</v>
      </c>
      <c r="B10" s="390" t="inlineStr">
        <is>
          <t>0151518073</t>
        </is>
      </c>
      <c r="C10" s="391" t="inlineStr">
        <is>
          <t>GUARQUILA MEJIA AMANDA MARIANELA</t>
        </is>
      </c>
      <c r="D10" s="401" t="n">
        <v>9.81</v>
      </c>
      <c r="E10" s="392" t="n">
        <v>9.26</v>
      </c>
      <c r="F10" s="402" t="n">
        <v>9.52</v>
      </c>
      <c r="G10" s="392" t="n">
        <v>9.699999999999999</v>
      </c>
      <c r="H10" s="392" t="n">
        <v>9.449999999999999</v>
      </c>
      <c r="I10" s="392" t="n">
        <v>9.73</v>
      </c>
      <c r="J10" s="392" t="n">
        <v>9.69</v>
      </c>
      <c r="K10" s="392" t="inlineStr">
        <is>
          <t>A+</t>
        </is>
      </c>
      <c r="L10" s="392" t="inlineStr">
        <is>
          <t>A-</t>
        </is>
      </c>
      <c r="M10" s="393" t="n">
        <v>9.59</v>
      </c>
      <c r="N10" s="392" t="inlineStr">
        <is>
          <t>S</t>
        </is>
      </c>
      <c r="O10" s="392" t="inlineStr">
        <is>
          <t>PROMOVIDO</t>
        </is>
      </c>
    </row>
    <row r="11">
      <c r="A11" s="390" t="n">
        <v>9</v>
      </c>
      <c r="B11" s="390" t="inlineStr">
        <is>
          <t>0151539723</t>
        </is>
      </c>
      <c r="C11" s="390" t="inlineStr">
        <is>
          <t>JARA GONZALEZ MISAEL</t>
        </is>
      </c>
      <c r="D11" s="401" t="n">
        <v>7.72</v>
      </c>
      <c r="E11" s="392" t="n">
        <v>8.210000000000001</v>
      </c>
      <c r="F11" s="401" t="n">
        <v>8.6</v>
      </c>
      <c r="G11" s="392" t="n">
        <v>8.470000000000001</v>
      </c>
      <c r="H11" s="392" t="n">
        <v>8.93</v>
      </c>
      <c r="I11" s="392" t="n">
        <v>7.84</v>
      </c>
      <c r="J11" s="392" t="n">
        <v>8.34</v>
      </c>
      <c r="K11" s="392" t="inlineStr">
        <is>
          <t>B+</t>
        </is>
      </c>
      <c r="L11" s="392" t="inlineStr">
        <is>
          <t>A-</t>
        </is>
      </c>
      <c r="M11" s="392" t="n">
        <v>8.300000000000001</v>
      </c>
      <c r="N11" s="392" t="inlineStr">
        <is>
          <t>S</t>
        </is>
      </c>
      <c r="O11" s="392" t="inlineStr">
        <is>
          <t>PROMOVIDO</t>
        </is>
      </c>
    </row>
    <row r="12">
      <c r="A12" s="390" t="n">
        <v>10</v>
      </c>
      <c r="B12" s="390" t="inlineStr">
        <is>
          <t>0151639960</t>
        </is>
      </c>
      <c r="C12" s="390" t="inlineStr">
        <is>
          <t>JARAMILLO OJEDA DAMARIS LEONELA</t>
        </is>
      </c>
      <c r="D12" s="401" t="n">
        <v>8.85</v>
      </c>
      <c r="E12" s="392" t="n">
        <v>8.56</v>
      </c>
      <c r="F12" s="401" t="n">
        <v>9.17</v>
      </c>
      <c r="G12" s="392" t="n">
        <v>9.300000000000001</v>
      </c>
      <c r="H12" s="392" t="n">
        <v>8.19</v>
      </c>
      <c r="I12" s="392" t="n">
        <v>9.33</v>
      </c>
      <c r="J12" s="392" t="n">
        <v>8.970000000000001</v>
      </c>
      <c r="K12" s="392" t="inlineStr">
        <is>
          <t>B+</t>
        </is>
      </c>
      <c r="L12" s="392" t="inlineStr">
        <is>
          <t>A+</t>
        </is>
      </c>
      <c r="M12" s="392" t="n">
        <v>8.91</v>
      </c>
      <c r="N12" s="392" t="inlineStr">
        <is>
          <t>S</t>
        </is>
      </c>
      <c r="O12" s="392" t="inlineStr">
        <is>
          <t>PROMOVIDO</t>
        </is>
      </c>
    </row>
    <row r="13">
      <c r="A13" s="390" t="n">
        <v>11</v>
      </c>
      <c r="B13" s="390" t="inlineStr">
        <is>
          <t>0151477957</t>
        </is>
      </c>
      <c r="C13" s="390" t="inlineStr">
        <is>
          <t>JIMENEZ JACHERO DANIEL ALEJANDRO</t>
        </is>
      </c>
      <c r="D13" s="401" t="n">
        <v>7.16</v>
      </c>
      <c r="E13" s="392" t="n">
        <v>8.119999999999999</v>
      </c>
      <c r="F13" s="401" t="n">
        <v>7.02</v>
      </c>
      <c r="G13" s="392" t="n">
        <v>7.24</v>
      </c>
      <c r="H13" s="392" t="n">
        <v>7.45</v>
      </c>
      <c r="I13" s="392" t="n">
        <v>7.51</v>
      </c>
      <c r="J13" s="392" t="n">
        <v>7.82</v>
      </c>
      <c r="K13" s="392" t="inlineStr">
        <is>
          <t>B+</t>
        </is>
      </c>
      <c r="L13" s="392" t="inlineStr">
        <is>
          <t>A-</t>
        </is>
      </c>
      <c r="M13" s="392" t="n">
        <v>7.47</v>
      </c>
      <c r="N13" s="392" t="inlineStr">
        <is>
          <t>S</t>
        </is>
      </c>
      <c r="O13" s="392" t="inlineStr">
        <is>
          <t>PROMOVIDO</t>
        </is>
      </c>
    </row>
    <row r="14">
      <c r="A14" s="390" t="n">
        <v>12</v>
      </c>
      <c r="B14" s="390" t="inlineStr">
        <is>
          <t>0151636628</t>
        </is>
      </c>
      <c r="C14" s="390" t="inlineStr">
        <is>
          <t>LEMA SIBRI JHORDAN ALEJANDRO</t>
        </is>
      </c>
      <c r="D14" s="401" t="n">
        <v>7.08</v>
      </c>
      <c r="E14" s="392" t="n">
        <v>7.18</v>
      </c>
      <c r="F14" s="401" t="n">
        <v>7.01</v>
      </c>
      <c r="G14" s="392" t="n">
        <v>7.12</v>
      </c>
      <c r="H14" s="392" t="n">
        <v>7.9</v>
      </c>
      <c r="I14" s="392" t="n">
        <v>7.35</v>
      </c>
      <c r="J14" s="392" t="n">
        <v>7.29</v>
      </c>
      <c r="K14" s="392" t="inlineStr">
        <is>
          <t>B-</t>
        </is>
      </c>
      <c r="L14" s="392" t="inlineStr">
        <is>
          <t>A-</t>
        </is>
      </c>
      <c r="M14" s="392" t="n">
        <v>7.28</v>
      </c>
      <c r="N14" s="392" t="inlineStr">
        <is>
          <t>S</t>
        </is>
      </c>
      <c r="O14" s="392" t="inlineStr">
        <is>
          <t>PROMOVIDO</t>
        </is>
      </c>
    </row>
    <row r="15">
      <c r="A15" s="390" t="n">
        <v>13</v>
      </c>
      <c r="B15" s="390" t="inlineStr">
        <is>
          <t>0151569621</t>
        </is>
      </c>
      <c r="C15" s="390" t="inlineStr">
        <is>
          <t>LEON CRIOLLO KEISI ANABEL</t>
        </is>
      </c>
      <c r="D15" s="401" t="n">
        <v>7.93</v>
      </c>
      <c r="E15" s="392" t="n">
        <v>7.73</v>
      </c>
      <c r="F15" s="401" t="n">
        <v>7.31</v>
      </c>
      <c r="G15" s="392" t="n">
        <v>7.91</v>
      </c>
      <c r="H15" s="392" t="n">
        <v>8.23</v>
      </c>
      <c r="I15" s="392" t="n">
        <v>7.57</v>
      </c>
      <c r="J15" s="392" t="n">
        <v>8.67</v>
      </c>
      <c r="K15" s="392" t="inlineStr">
        <is>
          <t>B+</t>
        </is>
      </c>
      <c r="L15" s="392" t="inlineStr">
        <is>
          <t>A-</t>
        </is>
      </c>
      <c r="M15" s="392" t="n">
        <v>7.91</v>
      </c>
      <c r="N15" s="392" t="inlineStr">
        <is>
          <t>S</t>
        </is>
      </c>
      <c r="O15" s="392" t="inlineStr">
        <is>
          <t>PROMOVIDO</t>
        </is>
      </c>
    </row>
    <row r="16">
      <c r="A16" s="390" t="n">
        <v>14</v>
      </c>
      <c r="B16" s="390" t="inlineStr">
        <is>
          <t>0151647450</t>
        </is>
      </c>
      <c r="C16" s="390" t="inlineStr">
        <is>
          <t>LLIVICURA LITARDO NAYDELINE JESUS</t>
        </is>
      </c>
      <c r="D16" s="401" t="n">
        <v>7.76</v>
      </c>
      <c r="E16" s="392" t="n">
        <v>7.76</v>
      </c>
      <c r="F16" s="401" t="n">
        <v>7.21</v>
      </c>
      <c r="G16" s="392" t="n">
        <v>7.52</v>
      </c>
      <c r="H16" s="392" t="n">
        <v>7.58</v>
      </c>
      <c r="I16" s="392" t="n">
        <v>8.57</v>
      </c>
      <c r="J16" s="392" t="n">
        <v>8.66</v>
      </c>
      <c r="K16" s="392" t="inlineStr">
        <is>
          <t>B+</t>
        </is>
      </c>
      <c r="L16" s="392" t="inlineStr">
        <is>
          <t>A-</t>
        </is>
      </c>
      <c r="M16" s="392" t="n">
        <v>7.87</v>
      </c>
      <c r="N16" s="392" t="inlineStr">
        <is>
          <t>S</t>
        </is>
      </c>
      <c r="O16" s="392" t="inlineStr">
        <is>
          <t>PROMOVIDO</t>
        </is>
      </c>
    </row>
    <row r="17">
      <c r="A17" s="390" t="n">
        <v>15</v>
      </c>
      <c r="B17" s="390" t="inlineStr">
        <is>
          <t>1151221965</t>
        </is>
      </c>
      <c r="C17" s="390" t="inlineStr">
        <is>
          <t>MALLA OCHOA STEPHANIE MAILY</t>
        </is>
      </c>
      <c r="D17" s="401" t="n">
        <v>8.15</v>
      </c>
      <c r="E17" s="392" t="n">
        <v>7.9</v>
      </c>
      <c r="F17" s="401" t="n">
        <v>7.98</v>
      </c>
      <c r="G17" s="392" t="n">
        <v>7.63</v>
      </c>
      <c r="H17" s="392" t="n">
        <v>8.460000000000001</v>
      </c>
      <c r="I17" s="392" t="n">
        <v>8.949999999999999</v>
      </c>
      <c r="J17" s="392" t="n">
        <v>8.800000000000001</v>
      </c>
      <c r="K17" s="392" t="inlineStr">
        <is>
          <t>B+</t>
        </is>
      </c>
      <c r="L17" s="392" t="inlineStr">
        <is>
          <t>A+</t>
        </is>
      </c>
      <c r="M17" s="392" t="n">
        <v>8.27</v>
      </c>
      <c r="N17" s="392" t="inlineStr">
        <is>
          <t>S</t>
        </is>
      </c>
      <c r="O17" s="392" t="inlineStr">
        <is>
          <t>PROMOVIDO</t>
        </is>
      </c>
    </row>
    <row r="18">
      <c r="A18" s="390" t="n">
        <v>16</v>
      </c>
      <c r="B18" s="390" t="inlineStr">
        <is>
          <t>0151607298</t>
        </is>
      </c>
      <c r="C18" s="390" t="inlineStr">
        <is>
          <t>MAYORGA COPARA IAN EDUARDO</t>
        </is>
      </c>
      <c r="D18" s="401" t="n">
        <v>7.26</v>
      </c>
      <c r="E18" s="392" t="n">
        <v>8.26</v>
      </c>
      <c r="F18" s="401" t="n">
        <v>7.72</v>
      </c>
      <c r="G18" s="392" t="n">
        <v>8.07</v>
      </c>
      <c r="H18" s="392" t="n">
        <v>8.15</v>
      </c>
      <c r="I18" s="392" t="n">
        <v>7.87</v>
      </c>
      <c r="J18" s="392" t="n">
        <v>8.35</v>
      </c>
      <c r="K18" s="392" t="inlineStr">
        <is>
          <t>B+</t>
        </is>
      </c>
      <c r="L18" s="392" t="inlineStr">
        <is>
          <t>A+</t>
        </is>
      </c>
      <c r="M18" s="392" t="n">
        <v>7.95</v>
      </c>
      <c r="N18" s="392" t="inlineStr">
        <is>
          <t>S</t>
        </is>
      </c>
      <c r="O18" s="392" t="inlineStr">
        <is>
          <t>PROMOVIDO</t>
        </is>
      </c>
    </row>
    <row r="19">
      <c r="A19" s="390" t="n">
        <v>17</v>
      </c>
      <c r="B19" s="390" t="inlineStr">
        <is>
          <t>0151562535</t>
        </is>
      </c>
      <c r="C19" s="390" t="inlineStr">
        <is>
          <t>MEJIA SIAVICHAY ISMAEL ALEXANDER</t>
        </is>
      </c>
      <c r="D19" s="401" t="n">
        <v>9.25</v>
      </c>
      <c r="E19" s="392" t="n">
        <v>9.42</v>
      </c>
      <c r="F19" s="401" t="n">
        <v>9.6</v>
      </c>
      <c r="G19" s="392" t="n">
        <v>9.24</v>
      </c>
      <c r="H19" s="392" t="n">
        <v>9.130000000000001</v>
      </c>
      <c r="I19" s="392" t="n">
        <v>8.869999999999999</v>
      </c>
      <c r="J19" s="392" t="n">
        <v>9.390000000000001</v>
      </c>
      <c r="K19" s="392" t="inlineStr">
        <is>
          <t>A+</t>
        </is>
      </c>
      <c r="L19" s="392" t="inlineStr">
        <is>
          <t>A-</t>
        </is>
      </c>
      <c r="M19" s="392" t="n">
        <v>9.27</v>
      </c>
      <c r="N19" s="392" t="inlineStr">
        <is>
          <t>S</t>
        </is>
      </c>
      <c r="O19" s="392" t="inlineStr">
        <is>
          <t>PROMOVIDO</t>
        </is>
      </c>
    </row>
    <row r="20">
      <c r="A20" s="390" t="n">
        <v>18</v>
      </c>
      <c r="B20" s="390" t="inlineStr">
        <is>
          <t>0350437182</t>
        </is>
      </c>
      <c r="C20" s="390" t="inlineStr">
        <is>
          <t>MENDEZ LANDI JEFFERSON MARTIN</t>
        </is>
      </c>
      <c r="D20" s="401" t="n">
        <v>8.41</v>
      </c>
      <c r="E20" s="392" t="n">
        <v>8.32</v>
      </c>
      <c r="F20" s="401" t="n">
        <v>7.85</v>
      </c>
      <c r="G20" s="392" t="n">
        <v>8.279999999999999</v>
      </c>
      <c r="H20" s="392" t="n">
        <v>8.359999999999999</v>
      </c>
      <c r="I20" s="392" t="n">
        <v>7.87</v>
      </c>
      <c r="J20" s="392" t="n">
        <v>8.57</v>
      </c>
      <c r="K20" s="392" t="inlineStr">
        <is>
          <t>B-</t>
        </is>
      </c>
      <c r="L20" s="392" t="inlineStr">
        <is>
          <t>A-</t>
        </is>
      </c>
      <c r="M20" s="392" t="n">
        <v>8.24</v>
      </c>
      <c r="N20" s="392" t="inlineStr">
        <is>
          <t>S</t>
        </is>
      </c>
      <c r="O20" s="392" t="inlineStr">
        <is>
          <t>PROMOVIDO</t>
        </is>
      </c>
    </row>
    <row r="21">
      <c r="A21" s="390" t="n">
        <v>20</v>
      </c>
      <c r="B21" s="390" t="inlineStr">
        <is>
          <t>0151631447</t>
        </is>
      </c>
      <c r="C21" s="391" t="inlineStr">
        <is>
          <t>MOROCHO NAREA JOSSELYN DAYANA</t>
        </is>
      </c>
      <c r="D21" s="401" t="n">
        <v>9.67</v>
      </c>
      <c r="E21" s="393" t="n">
        <v>9.48</v>
      </c>
      <c r="F21" s="401" t="n">
        <v>9.68</v>
      </c>
      <c r="G21" s="392" t="n">
        <v>9.359999999999999</v>
      </c>
      <c r="H21" s="393" t="n">
        <v>9.31</v>
      </c>
      <c r="I21" s="392" t="n">
        <v>9.369999999999999</v>
      </c>
      <c r="J21" s="392" t="n">
        <v>9.6</v>
      </c>
      <c r="K21" s="392" t="inlineStr">
        <is>
          <t>A+</t>
        </is>
      </c>
      <c r="L21" s="392" t="inlineStr">
        <is>
          <t>A-</t>
        </is>
      </c>
      <c r="M21" s="392" t="n">
        <v>9.5</v>
      </c>
      <c r="N21" s="392" t="inlineStr">
        <is>
          <t>S</t>
        </is>
      </c>
      <c r="O21" s="392" t="inlineStr">
        <is>
          <t>PROMOVIDO</t>
        </is>
      </c>
    </row>
    <row r="22">
      <c r="A22" s="390" t="n">
        <v>21</v>
      </c>
      <c r="B22" s="390" t="inlineStr">
        <is>
          <t>0151566544</t>
        </is>
      </c>
      <c r="C22" s="391" t="inlineStr">
        <is>
          <t>PATIÑO YANZA ANA PAULA</t>
        </is>
      </c>
      <c r="D22" s="401" t="n">
        <v>9.59</v>
      </c>
      <c r="E22" s="392" t="n">
        <v>9.42</v>
      </c>
      <c r="F22" s="401" t="n">
        <v>9.31</v>
      </c>
      <c r="G22" s="392" t="n">
        <v>8.699999999999999</v>
      </c>
      <c r="H22" s="393" t="n">
        <v>9.390000000000001</v>
      </c>
      <c r="I22" s="392" t="n">
        <v>9.039999999999999</v>
      </c>
      <c r="J22" s="392" t="n">
        <v>9.51</v>
      </c>
      <c r="K22" s="392" t="inlineStr">
        <is>
          <t>A+</t>
        </is>
      </c>
      <c r="L22" s="392" t="inlineStr">
        <is>
          <t>A-</t>
        </is>
      </c>
      <c r="M22" s="392" t="n">
        <v>9.279999999999999</v>
      </c>
      <c r="N22" s="392" t="inlineStr">
        <is>
          <t>S</t>
        </is>
      </c>
      <c r="O22" s="392" t="inlineStr">
        <is>
          <t>PROMOVIDO</t>
        </is>
      </c>
    </row>
    <row r="23">
      <c r="A23" s="390" t="n">
        <v>22</v>
      </c>
      <c r="B23" s="390" t="inlineStr">
        <is>
          <t>0151512431</t>
        </is>
      </c>
      <c r="C23" s="390" t="inlineStr">
        <is>
          <t>PERALVO LONDA SOFIA AIDE</t>
        </is>
      </c>
      <c r="D23" s="401" t="n">
        <v>8.380000000000001</v>
      </c>
      <c r="E23" s="392" t="n">
        <v>8.18</v>
      </c>
      <c r="F23" s="401" t="n">
        <v>8.42</v>
      </c>
      <c r="G23" s="392" t="n">
        <v>8.890000000000001</v>
      </c>
      <c r="H23" s="392" t="n">
        <v>8.789999999999999</v>
      </c>
      <c r="I23" s="392" t="n">
        <v>8.779999999999999</v>
      </c>
      <c r="J23" s="392" t="n">
        <v>9.1</v>
      </c>
      <c r="K23" s="392" t="inlineStr">
        <is>
          <t>A+</t>
        </is>
      </c>
      <c r="L23" s="392" t="inlineStr">
        <is>
          <t>A-</t>
        </is>
      </c>
      <c r="M23" s="392" t="n">
        <v>8.65</v>
      </c>
      <c r="N23" s="392" t="inlineStr">
        <is>
          <t>S</t>
        </is>
      </c>
      <c r="O23" s="392" t="inlineStr">
        <is>
          <t>PROMOVIDO</t>
        </is>
      </c>
    </row>
    <row r="24">
      <c r="A24" s="390" t="n">
        <v>23</v>
      </c>
      <c r="B24" s="390" t="inlineStr">
        <is>
          <t>0151608338</t>
        </is>
      </c>
      <c r="C24" s="391" t="inlineStr">
        <is>
          <t>PUMA ZHAGUI NAYELI ESTEFANIA</t>
        </is>
      </c>
      <c r="D24" s="401" t="n">
        <v>9.4</v>
      </c>
      <c r="E24" s="392" t="n">
        <v>9.19</v>
      </c>
      <c r="F24" s="401" t="n">
        <v>9.210000000000001</v>
      </c>
      <c r="G24" s="392" t="n">
        <v>8.76</v>
      </c>
      <c r="H24" s="393" t="n">
        <v>9.130000000000001</v>
      </c>
      <c r="I24" s="392" t="n">
        <v>8.699999999999999</v>
      </c>
      <c r="J24" s="392" t="n">
        <v>9.56</v>
      </c>
      <c r="K24" s="392" t="inlineStr">
        <is>
          <t>A-</t>
        </is>
      </c>
      <c r="L24" s="392" t="inlineStr">
        <is>
          <t>A+</t>
        </is>
      </c>
      <c r="M24" s="393" t="n">
        <v>9.130000000000001</v>
      </c>
      <c r="N24" s="392" t="inlineStr">
        <is>
          <t>S</t>
        </is>
      </c>
      <c r="O24" s="392" t="inlineStr">
        <is>
          <t>PROMOVIDO</t>
        </is>
      </c>
    </row>
    <row r="25">
      <c r="A25" s="390" t="n">
        <v>24</v>
      </c>
      <c r="B25" s="390" t="inlineStr">
        <is>
          <t>0350436135</t>
        </is>
      </c>
      <c r="C25" s="390" t="inlineStr">
        <is>
          <t>REDROVAN GARCIA DAARON MATHIAS</t>
        </is>
      </c>
      <c r="D25" s="401" t="n">
        <v>9.1</v>
      </c>
      <c r="E25" s="392" t="n">
        <v>8.98</v>
      </c>
      <c r="F25" s="401" t="n">
        <v>9.08</v>
      </c>
      <c r="G25" s="392" t="n">
        <v>8.74</v>
      </c>
      <c r="H25" s="392" t="n">
        <v>9.140000000000001</v>
      </c>
      <c r="I25" s="392" t="n">
        <v>8.539999999999999</v>
      </c>
      <c r="J25" s="392" t="n">
        <v>9.43</v>
      </c>
      <c r="K25" s="392" t="inlineStr">
        <is>
          <t>A+</t>
        </is>
      </c>
      <c r="L25" s="392" t="inlineStr">
        <is>
          <t>A-</t>
        </is>
      </c>
      <c r="M25" s="392" t="n">
        <v>9</v>
      </c>
      <c r="N25" s="392" t="inlineStr">
        <is>
          <t>S</t>
        </is>
      </c>
      <c r="O25" s="392" t="inlineStr">
        <is>
          <t>PROMOVIDO</t>
        </is>
      </c>
    </row>
    <row r="26">
      <c r="A26" s="390" t="n">
        <v>25</v>
      </c>
      <c r="B26" s="390" t="inlineStr">
        <is>
          <t>0960773729</t>
        </is>
      </c>
      <c r="C26" s="390" t="inlineStr">
        <is>
          <t>ROBLES LOAIZA JONATHAN JOSUE</t>
        </is>
      </c>
      <c r="D26" s="401" t="n">
        <v>7.51</v>
      </c>
      <c r="E26" s="392" t="n">
        <v>8.369999999999999</v>
      </c>
      <c r="F26" s="401" t="n">
        <v>7.6</v>
      </c>
      <c r="G26" s="392" t="n">
        <v>7.78</v>
      </c>
      <c r="H26" s="392" t="n">
        <v>8.17</v>
      </c>
      <c r="I26" s="392" t="n">
        <v>8.210000000000001</v>
      </c>
      <c r="J26" s="392" t="n">
        <v>8.6</v>
      </c>
      <c r="K26" s="392" t="inlineStr">
        <is>
          <t>A-</t>
        </is>
      </c>
      <c r="L26" s="392" t="inlineStr">
        <is>
          <t>A+</t>
        </is>
      </c>
      <c r="M26" s="392" t="n">
        <v>8.029999999999999</v>
      </c>
      <c r="N26" s="392" t="inlineStr">
        <is>
          <t>S</t>
        </is>
      </c>
      <c r="O26" s="392" t="inlineStr">
        <is>
          <t>PROMOVIDO</t>
        </is>
      </c>
    </row>
    <row r="27">
      <c r="A27" s="390" t="n">
        <v>26</v>
      </c>
      <c r="B27" s="390" t="inlineStr">
        <is>
          <t>0151569076</t>
        </is>
      </c>
      <c r="C27" s="391" t="inlineStr">
        <is>
          <t>RUIZ SOLIZ JULISSA KIMBERLY</t>
        </is>
      </c>
      <c r="D27" s="401" t="n">
        <v>7.76</v>
      </c>
      <c r="E27" s="393" t="n">
        <v>7.4</v>
      </c>
      <c r="F27" s="401" t="n">
        <v>7.99</v>
      </c>
      <c r="G27" s="392" t="n">
        <v>7.92</v>
      </c>
      <c r="H27" s="392" t="n">
        <v>8.07</v>
      </c>
      <c r="I27" s="392" t="n">
        <v>7.49</v>
      </c>
      <c r="J27" s="392" t="n">
        <v>8.42</v>
      </c>
      <c r="K27" s="392" t="inlineStr">
        <is>
          <t>B+</t>
        </is>
      </c>
      <c r="L27" s="392" t="inlineStr">
        <is>
          <t>A-</t>
        </is>
      </c>
      <c r="M27" s="393" t="n">
        <v>7.86</v>
      </c>
      <c r="N27" s="392" t="inlineStr">
        <is>
          <t>S</t>
        </is>
      </c>
      <c r="O27" s="392" t="inlineStr">
        <is>
          <t>PROMOVIDO</t>
        </is>
      </c>
    </row>
    <row r="28">
      <c r="A28" s="390" t="n">
        <v>27</v>
      </c>
      <c r="B28" s="390" t="inlineStr">
        <is>
          <t>0151522695</t>
        </is>
      </c>
      <c r="C28" s="391" t="inlineStr">
        <is>
          <t>SAMANIEGO CABRERA DANNA BELEN</t>
        </is>
      </c>
      <c r="D28" s="401" t="n">
        <v>8.94</v>
      </c>
      <c r="E28" s="393" t="n">
        <v>8.550000000000001</v>
      </c>
      <c r="F28" s="401" t="n">
        <v>9.32</v>
      </c>
      <c r="G28" s="392" t="n">
        <v>8.98</v>
      </c>
      <c r="H28" s="392" t="n">
        <v>9.279999999999999</v>
      </c>
      <c r="I28" s="393" t="n">
        <v>9.56</v>
      </c>
      <c r="J28" s="392" t="n">
        <v>9.44</v>
      </c>
      <c r="K28" s="392" t="inlineStr">
        <is>
          <t>A+</t>
        </is>
      </c>
      <c r="L28" s="392" t="inlineStr">
        <is>
          <t>A+</t>
        </is>
      </c>
      <c r="M28" s="392" t="n">
        <v>9.15</v>
      </c>
      <c r="N28" s="392" t="inlineStr">
        <is>
          <t>S</t>
        </is>
      </c>
      <c r="O28" s="392" t="inlineStr">
        <is>
          <t>PROMOVIDO</t>
        </is>
      </c>
    </row>
    <row r="29">
      <c r="A29" s="390" t="n">
        <v>28</v>
      </c>
      <c r="B29" s="390" t="inlineStr">
        <is>
          <t>0350418539</t>
        </is>
      </c>
      <c r="C29" s="391" t="inlineStr">
        <is>
          <t>SIBRI SAICO LUIS ALEXIS</t>
        </is>
      </c>
      <c r="D29" s="401" t="n">
        <v>9.01</v>
      </c>
      <c r="E29" s="393" t="n">
        <v>9</v>
      </c>
      <c r="F29" s="401" t="n">
        <v>8.91</v>
      </c>
      <c r="G29" s="392" t="n">
        <v>9.210000000000001</v>
      </c>
      <c r="H29" s="392" t="n">
        <v>9.24</v>
      </c>
      <c r="I29" s="392" t="n">
        <v>8.369999999999999</v>
      </c>
      <c r="J29" s="392" t="n">
        <v>9.44</v>
      </c>
      <c r="K29" s="392" t="inlineStr">
        <is>
          <t>A-</t>
        </is>
      </c>
      <c r="L29" s="392" t="inlineStr">
        <is>
          <t>A+</t>
        </is>
      </c>
      <c r="M29" s="392" t="n">
        <v>9.029999999999999</v>
      </c>
      <c r="N29" s="392" t="inlineStr">
        <is>
          <t>S</t>
        </is>
      </c>
      <c r="O29" s="392" t="inlineStr">
        <is>
          <t>PROMOVIDO</t>
        </is>
      </c>
    </row>
    <row r="30">
      <c r="A30" s="390" t="n">
        <v>29</v>
      </c>
      <c r="B30" s="390" t="inlineStr">
        <is>
          <t>0151585411</t>
        </is>
      </c>
      <c r="C30" s="391" t="inlineStr">
        <is>
          <t>SICHIQUE BARRERA ALLISON ADRIANA</t>
        </is>
      </c>
      <c r="D30" s="401" t="n">
        <v>8.779999999999999</v>
      </c>
      <c r="E30" s="393" t="n">
        <v>9.06</v>
      </c>
      <c r="F30" s="402" t="n">
        <v>7.98</v>
      </c>
      <c r="G30" s="392" t="n">
        <v>9.1</v>
      </c>
      <c r="H30" s="392" t="n">
        <v>8.83</v>
      </c>
      <c r="I30" s="392" t="n">
        <v>8.68</v>
      </c>
      <c r="J30" s="392" t="n">
        <v>8.94</v>
      </c>
      <c r="K30" s="392" t="inlineStr">
        <is>
          <t>A+</t>
        </is>
      </c>
      <c r="L30" s="392" t="inlineStr">
        <is>
          <t>A-</t>
        </is>
      </c>
      <c r="M30" s="393" t="n">
        <v>8.77</v>
      </c>
      <c r="N30" s="392" t="inlineStr">
        <is>
          <t>S</t>
        </is>
      </c>
      <c r="O30" s="392" t="inlineStr">
        <is>
          <t>PROMOVIDO</t>
        </is>
      </c>
    </row>
    <row r="31">
      <c r="A31" s="390" t="n">
        <v>30</v>
      </c>
      <c r="B31" s="390" t="inlineStr">
        <is>
          <t>0151620416</t>
        </is>
      </c>
      <c r="C31" s="391" t="inlineStr">
        <is>
          <t>SUAREZ PULGARIN AMBAR NAHOMY</t>
        </is>
      </c>
      <c r="D31" s="401" t="n">
        <v>7.95</v>
      </c>
      <c r="E31" s="393" t="n">
        <v>7.83</v>
      </c>
      <c r="F31" s="401" t="n">
        <v>7.95</v>
      </c>
      <c r="G31" s="392" t="n">
        <v>8.01</v>
      </c>
      <c r="H31" s="392" t="n">
        <v>8.800000000000001</v>
      </c>
      <c r="I31" s="392" t="n">
        <v>8.609999999999999</v>
      </c>
      <c r="J31" s="392" t="n">
        <v>8.619999999999999</v>
      </c>
      <c r="K31" s="392" t="inlineStr">
        <is>
          <t>A-</t>
        </is>
      </c>
      <c r="L31" s="392" t="inlineStr">
        <is>
          <t>A-</t>
        </is>
      </c>
      <c r="M31" s="393" t="n">
        <v>8.25</v>
      </c>
      <c r="N31" s="392" t="inlineStr">
        <is>
          <t>S</t>
        </is>
      </c>
      <c r="O31" s="392" t="inlineStr">
        <is>
          <t>PROMOVIDO</t>
        </is>
      </c>
    </row>
    <row r="32">
      <c r="A32" s="390" t="n">
        <v>31</v>
      </c>
      <c r="B32" s="390" t="inlineStr">
        <is>
          <t>0151650827</t>
        </is>
      </c>
      <c r="C32" s="390" t="inlineStr">
        <is>
          <t>VALDEZ BENAVIDES HADES EZEQUIEL</t>
        </is>
      </c>
      <c r="D32" s="401" t="n">
        <v>8.859999999999999</v>
      </c>
      <c r="E32" s="392" t="n">
        <v>8.48</v>
      </c>
      <c r="F32" s="401" t="n">
        <v>8.93</v>
      </c>
      <c r="G32" s="392" t="n">
        <v>9.1</v>
      </c>
      <c r="H32" s="392" t="n">
        <v>9.09</v>
      </c>
      <c r="I32" s="392" t="n">
        <v>8.48</v>
      </c>
      <c r="J32" s="392" t="n">
        <v>9.039999999999999</v>
      </c>
      <c r="K32" s="392" t="inlineStr">
        <is>
          <t>A-</t>
        </is>
      </c>
      <c r="L32" s="392" t="inlineStr">
        <is>
          <t>A+</t>
        </is>
      </c>
      <c r="M32" s="392" t="n">
        <v>8.85</v>
      </c>
      <c r="N32" s="392" t="inlineStr">
        <is>
          <t>S</t>
        </is>
      </c>
      <c r="O32" s="392" t="inlineStr">
        <is>
          <t>PROMOVIDO</t>
        </is>
      </c>
    </row>
    <row r="33">
      <c r="A33" s="390" t="n">
        <v>32</v>
      </c>
      <c r="B33" s="390" t="inlineStr">
        <is>
          <t>0151599669</t>
        </is>
      </c>
      <c r="C33" s="390" t="inlineStr">
        <is>
          <t>VIZHCO CHILLOGALLI MAYRA MARIBEL</t>
        </is>
      </c>
      <c r="D33" s="401" t="n">
        <v>8.470000000000001</v>
      </c>
      <c r="E33" s="392" t="n">
        <v>8.550000000000001</v>
      </c>
      <c r="F33" s="401" t="n">
        <v>8.82</v>
      </c>
      <c r="G33" s="392" t="n">
        <v>8.93</v>
      </c>
      <c r="H33" s="392" t="n">
        <v>9.16</v>
      </c>
      <c r="I33" s="392" t="n">
        <v>9.039999999999999</v>
      </c>
      <c r="J33" s="392" t="n">
        <v>9.539999999999999</v>
      </c>
      <c r="K33" s="392" t="inlineStr">
        <is>
          <t>A-</t>
        </is>
      </c>
      <c r="L33" s="392" t="inlineStr">
        <is>
          <t>A-</t>
        </is>
      </c>
      <c r="M33" s="392" t="n">
        <v>8.93</v>
      </c>
      <c r="N33" s="392" t="inlineStr">
        <is>
          <t>S</t>
        </is>
      </c>
      <c r="O33" s="392" t="inlineStr">
        <is>
          <t>PROMOVIDO</t>
        </is>
      </c>
    </row>
    <row r="34">
      <c r="A34" s="390" t="n">
        <v>33</v>
      </c>
      <c r="B34" s="390" t="inlineStr">
        <is>
          <t>E003238776</t>
        </is>
      </c>
      <c r="C34" s="391" t="inlineStr">
        <is>
          <t>YAUSEN LITARDO ANELIZ DEL ROCIO</t>
        </is>
      </c>
      <c r="D34" s="401" t="n">
        <v>7.93</v>
      </c>
      <c r="E34" s="392" t="n">
        <v>7.44</v>
      </c>
      <c r="F34" s="402" t="n">
        <v>7.44</v>
      </c>
      <c r="G34" s="392" t="n">
        <v>8.050000000000001</v>
      </c>
      <c r="H34" s="392" t="n">
        <v>7.4</v>
      </c>
      <c r="I34" s="392" t="n">
        <v>8.32</v>
      </c>
      <c r="J34" s="392" t="n">
        <v>8.33</v>
      </c>
      <c r="K34" s="392" t="inlineStr">
        <is>
          <t>B+</t>
        </is>
      </c>
      <c r="L34" s="392" t="inlineStr">
        <is>
          <t>A-</t>
        </is>
      </c>
      <c r="M34" s="393" t="n">
        <v>7.84</v>
      </c>
      <c r="N34" s="392" t="inlineStr">
        <is>
          <t>S</t>
        </is>
      </c>
      <c r="O34" s="392" t="inlineStr">
        <is>
          <t>PROMOVIDO</t>
        </is>
      </c>
    </row>
    <row r="35">
      <c r="A35" s="390" t="n">
        <v>34</v>
      </c>
      <c r="B35" s="390" t="inlineStr">
        <is>
          <t>0151494077</t>
        </is>
      </c>
      <c r="C35" s="390" t="inlineStr">
        <is>
          <t>YUNGA SOLANO JOSUE MATEO</t>
        </is>
      </c>
      <c r="D35" s="401" t="n">
        <v>9.720000000000001</v>
      </c>
      <c r="E35" s="392" t="n">
        <v>9.43</v>
      </c>
      <c r="F35" s="401" t="n">
        <v>9.67</v>
      </c>
      <c r="G35" s="392" t="n">
        <v>9.69</v>
      </c>
      <c r="H35" s="392" t="n">
        <v>9.66</v>
      </c>
      <c r="I35" s="392" t="n">
        <v>9.66</v>
      </c>
      <c r="J35" s="392" t="n">
        <v>9.66</v>
      </c>
      <c r="K35" s="392" t="inlineStr">
        <is>
          <t>A-</t>
        </is>
      </c>
      <c r="L35" s="392" t="inlineStr">
        <is>
          <t>A+</t>
        </is>
      </c>
      <c r="M35" s="392" t="n">
        <v>9.640000000000001</v>
      </c>
      <c r="N35" s="392" t="inlineStr">
        <is>
          <t>S</t>
        </is>
      </c>
      <c r="O35" s="392" t="inlineStr">
        <is>
          <t>PROMOVIDO</t>
        </is>
      </c>
    </row>
    <row r="36">
      <c r="A36" s="403" t="n">
        <v>35</v>
      </c>
      <c r="B36" s="403" t="n"/>
      <c r="C36" s="403" t="n"/>
      <c r="D36" s="404" t="n">
        <v>279.41</v>
      </c>
      <c r="E36" s="404" t="n">
        <v>277</v>
      </c>
      <c r="F36" s="404" t="n">
        <v>276.93</v>
      </c>
      <c r="G36" s="404" t="n">
        <v>279.91</v>
      </c>
      <c r="H36" s="404" t="n">
        <v>284.75</v>
      </c>
      <c r="I36" s="404" t="n">
        <v>281.3</v>
      </c>
      <c r="J36" s="404" t="n">
        <v>293.89</v>
      </c>
      <c r="K36" s="404" t="n"/>
      <c r="L36" s="404" t="n"/>
      <c r="M36" s="404" t="n">
        <v>281.86</v>
      </c>
      <c r="N36" s="404" t="n"/>
      <c r="O36" s="404" t="n"/>
    </row>
    <row r="37">
      <c r="A37" s="403" t="n">
        <v>36</v>
      </c>
      <c r="B37" s="403" t="n"/>
      <c r="C37" s="403" t="n"/>
      <c r="D37" s="404" t="n">
        <v>8.470000000000001</v>
      </c>
      <c r="E37" s="404" t="n">
        <v>8.390000000000001</v>
      </c>
      <c r="F37" s="404" t="n">
        <v>8.390000000000001</v>
      </c>
      <c r="G37" s="404" t="n">
        <v>8.48</v>
      </c>
      <c r="H37" s="404" t="n">
        <v>8.630000000000001</v>
      </c>
      <c r="I37" s="404" t="n">
        <v>8.52</v>
      </c>
      <c r="J37" s="404" t="n">
        <v>8.91</v>
      </c>
      <c r="K37" s="404" t="n"/>
      <c r="L37" s="404" t="n"/>
      <c r="M37" s="404" t="n">
        <v>8.539999999999999</v>
      </c>
      <c r="N37" s="404" t="n"/>
      <c r="O37" s="404" t="n"/>
    </row>
  </sheetData>
  <mergeCells count="4">
    <mergeCell ref="A1:C1"/>
    <mergeCell ref="K1:O1"/>
    <mergeCell ref="E1:F1"/>
    <mergeCell ref="H1:I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5" customWidth="1" style="225" min="2" max="2"/>
    <col width="45" customWidth="1" style="225" min="3" max="3"/>
    <col width="6" customWidth="1" style="225" min="4" max="4"/>
    <col width="6" customWidth="1" style="225" min="5" max="5"/>
    <col width="6" customWidth="1" style="225" min="6" max="6"/>
    <col width="6" customWidth="1" style="225" min="7" max="7"/>
    <col width="6" customWidth="1" style="225" min="8" max="8"/>
    <col width="6" customWidth="1" style="225" min="9" max="9"/>
    <col width="6" customWidth="1" style="225" min="10" max="10"/>
    <col width="6" customWidth="1" style="225" min="11" max="11"/>
    <col width="6" customWidth="1" style="225" min="12" max="12"/>
    <col width="6" customWidth="1" style="225" min="13" max="13"/>
    <col width="6" customWidth="1" style="225" min="14" max="14"/>
    <col width="13" customWidth="1" style="225" min="15" max="15"/>
  </cols>
  <sheetData>
    <row r="1" ht="40" customHeight="1" s="225">
      <c r="A1" s="372" t="inlineStr">
        <is>
          <t>DATOS INFORMATIVOS
ESTUDIANTES</t>
        </is>
      </c>
      <c r="D1" s="405" t="inlineStr">
        <is>
          <t>TUTOR</t>
        </is>
      </c>
      <c r="E1" s="376" t="inlineStr">
        <is>
          <t>LCDA. LUCÍA QUICHIMBO L.</t>
        </is>
      </c>
      <c r="G1" s="406" t="inlineStr">
        <is>
          <t>AÑO DE
BÁSICA</t>
        </is>
      </c>
      <c r="H1" s="407" t="inlineStr">
        <is>
          <t>SEXTO "A"</t>
        </is>
      </c>
      <c r="J1" s="375" t="inlineStr">
        <is>
          <t>JOR-
NADA</t>
        </is>
      </c>
      <c r="K1" s="408" t="inlineStr">
        <is>
          <t>VESPER-TINA</t>
        </is>
      </c>
    </row>
    <row r="2" ht="110" customHeight="1" s="225">
      <c r="A2" s="378" t="inlineStr">
        <is>
          <t>N°</t>
        </is>
      </c>
      <c r="B2" s="378" t="inlineStr">
        <is>
          <t>CÉDULA</t>
        </is>
      </c>
      <c r="C2" s="378" t="inlineStr">
        <is>
          <t>APELLIDOS/NOMBRES</t>
        </is>
      </c>
      <c r="D2" s="409" t="inlineStr">
        <is>
          <t>LENGUA Y
LITERATURA</t>
        </is>
      </c>
      <c r="E2" s="410" t="inlineStr">
        <is>
          <t>MATEMÁTICA</t>
        </is>
      </c>
      <c r="F2" s="411" t="inlineStr">
        <is>
          <t>CIENCIAS
NATURALES</t>
        </is>
      </c>
      <c r="G2" s="382" t="inlineStr">
        <is>
          <t>ESTUDIOS
SOCIALES</t>
        </is>
      </c>
      <c r="H2" s="412" t="inlineStr">
        <is>
          <t>INGLES</t>
        </is>
      </c>
      <c r="I2" s="384" t="inlineStr">
        <is>
          <t>EDUCACIÓN
CULTURAL Y
ARTÍSTICA</t>
        </is>
      </c>
      <c r="J2" s="385" t="inlineStr">
        <is>
          <t>EDUCACIÓN
FÍSICA</t>
        </is>
      </c>
      <c r="K2" s="413" t="inlineStr">
        <is>
          <t>ANIMACIÓN A LA
LECTURA</t>
        </is>
      </c>
      <c r="L2" s="384" t="inlineStr">
        <is>
          <t>CÍVICA Y
ACOMPAÑAMIENTO
INTEGRAL</t>
        </is>
      </c>
      <c r="M2" s="414" t="inlineStr">
        <is>
          <t>PROMEDIO</t>
        </is>
      </c>
      <c r="N2" s="415" t="inlineStr">
        <is>
          <t>COMPORTAMIENTO</t>
        </is>
      </c>
      <c r="O2" s="410" t="inlineStr">
        <is>
          <t>PROMOCIÓN</t>
        </is>
      </c>
    </row>
    <row r="3">
      <c r="A3" s="390" t="n">
        <v>1</v>
      </c>
      <c r="B3" s="390" t="inlineStr">
        <is>
          <t>015147328-7</t>
        </is>
      </c>
      <c r="C3" s="390" t="inlineStr">
        <is>
          <t>ALTAMIRANO CORDOVA JOSHUA ALESSANDRO</t>
        </is>
      </c>
      <c r="D3" s="392" t="n">
        <v>8.779999999999999</v>
      </c>
      <c r="E3" s="392" t="n">
        <v>8.279999999999999</v>
      </c>
      <c r="F3" s="392" t="n">
        <v>8.710000000000001</v>
      </c>
      <c r="G3" s="392" t="n">
        <v>8.42</v>
      </c>
      <c r="H3" s="392" t="n">
        <v>7.8</v>
      </c>
      <c r="I3" s="392" t="n">
        <v>8.07</v>
      </c>
      <c r="J3" s="392" t="n">
        <v>8.199999999999999</v>
      </c>
      <c r="K3" s="392" t="inlineStr">
        <is>
          <t>B+</t>
        </is>
      </c>
      <c r="L3" s="392" t="inlineStr">
        <is>
          <t>B+</t>
        </is>
      </c>
      <c r="M3" s="392" t="n">
        <v>8.32</v>
      </c>
      <c r="N3" s="392" t="inlineStr">
        <is>
          <t>S</t>
        </is>
      </c>
      <c r="O3" s="392" t="inlineStr">
        <is>
          <t>PROMOVIDO</t>
        </is>
      </c>
    </row>
    <row r="4">
      <c r="A4" s="390" t="n">
        <v>2</v>
      </c>
      <c r="B4" s="390" t="inlineStr">
        <is>
          <t>015148423-5</t>
        </is>
      </c>
      <c r="C4" s="390" t="inlineStr">
        <is>
          <t>BARBECHO PACHECO EMILIO JEREMÍAS</t>
        </is>
      </c>
      <c r="D4" s="392" t="n">
        <v>8.94</v>
      </c>
      <c r="E4" s="392" t="n">
        <v>8.17</v>
      </c>
      <c r="F4" s="392" t="n">
        <v>8.779999999999999</v>
      </c>
      <c r="G4" s="392" t="n">
        <v>9.06</v>
      </c>
      <c r="H4" s="392" t="n">
        <v>8.279999999999999</v>
      </c>
      <c r="I4" s="392" t="n">
        <v>8.4</v>
      </c>
      <c r="J4" s="392" t="n">
        <v>8.949999999999999</v>
      </c>
      <c r="K4" s="392" t="inlineStr">
        <is>
          <t>B+</t>
        </is>
      </c>
      <c r="L4" s="392" t="inlineStr">
        <is>
          <t>A+</t>
        </is>
      </c>
      <c r="M4" s="392" t="n">
        <v>8.65</v>
      </c>
      <c r="N4" s="392" t="inlineStr">
        <is>
          <t>S</t>
        </is>
      </c>
      <c r="O4" s="392" t="inlineStr">
        <is>
          <t>PROMOVIDO</t>
        </is>
      </c>
    </row>
    <row r="5">
      <c r="A5" s="390" t="n">
        <v>3</v>
      </c>
      <c r="B5" s="390" t="inlineStr">
        <is>
          <t>015136214-2</t>
        </is>
      </c>
      <c r="C5" s="390" t="inlineStr">
        <is>
          <t>BARBECHO TELLO VALERIA FERNANDA</t>
        </is>
      </c>
      <c r="D5" s="392" t="n">
        <v>9.279999999999999</v>
      </c>
      <c r="E5" s="392" t="n">
        <v>8.59</v>
      </c>
      <c r="F5" s="392" t="n">
        <v>9.109999999999999</v>
      </c>
      <c r="G5" s="392" t="n">
        <v>9.380000000000001</v>
      </c>
      <c r="H5" s="392" t="n">
        <v>8.52</v>
      </c>
      <c r="I5" s="392" t="n">
        <v>9.4</v>
      </c>
      <c r="J5" s="392" t="n">
        <v>9.380000000000001</v>
      </c>
      <c r="K5" s="392" t="inlineStr">
        <is>
          <t>B+</t>
        </is>
      </c>
      <c r="L5" s="392" t="inlineStr">
        <is>
          <t>A+</t>
        </is>
      </c>
      <c r="M5" s="392" t="n">
        <v>9.1</v>
      </c>
      <c r="N5" s="392" t="inlineStr">
        <is>
          <t>S</t>
        </is>
      </c>
      <c r="O5" s="392" t="inlineStr">
        <is>
          <t>PROMOVIDO</t>
        </is>
      </c>
    </row>
    <row r="6">
      <c r="A6" s="390" t="n">
        <v>4</v>
      </c>
      <c r="B6" s="390" t="inlineStr">
        <is>
          <t>015133595-7</t>
        </is>
      </c>
      <c r="C6" s="390" t="inlineStr">
        <is>
          <t>CAMPOVERDE ORELLANA JENNYFER FERNANDA</t>
        </is>
      </c>
      <c r="D6" s="392" t="n">
        <v>9.720000000000001</v>
      </c>
      <c r="E6" s="392" t="n">
        <v>9.66</v>
      </c>
      <c r="F6" s="392" t="n">
        <v>9.6</v>
      </c>
      <c r="G6" s="392" t="n">
        <v>9.619999999999999</v>
      </c>
      <c r="H6" s="392" t="n">
        <v>9.82</v>
      </c>
      <c r="I6" s="392" t="n">
        <v>9.640000000000001</v>
      </c>
      <c r="J6" s="392" t="n">
        <v>9.75</v>
      </c>
      <c r="K6" s="392" t="inlineStr">
        <is>
          <t>A-</t>
        </is>
      </c>
      <c r="L6" s="392" t="inlineStr">
        <is>
          <t>A+</t>
        </is>
      </c>
      <c r="M6" s="392" t="n">
        <v>9.69</v>
      </c>
      <c r="N6" s="392" t="inlineStr">
        <is>
          <t>S</t>
        </is>
      </c>
      <c r="O6" s="392" t="inlineStr">
        <is>
          <t>PROMOVIDO</t>
        </is>
      </c>
    </row>
    <row r="7">
      <c r="A7" s="390" t="n">
        <v>5</v>
      </c>
      <c r="B7" s="390" t="inlineStr">
        <is>
          <t>015148060-5</t>
        </is>
      </c>
      <c r="C7" s="390" t="inlineStr">
        <is>
          <t>CARDENAS CAMPOVERDE GEOVANNY STEEVEN</t>
        </is>
      </c>
      <c r="D7" s="392" t="n">
        <v>8.67</v>
      </c>
      <c r="E7" s="392" t="n">
        <v>8.16</v>
      </c>
      <c r="F7" s="392" t="n">
        <v>7.97</v>
      </c>
      <c r="G7" s="392" t="n">
        <v>7.81</v>
      </c>
      <c r="H7" s="392" t="n">
        <v>8.67</v>
      </c>
      <c r="I7" s="392" t="n">
        <v>7.91</v>
      </c>
      <c r="J7" s="392" t="n">
        <v>9.289999999999999</v>
      </c>
      <c r="K7" s="392" t="inlineStr">
        <is>
          <t>A-</t>
        </is>
      </c>
      <c r="L7" s="392" t="inlineStr">
        <is>
          <t>B+</t>
        </is>
      </c>
      <c r="M7" s="392" t="n">
        <v>8.35</v>
      </c>
      <c r="N7" s="392" t="inlineStr">
        <is>
          <t>S</t>
        </is>
      </c>
      <c r="O7" s="392" t="inlineStr">
        <is>
          <t>PROMOVIDO</t>
        </is>
      </c>
    </row>
    <row r="8">
      <c r="A8" s="390" t="n">
        <v>6</v>
      </c>
      <c r="B8" s="390" t="inlineStr">
        <is>
          <t>015137630-8</t>
        </is>
      </c>
      <c r="C8" s="390" t="inlineStr">
        <is>
          <t>CHACA CAMPOVERDE YAGO LIONEL</t>
        </is>
      </c>
      <c r="D8" s="392" t="n">
        <v>8.25</v>
      </c>
      <c r="E8" s="392" t="n">
        <v>7.97</v>
      </c>
      <c r="F8" s="392" t="n">
        <v>7.91</v>
      </c>
      <c r="G8" s="392" t="n">
        <v>7.98</v>
      </c>
      <c r="H8" s="392" t="n">
        <v>7.94</v>
      </c>
      <c r="I8" s="392" t="n">
        <v>8.1</v>
      </c>
      <c r="J8" s="392" t="n">
        <v>8.57</v>
      </c>
      <c r="K8" s="392" t="inlineStr">
        <is>
          <t>B+</t>
        </is>
      </c>
      <c r="L8" s="392" t="inlineStr">
        <is>
          <t>B+</t>
        </is>
      </c>
      <c r="M8" s="392" t="n">
        <v>8.1</v>
      </c>
      <c r="N8" s="392" t="inlineStr">
        <is>
          <t>S</t>
        </is>
      </c>
      <c r="O8" s="392" t="inlineStr">
        <is>
          <t>PROMOVIDO</t>
        </is>
      </c>
    </row>
    <row r="9">
      <c r="A9" s="390" t="n">
        <v>7</v>
      </c>
      <c r="B9" s="390" t="inlineStr">
        <is>
          <t>015140919-0</t>
        </is>
      </c>
      <c r="C9" s="390" t="inlineStr">
        <is>
          <t>CUMBE ROMERO ESTHER ALEXANDRA</t>
        </is>
      </c>
      <c r="D9" s="392" t="n">
        <v>8.85</v>
      </c>
      <c r="E9" s="392" t="n">
        <v>8.17</v>
      </c>
      <c r="F9" s="392" t="n">
        <v>9.039999999999999</v>
      </c>
      <c r="G9" s="392" t="n">
        <v>8.800000000000001</v>
      </c>
      <c r="H9" s="392" t="n">
        <v>8.720000000000001</v>
      </c>
      <c r="I9" s="392" t="n">
        <v>8.81</v>
      </c>
      <c r="J9" s="392" t="n">
        <v>9.4</v>
      </c>
      <c r="K9" s="392" t="inlineStr">
        <is>
          <t>A-</t>
        </is>
      </c>
      <c r="L9" s="392" t="inlineStr">
        <is>
          <t>A-</t>
        </is>
      </c>
      <c r="M9" s="392" t="n">
        <v>8.83</v>
      </c>
      <c r="N9" s="392" t="inlineStr">
        <is>
          <t>S</t>
        </is>
      </c>
      <c r="O9" s="392" t="inlineStr">
        <is>
          <t>PROMOVIDO</t>
        </is>
      </c>
    </row>
    <row r="10">
      <c r="A10" s="390" t="n">
        <v>8</v>
      </c>
      <c r="B10" s="390" t="inlineStr">
        <is>
          <t>1050514478</t>
        </is>
      </c>
      <c r="C10" s="390" t="inlineStr">
        <is>
          <t>ECHEVERRY ROBLES JUAN DIEGO</t>
        </is>
      </c>
      <c r="D10" s="392" t="n">
        <v>8.57</v>
      </c>
      <c r="E10" s="392" t="n">
        <v>8.029999999999999</v>
      </c>
      <c r="F10" s="392" t="n">
        <v>8.76</v>
      </c>
      <c r="G10" s="392" t="n">
        <v>8.18</v>
      </c>
      <c r="H10" s="392" t="n">
        <v>7.96</v>
      </c>
      <c r="I10" s="392" t="n">
        <v>9.18</v>
      </c>
      <c r="J10" s="392" t="n">
        <v>8.779999999999999</v>
      </c>
      <c r="K10" s="392" t="inlineStr">
        <is>
          <t>B+</t>
        </is>
      </c>
      <c r="L10" s="392" t="inlineStr">
        <is>
          <t>B+</t>
        </is>
      </c>
      <c r="M10" s="392" t="n">
        <v>8.49</v>
      </c>
      <c r="N10" s="392" t="inlineStr">
        <is>
          <t>S</t>
        </is>
      </c>
      <c r="O10" s="392" t="inlineStr">
        <is>
          <t>PROMOVIDO</t>
        </is>
      </c>
    </row>
    <row r="11">
      <c r="A11" s="390" t="n">
        <v>9</v>
      </c>
      <c r="B11" s="390" t="inlineStr">
        <is>
          <t>0151355609</t>
        </is>
      </c>
      <c r="C11" s="390" t="inlineStr">
        <is>
          <t>ESPINOZA NAULA LIAM DAMIAN</t>
        </is>
      </c>
      <c r="D11" s="392" t="n">
        <v>8.51</v>
      </c>
      <c r="E11" s="392" t="n">
        <v>7.71</v>
      </c>
      <c r="F11" s="392" t="n">
        <v>7.94</v>
      </c>
      <c r="G11" s="392" t="n">
        <v>8.25</v>
      </c>
      <c r="H11" s="392" t="n">
        <v>8.43</v>
      </c>
      <c r="I11" s="392" t="n">
        <v>8.380000000000001</v>
      </c>
      <c r="J11" s="392" t="n">
        <v>8.369999999999999</v>
      </c>
      <c r="K11" s="392" t="inlineStr">
        <is>
          <t>B+</t>
        </is>
      </c>
      <c r="L11" s="392" t="inlineStr">
        <is>
          <t>B+</t>
        </is>
      </c>
      <c r="M11" s="392" t="n">
        <v>8.23</v>
      </c>
      <c r="N11" s="392" t="inlineStr">
        <is>
          <t>S</t>
        </is>
      </c>
      <c r="O11" s="392" t="inlineStr">
        <is>
          <t>PROMOVIDO</t>
        </is>
      </c>
    </row>
    <row r="12">
      <c r="A12" s="390" t="n">
        <v>10</v>
      </c>
      <c r="B12" s="390" t="inlineStr">
        <is>
          <t>015131316-0</t>
        </is>
      </c>
      <c r="C12" s="390" t="inlineStr">
        <is>
          <t>GUAMAN ZHIRAP CARLOS LUIS</t>
        </is>
      </c>
      <c r="D12" s="392" t="n">
        <v>9.039999999999999</v>
      </c>
      <c r="E12" s="392" t="n">
        <v>8.73</v>
      </c>
      <c r="F12" s="392" t="n">
        <v>9.109999999999999</v>
      </c>
      <c r="G12" s="392" t="n">
        <v>8.529999999999999</v>
      </c>
      <c r="H12" s="392" t="n">
        <v>8.4</v>
      </c>
      <c r="I12" s="392" t="n">
        <v>9.02</v>
      </c>
      <c r="J12" s="392" t="n">
        <v>9.390000000000001</v>
      </c>
      <c r="K12" s="392" t="inlineStr">
        <is>
          <t>A-</t>
        </is>
      </c>
      <c r="L12" s="392" t="inlineStr">
        <is>
          <t>A-</t>
        </is>
      </c>
      <c r="M12" s="392" t="n">
        <v>8.890000000000001</v>
      </c>
      <c r="N12" s="392" t="inlineStr">
        <is>
          <t>S</t>
        </is>
      </c>
      <c r="O12" s="392" t="inlineStr">
        <is>
          <t>PROMOVIDO</t>
        </is>
      </c>
    </row>
    <row r="13">
      <c r="A13" s="390" t="n">
        <v>11</v>
      </c>
      <c r="B13" s="390" t="inlineStr">
        <is>
          <t>305038983-6</t>
        </is>
      </c>
      <c r="C13" s="390" t="inlineStr">
        <is>
          <t>GUANOCHANGA QUISHPE CAMILA</t>
        </is>
      </c>
      <c r="D13" s="392" t="n">
        <v>8.24</v>
      </c>
      <c r="E13" s="392" t="n">
        <v>7.59</v>
      </c>
      <c r="F13" s="392" t="n">
        <v>8.220000000000001</v>
      </c>
      <c r="G13" s="392" t="n">
        <v>7.97</v>
      </c>
      <c r="H13" s="392" t="n">
        <v>7.24</v>
      </c>
      <c r="I13" s="392" t="n">
        <v>7.97</v>
      </c>
      <c r="J13" s="392" t="n">
        <v>9</v>
      </c>
      <c r="K13" s="392" t="inlineStr">
        <is>
          <t>A-</t>
        </is>
      </c>
      <c r="L13" s="392" t="inlineStr">
        <is>
          <t>B-</t>
        </is>
      </c>
      <c r="M13" s="392" t="n">
        <v>8.029999999999999</v>
      </c>
      <c r="N13" s="392" t="inlineStr">
        <is>
          <t>S</t>
        </is>
      </c>
      <c r="O13" s="392" t="inlineStr">
        <is>
          <t>PROMOVIDO</t>
        </is>
      </c>
    </row>
    <row r="14">
      <c r="A14" s="390" t="n">
        <v>12</v>
      </c>
      <c r="B14" s="390" t="inlineStr">
        <is>
          <t>015149276-6</t>
        </is>
      </c>
      <c r="C14" s="390" t="inlineStr">
        <is>
          <t>GUANUCHI VILLA KEYLA CATALINA</t>
        </is>
      </c>
      <c r="D14" s="392" t="n">
        <v>8.6</v>
      </c>
      <c r="E14" s="392" t="n">
        <v>8.380000000000001</v>
      </c>
      <c r="F14" s="392" t="n">
        <v>8.81</v>
      </c>
      <c r="G14" s="392" t="n">
        <v>8.619999999999999</v>
      </c>
      <c r="H14" s="392" t="n">
        <v>8</v>
      </c>
      <c r="I14" s="392" t="n">
        <v>9.32</v>
      </c>
      <c r="J14" s="392" t="n">
        <v>9.32</v>
      </c>
      <c r="K14" s="392" t="inlineStr">
        <is>
          <t>A-</t>
        </is>
      </c>
      <c r="L14" s="392" t="inlineStr">
        <is>
          <t>A-</t>
        </is>
      </c>
      <c r="M14" s="392" t="n">
        <v>8.720000000000001</v>
      </c>
      <c r="N14" s="392" t="inlineStr">
        <is>
          <t>S</t>
        </is>
      </c>
      <c r="O14" s="392" t="inlineStr">
        <is>
          <t>PROMOVIDO</t>
        </is>
      </c>
    </row>
    <row r="15">
      <c r="A15" s="390" t="n">
        <v>13</v>
      </c>
      <c r="B15" s="390" t="inlineStr">
        <is>
          <t>015146627-3</t>
        </is>
      </c>
      <c r="C15" s="390" t="inlineStr">
        <is>
          <t>GUZMAN CORDOVA MILAN DANIEL</t>
        </is>
      </c>
      <c r="D15" s="392" t="n">
        <v>8.84</v>
      </c>
      <c r="E15" s="392" t="n">
        <v>8.15</v>
      </c>
      <c r="F15" s="392" t="n">
        <v>8.74</v>
      </c>
      <c r="G15" s="392" t="n">
        <v>8.68</v>
      </c>
      <c r="H15" s="392" t="n">
        <v>8.94</v>
      </c>
      <c r="I15" s="392" t="n">
        <v>8.52</v>
      </c>
      <c r="J15" s="392" t="n">
        <v>9.1</v>
      </c>
      <c r="K15" s="392" t="inlineStr">
        <is>
          <t>A-</t>
        </is>
      </c>
      <c r="L15" s="392" t="inlineStr">
        <is>
          <t>A-</t>
        </is>
      </c>
      <c r="M15" s="392" t="n">
        <v>8.710000000000001</v>
      </c>
      <c r="N15" s="392" t="inlineStr">
        <is>
          <t>S</t>
        </is>
      </c>
      <c r="O15" s="392" t="inlineStr">
        <is>
          <t>PROMOVIDO</t>
        </is>
      </c>
    </row>
    <row r="16">
      <c r="A16" s="390" t="n">
        <v>14</v>
      </c>
      <c r="B16" s="390" t="inlineStr">
        <is>
          <t>0151316759</t>
        </is>
      </c>
      <c r="C16" s="390" t="inlineStr">
        <is>
          <t>LATA PALLAZHCO BRYANNA MARIBEL</t>
        </is>
      </c>
      <c r="D16" s="392" t="n">
        <v>9.130000000000001</v>
      </c>
      <c r="E16" s="392" t="n">
        <v>9.300000000000001</v>
      </c>
      <c r="F16" s="392" t="n">
        <v>9.43</v>
      </c>
      <c r="G16" s="392" t="n">
        <v>9.539999999999999</v>
      </c>
      <c r="H16" s="392" t="n">
        <v>8.619999999999999</v>
      </c>
      <c r="I16" s="392" t="n">
        <v>9.529999999999999</v>
      </c>
      <c r="J16" s="392" t="n">
        <v>9.74</v>
      </c>
      <c r="K16" s="392" t="inlineStr">
        <is>
          <t>A-</t>
        </is>
      </c>
      <c r="L16" s="392" t="inlineStr">
        <is>
          <t>A+</t>
        </is>
      </c>
      <c r="M16" s="392" t="n">
        <v>9.33</v>
      </c>
      <c r="N16" s="392" t="inlineStr">
        <is>
          <t>S</t>
        </is>
      </c>
      <c r="O16" s="392" t="inlineStr">
        <is>
          <t>PROMOVIDO</t>
        </is>
      </c>
    </row>
    <row r="17">
      <c r="A17" s="390" t="n">
        <v>15</v>
      </c>
      <c r="B17" s="390" t="inlineStr">
        <is>
          <t>0151423084</t>
        </is>
      </c>
      <c r="C17" s="390" t="inlineStr">
        <is>
          <t>LEMA SINCHI EDGAR MATEO</t>
        </is>
      </c>
      <c r="D17" s="392" t="n">
        <v>8.390000000000001</v>
      </c>
      <c r="E17" s="392" t="n">
        <v>8.359999999999999</v>
      </c>
      <c r="F17" s="392" t="n">
        <v>8.65</v>
      </c>
      <c r="G17" s="392" t="n">
        <v>8.289999999999999</v>
      </c>
      <c r="H17" s="392" t="n">
        <v>8.31</v>
      </c>
      <c r="I17" s="392" t="n">
        <v>8.58</v>
      </c>
      <c r="J17" s="392" t="n">
        <v>9.369999999999999</v>
      </c>
      <c r="K17" s="392" t="inlineStr">
        <is>
          <t>B+</t>
        </is>
      </c>
      <c r="L17" s="392" t="inlineStr">
        <is>
          <t>B+</t>
        </is>
      </c>
      <c r="M17" s="392" t="n">
        <v>8.56</v>
      </c>
      <c r="N17" s="392" t="inlineStr">
        <is>
          <t>S</t>
        </is>
      </c>
      <c r="O17" s="392" t="inlineStr">
        <is>
          <t>PROMOVIDO</t>
        </is>
      </c>
    </row>
    <row r="18">
      <c r="A18" s="390" t="n">
        <v>16</v>
      </c>
      <c r="B18" s="390" t="inlineStr">
        <is>
          <t>0151402997</t>
        </is>
      </c>
      <c r="C18" s="390" t="inlineStr">
        <is>
          <t>MACHADO OCHOA MELANIE KATRINA</t>
        </is>
      </c>
      <c r="D18" s="392" t="n">
        <v>9.460000000000001</v>
      </c>
      <c r="E18" s="392" t="n">
        <v>9.289999999999999</v>
      </c>
      <c r="F18" s="392" t="n">
        <v>9.460000000000001</v>
      </c>
      <c r="G18" s="392" t="n">
        <v>9.08</v>
      </c>
      <c r="H18" s="392" t="n">
        <v>9.91</v>
      </c>
      <c r="I18" s="392" t="n">
        <v>9.550000000000001</v>
      </c>
      <c r="J18" s="392" t="n">
        <v>9.74</v>
      </c>
      <c r="K18" s="392" t="inlineStr">
        <is>
          <t>A-</t>
        </is>
      </c>
      <c r="L18" s="392" t="inlineStr">
        <is>
          <t>A+</t>
        </is>
      </c>
      <c r="M18" s="392" t="n">
        <v>9.5</v>
      </c>
      <c r="N18" s="392" t="inlineStr">
        <is>
          <t>S</t>
        </is>
      </c>
      <c r="O18" s="392" t="inlineStr">
        <is>
          <t>PROMOVIDO</t>
        </is>
      </c>
    </row>
    <row r="19">
      <c r="A19" s="390" t="n">
        <v>17</v>
      </c>
      <c r="B19" s="390" t="inlineStr">
        <is>
          <t>0151452869</t>
        </is>
      </c>
      <c r="C19" s="390" t="inlineStr">
        <is>
          <t>MALLA YARI JONATHAN JAVIER</t>
        </is>
      </c>
      <c r="D19" s="392" t="n">
        <v>7.25</v>
      </c>
      <c r="E19" s="392" t="n">
        <v>7.24</v>
      </c>
      <c r="F19" s="392" t="n">
        <v>7.67</v>
      </c>
      <c r="G19" s="392" t="n">
        <v>7.13</v>
      </c>
      <c r="H19" s="392" t="n">
        <v>7.24</v>
      </c>
      <c r="I19" s="392" t="n">
        <v>7.25</v>
      </c>
      <c r="J19" s="392" t="n">
        <v>7.51</v>
      </c>
      <c r="K19" s="392" t="inlineStr">
        <is>
          <t>B+</t>
        </is>
      </c>
      <c r="L19" s="392" t="inlineStr">
        <is>
          <t>B-</t>
        </is>
      </c>
      <c r="M19" s="392" t="n">
        <v>7.33</v>
      </c>
      <c r="N19" s="392" t="inlineStr">
        <is>
          <t>S</t>
        </is>
      </c>
      <c r="O19" s="392" t="inlineStr">
        <is>
          <t>PROMOVIDO</t>
        </is>
      </c>
    </row>
    <row r="20">
      <c r="A20" s="390" t="n">
        <v>18</v>
      </c>
      <c r="B20" s="390" t="inlineStr">
        <is>
          <t>0151263654</t>
        </is>
      </c>
      <c r="C20" s="390" t="inlineStr">
        <is>
          <t>MEJIA OTAVALO DYLAN FERNANDO</t>
        </is>
      </c>
      <c r="D20" s="392" t="n">
        <v>8.619999999999999</v>
      </c>
      <c r="E20" s="392" t="n">
        <v>8.43</v>
      </c>
      <c r="F20" s="392" t="n">
        <v>8.369999999999999</v>
      </c>
      <c r="G20" s="392" t="n">
        <v>8.279999999999999</v>
      </c>
      <c r="H20" s="392" t="n">
        <v>9.210000000000001</v>
      </c>
      <c r="I20" s="392" t="n">
        <v>8.99</v>
      </c>
      <c r="J20" s="392" t="n">
        <v>8.960000000000001</v>
      </c>
      <c r="K20" s="392" t="inlineStr">
        <is>
          <t>B+</t>
        </is>
      </c>
      <c r="L20" s="392" t="inlineStr">
        <is>
          <t>A+</t>
        </is>
      </c>
      <c r="M20" s="392" t="n">
        <v>8.69</v>
      </c>
      <c r="N20" s="392" t="inlineStr">
        <is>
          <t>S</t>
        </is>
      </c>
      <c r="O20" s="392" t="inlineStr">
        <is>
          <t>PROMOVIDO</t>
        </is>
      </c>
    </row>
    <row r="21">
      <c r="A21" s="390" t="n">
        <v>19</v>
      </c>
      <c r="B21" s="390" t="inlineStr">
        <is>
          <t>0151361557</t>
        </is>
      </c>
      <c r="C21" s="390" t="inlineStr">
        <is>
          <t>MEJIA SIGUENCIA EDISON JHUNNEFY</t>
        </is>
      </c>
      <c r="D21" s="392" t="n">
        <v>8.57</v>
      </c>
      <c r="E21" s="392" t="n">
        <v>8.33</v>
      </c>
      <c r="F21" s="392" t="n">
        <v>8.52</v>
      </c>
      <c r="G21" s="392" t="n">
        <v>8.27</v>
      </c>
      <c r="H21" s="392" t="n">
        <v>8.630000000000001</v>
      </c>
      <c r="I21" s="392" t="n">
        <v>8.779999999999999</v>
      </c>
      <c r="J21" s="392" t="n">
        <v>8.67</v>
      </c>
      <c r="K21" s="392" t="inlineStr">
        <is>
          <t>B+</t>
        </is>
      </c>
      <c r="L21" s="392" t="inlineStr">
        <is>
          <t>A+</t>
        </is>
      </c>
      <c r="M21" s="392" t="n">
        <v>8.539999999999999</v>
      </c>
      <c r="N21" s="392" t="inlineStr">
        <is>
          <t>S</t>
        </is>
      </c>
      <c r="O21" s="392" t="inlineStr">
        <is>
          <t>PROMOVIDO</t>
        </is>
      </c>
    </row>
    <row r="22">
      <c r="A22" s="390" t="n">
        <v>20</v>
      </c>
      <c r="B22" s="390" t="inlineStr">
        <is>
          <t>0151478310</t>
        </is>
      </c>
      <c r="C22" s="390" t="inlineStr">
        <is>
          <t>MERCHÁN TUMBACO ARIANA MICHELLE</t>
        </is>
      </c>
      <c r="D22" s="392" t="n">
        <v>8.94</v>
      </c>
      <c r="E22" s="392" t="n">
        <v>8.77</v>
      </c>
      <c r="F22" s="392" t="n">
        <v>9.43</v>
      </c>
      <c r="G22" s="392" t="n">
        <v>9.220000000000001</v>
      </c>
      <c r="H22" s="392" t="n">
        <v>9.32</v>
      </c>
      <c r="I22" s="392" t="n">
        <v>8.93</v>
      </c>
      <c r="J22" s="392" t="n">
        <v>9.67</v>
      </c>
      <c r="K22" s="392" t="inlineStr">
        <is>
          <t>A-</t>
        </is>
      </c>
      <c r="L22" s="392" t="inlineStr">
        <is>
          <t>A+</t>
        </is>
      </c>
      <c r="M22" s="392" t="n">
        <v>9.18</v>
      </c>
      <c r="N22" s="392" t="inlineStr">
        <is>
          <t>S</t>
        </is>
      </c>
      <c r="O22" s="392" t="inlineStr">
        <is>
          <t>PROMOVIDO</t>
        </is>
      </c>
    </row>
    <row r="23">
      <c r="A23" s="390" t="n">
        <v>21</v>
      </c>
      <c r="B23" s="390" t="inlineStr">
        <is>
          <t>0151423241</t>
        </is>
      </c>
      <c r="C23" s="390" t="inlineStr">
        <is>
          <t>MORA SIGUENZA JHON PAUL</t>
        </is>
      </c>
      <c r="D23" s="392" t="n">
        <v>7.33</v>
      </c>
      <c r="E23" s="392" t="n">
        <v>7.3</v>
      </c>
      <c r="F23" s="392" t="n">
        <v>7.52</v>
      </c>
      <c r="G23" s="392" t="n">
        <v>7.38</v>
      </c>
      <c r="H23" s="392" t="n">
        <v>7.31</v>
      </c>
      <c r="I23" s="392" t="n">
        <v>7.94</v>
      </c>
      <c r="J23" s="392" t="n">
        <v>8.02</v>
      </c>
      <c r="K23" s="392" t="inlineStr">
        <is>
          <t>B-</t>
        </is>
      </c>
      <c r="L23" s="392" t="inlineStr">
        <is>
          <t>B-</t>
        </is>
      </c>
      <c r="M23" s="392" t="n">
        <v>7.55</v>
      </c>
      <c r="N23" s="392" t="inlineStr">
        <is>
          <t>S</t>
        </is>
      </c>
      <c r="O23" s="392" t="inlineStr">
        <is>
          <t>PROMOVIDO</t>
        </is>
      </c>
    </row>
    <row r="24">
      <c r="A24" s="390" t="n">
        <v>22</v>
      </c>
      <c r="B24" s="390" t="inlineStr">
        <is>
          <t>015133715-1</t>
        </is>
      </c>
      <c r="C24" s="390" t="inlineStr">
        <is>
          <t>PALLAZHCO CAMPOVERDE SULAY JORDANA</t>
        </is>
      </c>
      <c r="D24" s="392" t="n">
        <v>8.85</v>
      </c>
      <c r="E24" s="392" t="n">
        <v>8.43</v>
      </c>
      <c r="F24" s="392" t="n">
        <v>9.029999999999999</v>
      </c>
      <c r="G24" s="392" t="n">
        <v>8.94</v>
      </c>
      <c r="H24" s="392" t="n">
        <v>7.91</v>
      </c>
      <c r="I24" s="392" t="n">
        <v>8.65</v>
      </c>
      <c r="J24" s="392" t="n">
        <v>9.56</v>
      </c>
      <c r="K24" s="392" t="inlineStr">
        <is>
          <t>A-</t>
        </is>
      </c>
      <c r="L24" s="392" t="inlineStr">
        <is>
          <t>A-</t>
        </is>
      </c>
      <c r="M24" s="392" t="n">
        <v>8.77</v>
      </c>
      <c r="N24" s="392" t="inlineStr">
        <is>
          <t>S</t>
        </is>
      </c>
      <c r="O24" s="392" t="inlineStr">
        <is>
          <t>PROMOVIDO</t>
        </is>
      </c>
    </row>
    <row r="25">
      <c r="A25" s="390" t="n">
        <v>23</v>
      </c>
      <c r="B25" s="390" t="inlineStr">
        <is>
          <t>015141573-4</t>
        </is>
      </c>
      <c r="C25" s="390" t="inlineStr">
        <is>
          <t>PERES PERALTA ANTHONY SEBASTIAN</t>
        </is>
      </c>
      <c r="D25" s="392" t="n">
        <v>7.2</v>
      </c>
      <c r="E25" s="392" t="n">
        <v>7.12</v>
      </c>
      <c r="F25" s="392" t="n">
        <v>7.63</v>
      </c>
      <c r="G25" s="392" t="n">
        <v>7.71</v>
      </c>
      <c r="H25" s="392" t="n">
        <v>7.34</v>
      </c>
      <c r="I25" s="392" t="n">
        <v>8.07</v>
      </c>
      <c r="J25" s="392" t="n">
        <v>8</v>
      </c>
      <c r="K25" s="392" t="inlineStr">
        <is>
          <t>B-</t>
        </is>
      </c>
      <c r="L25" s="392" t="inlineStr">
        <is>
          <t>B-</t>
        </is>
      </c>
      <c r="M25" s="392" t="n">
        <v>7.58</v>
      </c>
      <c r="N25" s="392" t="inlineStr">
        <is>
          <t>S</t>
        </is>
      </c>
      <c r="O25" s="392" t="inlineStr">
        <is>
          <t>PROMOVIDO</t>
        </is>
      </c>
    </row>
    <row r="26">
      <c r="A26" s="390" t="n">
        <v>24</v>
      </c>
      <c r="B26" s="390" t="inlineStr">
        <is>
          <t>0151342953</t>
        </is>
      </c>
      <c r="C26" s="390" t="inlineStr">
        <is>
          <t>QUINDE SARMIENTO MATIAS ALEXANDER</t>
        </is>
      </c>
      <c r="D26" s="392" t="n">
        <v>7.28</v>
      </c>
      <c r="E26" s="392" t="n">
        <v>7.19</v>
      </c>
      <c r="F26" s="392" t="n">
        <v>8.25</v>
      </c>
      <c r="G26" s="392" t="n">
        <v>7.69</v>
      </c>
      <c r="H26" s="392" t="n">
        <v>7.35</v>
      </c>
      <c r="I26" s="392" t="n">
        <v>7.83</v>
      </c>
      <c r="J26" s="392" t="n">
        <v>8.699999999999999</v>
      </c>
      <c r="K26" s="392" t="inlineStr">
        <is>
          <t>B+</t>
        </is>
      </c>
      <c r="L26" s="392" t="inlineStr">
        <is>
          <t>B-</t>
        </is>
      </c>
      <c r="M26" s="392" t="n">
        <v>7.76</v>
      </c>
      <c r="N26" s="392" t="inlineStr">
        <is>
          <t>S</t>
        </is>
      </c>
      <c r="O26" s="392" t="inlineStr">
        <is>
          <t>PROMOVIDO</t>
        </is>
      </c>
    </row>
    <row r="27">
      <c r="A27" s="390" t="n">
        <v>25</v>
      </c>
      <c r="B27" s="390" t="inlineStr">
        <is>
          <t>012515836-6</t>
        </is>
      </c>
      <c r="C27" s="390" t="inlineStr">
        <is>
          <t>RIVERA RAMIREZ MAIKEL ARGENI</t>
        </is>
      </c>
      <c r="D27" s="392" t="n">
        <v>7.64</v>
      </c>
      <c r="E27" s="392" t="n">
        <v>7.46</v>
      </c>
      <c r="F27" s="392" t="n">
        <v>7.94</v>
      </c>
      <c r="G27" s="392" t="n">
        <v>7.91</v>
      </c>
      <c r="H27" s="392" t="n">
        <v>7.99</v>
      </c>
      <c r="I27" s="392" t="n">
        <v>7.45</v>
      </c>
      <c r="J27" s="392" t="n">
        <v>9.19</v>
      </c>
      <c r="K27" s="392" t="inlineStr">
        <is>
          <t>B+</t>
        </is>
      </c>
      <c r="L27" s="392" t="inlineStr">
        <is>
          <t>B-</t>
        </is>
      </c>
      <c r="M27" s="392" t="n">
        <v>7.94</v>
      </c>
      <c r="N27" s="392" t="inlineStr">
        <is>
          <t>S</t>
        </is>
      </c>
      <c r="O27" s="392" t="inlineStr">
        <is>
          <t>PROMOVIDO</t>
        </is>
      </c>
    </row>
    <row r="28">
      <c r="A28" s="390" t="n">
        <v>26</v>
      </c>
      <c r="B28" s="390" t="inlineStr">
        <is>
          <t>115104025-8</t>
        </is>
      </c>
      <c r="C28" s="390" t="inlineStr">
        <is>
          <t>SANDOVAL CASTILLO MAYKEL MISAEL</t>
        </is>
      </c>
      <c r="D28" s="392" t="n">
        <v>9.02</v>
      </c>
      <c r="E28" s="392" t="n">
        <v>9.07</v>
      </c>
      <c r="F28" s="392" t="n">
        <v>8.58</v>
      </c>
      <c r="G28" s="392" t="n">
        <v>9.029999999999999</v>
      </c>
      <c r="H28" s="392" t="n">
        <v>8.640000000000001</v>
      </c>
      <c r="I28" s="392" t="n">
        <v>7.84</v>
      </c>
      <c r="J28" s="392" t="n">
        <v>9.26</v>
      </c>
      <c r="K28" s="392" t="inlineStr">
        <is>
          <t>B+</t>
        </is>
      </c>
      <c r="L28" s="392" t="inlineStr">
        <is>
          <t>A+</t>
        </is>
      </c>
      <c r="M28" s="392" t="n">
        <v>8.779999999999999</v>
      </c>
      <c r="N28" s="392" t="inlineStr">
        <is>
          <t>S</t>
        </is>
      </c>
      <c r="O28" s="392" t="inlineStr">
        <is>
          <t>PROMOVIDO</t>
        </is>
      </c>
    </row>
    <row r="29">
      <c r="A29" s="390" t="n">
        <v>27</v>
      </c>
      <c r="B29" s="390" t="inlineStr">
        <is>
          <t>015148079-5</t>
        </is>
      </c>
      <c r="C29" s="390" t="inlineStr">
        <is>
          <t>SAUCE PEREZ ALLISON KIMBERLY</t>
        </is>
      </c>
      <c r="D29" s="392" t="n">
        <v>7.68</v>
      </c>
      <c r="E29" s="392" t="n">
        <v>7.66</v>
      </c>
      <c r="F29" s="392" t="n">
        <v>7.86</v>
      </c>
      <c r="G29" s="392" t="n">
        <v>7.86</v>
      </c>
      <c r="H29" s="392" t="n">
        <v>7.23</v>
      </c>
      <c r="I29" s="392" t="n">
        <v>8.050000000000001</v>
      </c>
      <c r="J29" s="392" t="n">
        <v>8.199999999999999</v>
      </c>
      <c r="K29" s="392" t="inlineStr">
        <is>
          <t>B+</t>
        </is>
      </c>
      <c r="L29" s="392" t="inlineStr">
        <is>
          <t>B-</t>
        </is>
      </c>
      <c r="M29" s="392" t="n">
        <v>7.79</v>
      </c>
      <c r="N29" s="392" t="inlineStr">
        <is>
          <t>S</t>
        </is>
      </c>
      <c r="O29" s="392" t="inlineStr">
        <is>
          <t>PROMOVIDO</t>
        </is>
      </c>
    </row>
    <row r="30">
      <c r="A30" s="390" t="n">
        <v>28</v>
      </c>
      <c r="B30" s="390" t="inlineStr">
        <is>
          <t>015145660-5</t>
        </is>
      </c>
      <c r="C30" s="390" t="inlineStr">
        <is>
          <t>SIBRI CHIQUI DÓMINIC ALEXIS</t>
        </is>
      </c>
      <c r="D30" s="392" t="n">
        <v>8.029999999999999</v>
      </c>
      <c r="E30" s="392" t="n">
        <v>7.96</v>
      </c>
      <c r="F30" s="392" t="n">
        <v>7.96</v>
      </c>
      <c r="G30" s="392" t="n">
        <v>7.97</v>
      </c>
      <c r="H30" s="392" t="n">
        <v>8.779999999999999</v>
      </c>
      <c r="I30" s="392" t="n">
        <v>7.5</v>
      </c>
      <c r="J30" s="392" t="n">
        <v>8.630000000000001</v>
      </c>
      <c r="K30" s="392" t="inlineStr">
        <is>
          <t>B+</t>
        </is>
      </c>
      <c r="L30" s="392" t="inlineStr">
        <is>
          <t>B+</t>
        </is>
      </c>
      <c r="M30" s="392" t="n">
        <v>8.119999999999999</v>
      </c>
      <c r="N30" s="392" t="inlineStr">
        <is>
          <t>S</t>
        </is>
      </c>
      <c r="O30" s="392" t="inlineStr">
        <is>
          <t>PROMOVIDO</t>
        </is>
      </c>
    </row>
    <row r="31">
      <c r="A31" s="390" t="n">
        <v>29</v>
      </c>
      <c r="B31" s="390" t="inlineStr">
        <is>
          <t>015144440-3</t>
        </is>
      </c>
      <c r="C31" s="391" t="inlineStr">
        <is>
          <t>TENEZACA BERNAL JAMILETH CAMILA</t>
        </is>
      </c>
      <c r="D31" s="392" t="n">
        <v>8.359999999999999</v>
      </c>
      <c r="E31" s="392" t="n">
        <v>8.52</v>
      </c>
      <c r="F31" s="392" t="n">
        <v>8.94</v>
      </c>
      <c r="G31" s="393" t="n">
        <v>8.800000000000001</v>
      </c>
      <c r="H31" s="392" t="n">
        <v>8.6</v>
      </c>
      <c r="I31" s="392" t="n">
        <v>8.23</v>
      </c>
      <c r="J31" s="392" t="n">
        <v>9.140000000000001</v>
      </c>
      <c r="K31" s="392" t="inlineStr">
        <is>
          <t>B+</t>
        </is>
      </c>
      <c r="L31" s="392" t="inlineStr">
        <is>
          <t>A-</t>
        </is>
      </c>
      <c r="M31" s="392" t="n">
        <v>8.66</v>
      </c>
      <c r="N31" s="392" t="inlineStr">
        <is>
          <t>S</t>
        </is>
      </c>
      <c r="O31" s="392" t="inlineStr">
        <is>
          <t>PROMOVIDO</t>
        </is>
      </c>
    </row>
    <row r="32">
      <c r="A32" s="390" t="n">
        <v>30</v>
      </c>
      <c r="B32" s="390" t="inlineStr">
        <is>
          <t>015129894-0</t>
        </is>
      </c>
      <c r="C32" s="390" t="inlineStr">
        <is>
          <t>TENESACA JUELA JOSTIN PAUL</t>
        </is>
      </c>
      <c r="D32" s="392" t="n">
        <v>9.26</v>
      </c>
      <c r="E32" s="392" t="n">
        <v>8.52</v>
      </c>
      <c r="F32" s="392" t="n">
        <v>8.99</v>
      </c>
      <c r="G32" s="392" t="n">
        <v>9.279999999999999</v>
      </c>
      <c r="H32" s="392" t="n">
        <v>8.77</v>
      </c>
      <c r="I32" s="392" t="n">
        <v>8.99</v>
      </c>
      <c r="J32" s="392" t="n">
        <v>9.31</v>
      </c>
      <c r="K32" s="392" t="inlineStr">
        <is>
          <t>A-</t>
        </is>
      </c>
      <c r="L32" s="392" t="inlineStr">
        <is>
          <t>A-</t>
        </is>
      </c>
      <c r="M32" s="392" t="n">
        <v>9.02</v>
      </c>
      <c r="N32" s="392" t="inlineStr">
        <is>
          <t>S</t>
        </is>
      </c>
      <c r="O32" s="392" t="inlineStr">
        <is>
          <t>PROMOVIDO</t>
        </is>
      </c>
    </row>
    <row r="33">
      <c r="A33" s="390" t="n">
        <v>31</v>
      </c>
      <c r="B33" s="390" t="inlineStr">
        <is>
          <t>015135899-1</t>
        </is>
      </c>
      <c r="C33" s="391" t="inlineStr">
        <is>
          <t>UZHCA JUELA ERIKA LILIANA</t>
        </is>
      </c>
      <c r="D33" s="392" t="n">
        <v>7.71</v>
      </c>
      <c r="E33" s="393" t="n">
        <v>7.41</v>
      </c>
      <c r="F33" s="392" t="n">
        <v>7.8</v>
      </c>
      <c r="G33" s="392" t="n">
        <v>7.38</v>
      </c>
      <c r="H33" s="392" t="n">
        <v>7.24</v>
      </c>
      <c r="I33" s="392" t="n">
        <v>7.46</v>
      </c>
      <c r="J33" s="392" t="n">
        <v>7.51</v>
      </c>
      <c r="K33" s="392" t="inlineStr">
        <is>
          <t>B-</t>
        </is>
      </c>
      <c r="L33" s="392" t="inlineStr">
        <is>
          <t>B+</t>
        </is>
      </c>
      <c r="M33" s="392" t="n">
        <v>7.5</v>
      </c>
      <c r="N33" s="392" t="inlineStr">
        <is>
          <t>S</t>
        </is>
      </c>
      <c r="O33" s="392" t="inlineStr">
        <is>
          <t>PROMOVIDO</t>
        </is>
      </c>
    </row>
    <row r="34">
      <c r="A34" s="390" t="n">
        <v>32</v>
      </c>
      <c r="B34" s="390" t="inlineStr">
        <is>
          <t>015140362-3</t>
        </is>
      </c>
      <c r="C34" s="390" t="inlineStr">
        <is>
          <t>VELASQUEZ JIMBO GEISSIE BRIGITTE</t>
        </is>
      </c>
      <c r="D34" s="392" t="n">
        <v>9.4</v>
      </c>
      <c r="E34" s="392" t="n">
        <v>9.26</v>
      </c>
      <c r="F34" s="392" t="n">
        <v>9.699999999999999</v>
      </c>
      <c r="G34" s="392" t="n">
        <v>9.460000000000001</v>
      </c>
      <c r="H34" s="392" t="n">
        <v>9.44</v>
      </c>
      <c r="I34" s="392" t="n">
        <v>9.289999999999999</v>
      </c>
      <c r="J34" s="392" t="n">
        <v>9.609999999999999</v>
      </c>
      <c r="K34" s="392" t="inlineStr">
        <is>
          <t>A-</t>
        </is>
      </c>
      <c r="L34" s="392" t="inlineStr">
        <is>
          <t>A+</t>
        </is>
      </c>
      <c r="M34" s="392" t="n">
        <v>9.449999999999999</v>
      </c>
      <c r="N34" s="392" t="inlineStr">
        <is>
          <t>S</t>
        </is>
      </c>
      <c r="O34" s="392" t="inlineStr">
        <is>
          <t>PROMOVIDO</t>
        </is>
      </c>
    </row>
    <row r="35">
      <c r="A35" s="390" t="n">
        <v>33</v>
      </c>
      <c r="B35" s="390" t="inlineStr">
        <is>
          <t>015146390-8</t>
        </is>
      </c>
      <c r="C35" s="390" t="inlineStr">
        <is>
          <t>VIVEROS BRITO SOFIA SAYLENIS</t>
        </is>
      </c>
      <c r="D35" s="392" t="n">
        <v>9.529999999999999</v>
      </c>
      <c r="E35" s="392" t="n">
        <v>9.16</v>
      </c>
      <c r="F35" s="392" t="n">
        <v>9.51</v>
      </c>
      <c r="G35" s="392" t="n">
        <v>9.220000000000001</v>
      </c>
      <c r="H35" s="392" t="n">
        <v>9.85</v>
      </c>
      <c r="I35" s="392" t="n">
        <v>9.35</v>
      </c>
      <c r="J35" s="392" t="n">
        <v>9.800000000000001</v>
      </c>
      <c r="K35" s="392" t="inlineStr">
        <is>
          <t>A-</t>
        </is>
      </c>
      <c r="L35" s="392" t="inlineStr">
        <is>
          <t>A+</t>
        </is>
      </c>
      <c r="M35" s="392" t="n">
        <v>9.49</v>
      </c>
      <c r="N35" s="392" t="inlineStr">
        <is>
          <t>S</t>
        </is>
      </c>
      <c r="O35" s="392" t="inlineStr">
        <is>
          <t>PROMOVIDO</t>
        </is>
      </c>
    </row>
    <row r="36">
      <c r="A36" s="390" t="n">
        <v>34</v>
      </c>
      <c r="B36" s="390" t="inlineStr">
        <is>
          <t>015141716-9</t>
        </is>
      </c>
      <c r="C36" s="390" t="inlineStr">
        <is>
          <t>ZHININ CORAYZACA CHRISTOPHER ARIEL</t>
        </is>
      </c>
      <c r="D36" s="392" t="n">
        <v>7.87</v>
      </c>
      <c r="E36" s="392" t="n">
        <v>7.85</v>
      </c>
      <c r="F36" s="392" t="n">
        <v>8.02</v>
      </c>
      <c r="G36" s="392" t="n">
        <v>8</v>
      </c>
      <c r="H36" s="392" t="n">
        <v>7.92</v>
      </c>
      <c r="I36" s="392" t="n">
        <v>8.050000000000001</v>
      </c>
      <c r="J36" s="392" t="n">
        <v>8.5</v>
      </c>
      <c r="K36" s="392" t="inlineStr">
        <is>
          <t>B+</t>
        </is>
      </c>
      <c r="L36" s="392" t="inlineStr">
        <is>
          <t>B+</t>
        </is>
      </c>
      <c r="M36" s="392" t="n">
        <v>8.029999999999999</v>
      </c>
      <c r="N36" s="392" t="inlineStr">
        <is>
          <t>S</t>
        </is>
      </c>
      <c r="O36" s="392" t="inlineStr">
        <is>
          <t>PROMOVIDO</t>
        </is>
      </c>
    </row>
    <row r="37">
      <c r="A37" s="390" t="n">
        <v>35</v>
      </c>
      <c r="B37" s="390" t="inlineStr">
        <is>
          <t>015135674-8</t>
        </is>
      </c>
      <c r="C37" s="390" t="inlineStr">
        <is>
          <t>ZUMBA SANISACA DAVID GONZALO</t>
        </is>
      </c>
      <c r="D37" s="392" t="n">
        <v>8.98</v>
      </c>
      <c r="E37" s="392" t="n">
        <v>8.77</v>
      </c>
      <c r="F37" s="392" t="n">
        <v>9.050000000000001</v>
      </c>
      <c r="G37" s="392" t="n">
        <v>8.880000000000001</v>
      </c>
      <c r="H37" s="392" t="n">
        <v>8.68</v>
      </c>
      <c r="I37" s="392" t="n">
        <v>8.98</v>
      </c>
      <c r="J37" s="392" t="n">
        <v>9.49</v>
      </c>
      <c r="K37" s="392" t="inlineStr">
        <is>
          <t>A-</t>
        </is>
      </c>
      <c r="L37" s="392" t="inlineStr">
        <is>
          <t>A-</t>
        </is>
      </c>
      <c r="M37" s="392" t="n">
        <v>8.98</v>
      </c>
      <c r="N37" s="392" t="inlineStr">
        <is>
          <t>S</t>
        </is>
      </c>
      <c r="O37" s="392" t="inlineStr">
        <is>
          <t>PROMOVIDO</t>
        </is>
      </c>
    </row>
  </sheetData>
  <mergeCells count="4">
    <mergeCell ref="A1:C1"/>
    <mergeCell ref="K1:O1"/>
    <mergeCell ref="E1:F1"/>
    <mergeCell ref="H1:I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38" customWidth="1" style="225" min="2" max="2"/>
    <col width="5" customWidth="1" style="225" min="3" max="3"/>
    <col width="8" customWidth="1" style="225" min="19" max="19"/>
    <col width="8.851559999999999" customWidth="1" style="225" min="22" max="22"/>
  </cols>
  <sheetData>
    <row r="1" ht="25" customHeight="1" s="225">
      <c r="A1" s="416" t="inlineStr">
        <is>
          <t>DATOS INFORMATIVOS
ESTUDIANTES</t>
        </is>
      </c>
      <c r="B1" s="256" t="n"/>
      <c r="C1" s="417" t="inlineStr">
        <is>
          <t>CONSOLIDADO FINAL</t>
        </is>
      </c>
      <c r="D1" s="255" t="n"/>
      <c r="E1" s="255" t="n"/>
      <c r="F1" s="255" t="n"/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6" t="n"/>
    </row>
    <row r="2" ht="90" customHeight="1" s="225">
      <c r="A2" s="418" t="inlineStr">
        <is>
          <t>N°</t>
        </is>
      </c>
      <c r="B2" s="418" t="inlineStr">
        <is>
          <t>APELLIDOS/NOMBRES</t>
        </is>
      </c>
      <c r="C2" s="419" t="inlineStr">
        <is>
          <t>LENGUA Y
LITERATURA</t>
        </is>
      </c>
      <c r="D2" s="256" t="n"/>
      <c r="E2" s="230" t="inlineStr">
        <is>
          <t>MATEMÁTICA</t>
        </is>
      </c>
      <c r="F2" s="256" t="n"/>
      <c r="G2" s="231" t="inlineStr">
        <is>
          <t>CIENCIAS
NATURALES</t>
        </is>
      </c>
      <c r="H2" s="256" t="n"/>
      <c r="I2" s="232" t="inlineStr">
        <is>
          <t>ESTUDIOS
SOCIALES</t>
        </is>
      </c>
      <c r="J2" s="256" t="n"/>
      <c r="K2" s="233" t="inlineStr">
        <is>
          <t>INGLÉS</t>
        </is>
      </c>
      <c r="L2" s="256" t="n"/>
      <c r="M2" s="234" t="inlineStr">
        <is>
          <t>ECA</t>
        </is>
      </c>
      <c r="N2" s="256" t="n"/>
      <c r="O2" s="235" t="inlineStr">
        <is>
          <t>EDUCACIÓN
FÍSICA</t>
        </is>
      </c>
      <c r="P2" s="256" t="n"/>
      <c r="Q2" s="231" t="inlineStr">
        <is>
          <t>ANIMACIÓN
A LA
LECTURA</t>
        </is>
      </c>
      <c r="R2" s="236" t="inlineStr">
        <is>
          <t>CAI</t>
        </is>
      </c>
      <c r="S2" s="237" t="inlineStr">
        <is>
          <t>PROMEDIO</t>
        </is>
      </c>
      <c r="T2" s="237" t="inlineStr">
        <is>
          <t>CUALITATIVA</t>
        </is>
      </c>
      <c r="U2" s="237" t="inlineStr">
        <is>
          <t>COMPORTAMIENTO</t>
        </is>
      </c>
    </row>
    <row r="3" ht="40" customHeight="1" s="225">
      <c r="A3" s="257" t="n"/>
      <c r="B3" s="257" t="n"/>
      <c r="C3" s="420" t="inlineStr">
        <is>
          <t>NOTA</t>
        </is>
      </c>
      <c r="D3" s="420" t="inlineStr">
        <is>
          <t>CUALIT.</t>
        </is>
      </c>
      <c r="E3" s="421" t="inlineStr">
        <is>
          <t>NOTA</t>
        </is>
      </c>
      <c r="F3" s="421" t="inlineStr">
        <is>
          <t>CUALIT.</t>
        </is>
      </c>
      <c r="G3" s="422" t="inlineStr">
        <is>
          <t>NOTA</t>
        </is>
      </c>
      <c r="H3" s="422" t="inlineStr">
        <is>
          <t>CUALIT.</t>
        </is>
      </c>
      <c r="I3" s="423" t="inlineStr">
        <is>
          <t>NOTA</t>
        </is>
      </c>
      <c r="J3" s="423" t="inlineStr">
        <is>
          <t>CUALIT.</t>
        </is>
      </c>
      <c r="K3" s="424" t="inlineStr">
        <is>
          <t>NOTA</t>
        </is>
      </c>
      <c r="L3" s="424" t="inlineStr">
        <is>
          <t>CUALIT.</t>
        </is>
      </c>
      <c r="M3" s="425" t="inlineStr">
        <is>
          <t>NOTA</t>
        </is>
      </c>
      <c r="N3" s="425" t="inlineStr">
        <is>
          <t>CUALIT.</t>
        </is>
      </c>
      <c r="O3" s="426" t="inlineStr">
        <is>
          <t>NOTA</t>
        </is>
      </c>
      <c r="P3" s="426" t="inlineStr">
        <is>
          <t>CUALIT.</t>
        </is>
      </c>
      <c r="Q3" s="422" t="inlineStr">
        <is>
          <t>NOTA</t>
        </is>
      </c>
      <c r="R3" s="427" t="inlineStr">
        <is>
          <t>NOTA</t>
        </is>
      </c>
      <c r="S3" s="257" t="n"/>
      <c r="T3" s="257" t="n"/>
      <c r="U3" s="257" t="n"/>
    </row>
    <row r="4" ht="13.55" customHeight="1" s="225">
      <c r="A4" s="241" t="n">
        <v>1</v>
      </c>
      <c r="B4" s="242" t="inlineStr">
        <is>
          <t>ASMAL CAJAMARCA DANIELA SOFIA</t>
        </is>
      </c>
      <c r="C4" s="243" t="n">
        <v>9.289999999999999</v>
      </c>
      <c r="D4" s="244" t="inlineStr">
        <is>
          <t>A-</t>
        </is>
      </c>
      <c r="E4" s="243" t="n">
        <v>9.08</v>
      </c>
      <c r="F4" s="244" t="inlineStr">
        <is>
          <t>A-</t>
        </is>
      </c>
      <c r="G4" s="243" t="n">
        <v>9.300000000000001</v>
      </c>
      <c r="H4" s="244" t="inlineStr">
        <is>
          <t>A-</t>
        </is>
      </c>
      <c r="I4" s="243" t="n">
        <v>9.1</v>
      </c>
      <c r="J4" s="244" t="inlineStr">
        <is>
          <t>A-</t>
        </is>
      </c>
      <c r="K4" s="243" t="n">
        <v>9.51</v>
      </c>
      <c r="L4" s="244" t="inlineStr">
        <is>
          <t>A+</t>
        </is>
      </c>
      <c r="M4" s="243" t="n">
        <v>9.289999999999999</v>
      </c>
      <c r="N4" s="244" t="inlineStr">
        <is>
          <t>A-</t>
        </is>
      </c>
      <c r="O4" s="243" t="n">
        <v>9.65</v>
      </c>
      <c r="P4" s="244" t="inlineStr">
        <is>
          <t>A+</t>
        </is>
      </c>
      <c r="Q4" s="244" t="inlineStr">
        <is>
          <t>A+</t>
        </is>
      </c>
      <c r="R4" s="244" t="inlineStr">
        <is>
          <t>A+</t>
        </is>
      </c>
      <c r="S4" s="243" t="n">
        <v>9.32</v>
      </c>
      <c r="T4" s="244" t="inlineStr">
        <is>
          <t>A-</t>
        </is>
      </c>
      <c r="U4" s="244" t="inlineStr">
        <is>
          <t>S</t>
        </is>
      </c>
    </row>
    <row r="5" ht="13.55" customHeight="1" s="225">
      <c r="A5" s="241" t="n">
        <v>2</v>
      </c>
      <c r="B5" s="242" t="inlineStr">
        <is>
          <t>BARZALLO RUESTAN VICTOR RAFAEL</t>
        </is>
      </c>
      <c r="C5" s="243" t="n">
        <v>8.73</v>
      </c>
      <c r="D5" s="244" t="inlineStr">
        <is>
          <t>A-</t>
        </is>
      </c>
      <c r="E5" s="243" t="n">
        <v>8.449999999999999</v>
      </c>
      <c r="F5" s="244" t="inlineStr">
        <is>
          <t>B+</t>
        </is>
      </c>
      <c r="G5" s="243" t="n">
        <v>8.76</v>
      </c>
      <c r="H5" s="244" t="inlineStr">
        <is>
          <t>A-</t>
        </is>
      </c>
      <c r="I5" s="243" t="n">
        <v>8.81</v>
      </c>
      <c r="J5" s="244" t="inlineStr">
        <is>
          <t>A-</t>
        </is>
      </c>
      <c r="K5" s="243" t="n">
        <v>8.609999999999999</v>
      </c>
      <c r="L5" s="244" t="inlineStr">
        <is>
          <t>A-</t>
        </is>
      </c>
      <c r="M5" s="243" t="n">
        <v>8.140000000000001</v>
      </c>
      <c r="N5" s="244" t="inlineStr">
        <is>
          <t>B+</t>
        </is>
      </c>
      <c r="O5" s="243" t="n">
        <v>9.220000000000001</v>
      </c>
      <c r="P5" s="244" t="inlineStr">
        <is>
          <t>A-</t>
        </is>
      </c>
      <c r="Q5" s="244" t="inlineStr">
        <is>
          <t>A+</t>
        </is>
      </c>
      <c r="R5" s="244" t="inlineStr">
        <is>
          <t>A-</t>
        </is>
      </c>
      <c r="S5" s="243" t="n">
        <v>8.67</v>
      </c>
      <c r="T5" s="244" t="inlineStr">
        <is>
          <t>A-</t>
        </is>
      </c>
      <c r="U5" s="244" t="inlineStr">
        <is>
          <t>S</t>
        </is>
      </c>
    </row>
    <row r="6" ht="13.55" customHeight="1" s="225">
      <c r="A6" s="241" t="n">
        <v>3</v>
      </c>
      <c r="B6" s="242" t="inlineStr">
        <is>
          <t>BRAVO JIMBO EVELYN MAITE</t>
        </is>
      </c>
      <c r="C6" s="243" t="n">
        <v>8.869999999999999</v>
      </c>
      <c r="D6" s="244" t="inlineStr">
        <is>
          <t>A-</t>
        </is>
      </c>
      <c r="E6" s="243" t="n">
        <v>8.94</v>
      </c>
      <c r="F6" s="244" t="inlineStr">
        <is>
          <t>A-</t>
        </is>
      </c>
      <c r="G6" s="243" t="n">
        <v>8.94</v>
      </c>
      <c r="H6" s="244" t="inlineStr">
        <is>
          <t>A-</t>
        </is>
      </c>
      <c r="I6" s="243" t="n">
        <v>9.07</v>
      </c>
      <c r="J6" s="244" t="inlineStr">
        <is>
          <t>A-</t>
        </is>
      </c>
      <c r="K6" s="243" t="n">
        <v>8.970000000000001</v>
      </c>
      <c r="L6" s="244" t="inlineStr">
        <is>
          <t>A-</t>
        </is>
      </c>
      <c r="M6" s="243" t="n">
        <v>7.9</v>
      </c>
      <c r="N6" s="244" t="inlineStr">
        <is>
          <t>B+</t>
        </is>
      </c>
      <c r="O6" s="243" t="n">
        <v>9.17</v>
      </c>
      <c r="P6" s="244" t="inlineStr">
        <is>
          <t>A-</t>
        </is>
      </c>
      <c r="Q6" s="244" t="inlineStr">
        <is>
          <t>A+</t>
        </is>
      </c>
      <c r="R6" s="244" t="inlineStr">
        <is>
          <t>A-</t>
        </is>
      </c>
      <c r="S6" s="243" t="n">
        <v>8.84</v>
      </c>
      <c r="T6" s="244" t="inlineStr">
        <is>
          <t>A-</t>
        </is>
      </c>
      <c r="U6" s="244" t="inlineStr">
        <is>
          <t>S</t>
        </is>
      </c>
    </row>
    <row r="7" ht="13.55" customHeight="1" s="225">
      <c r="A7" s="241" t="n">
        <v>4</v>
      </c>
      <c r="B7" s="242" t="inlineStr">
        <is>
          <t>BUENO GUALLPA CRISTINA ANGELICA</t>
        </is>
      </c>
      <c r="C7" s="243" t="n">
        <v>8.68</v>
      </c>
      <c r="D7" s="244" t="inlineStr">
        <is>
          <t>A-</t>
        </is>
      </c>
      <c r="E7" s="243" t="n">
        <v>8.02</v>
      </c>
      <c r="F7" s="244" t="inlineStr">
        <is>
          <t>B+</t>
        </is>
      </c>
      <c r="G7" s="243" t="n">
        <v>8.77</v>
      </c>
      <c r="H7" s="244" t="inlineStr">
        <is>
          <t>A-</t>
        </is>
      </c>
      <c r="I7" s="243" t="n">
        <v>8.31</v>
      </c>
      <c r="J7" s="244" t="inlineStr">
        <is>
          <t>B+</t>
        </is>
      </c>
      <c r="K7" s="243" t="n">
        <v>8.029999999999999</v>
      </c>
      <c r="L7" s="244" t="inlineStr">
        <is>
          <t>B+</t>
        </is>
      </c>
      <c r="M7" s="243" t="n">
        <v>8.390000000000001</v>
      </c>
      <c r="N7" s="244" t="inlineStr">
        <is>
          <t>B+</t>
        </is>
      </c>
      <c r="O7" s="243" t="n">
        <v>9.140000000000001</v>
      </c>
      <c r="P7" s="244" t="inlineStr">
        <is>
          <t>A-</t>
        </is>
      </c>
      <c r="Q7" s="244" t="inlineStr">
        <is>
          <t>A+</t>
        </is>
      </c>
      <c r="R7" s="244" t="inlineStr">
        <is>
          <t>A-</t>
        </is>
      </c>
      <c r="S7" s="243" t="n">
        <v>8.48</v>
      </c>
      <c r="T7" s="244" t="inlineStr">
        <is>
          <t>A-</t>
        </is>
      </c>
      <c r="U7" s="244" t="inlineStr">
        <is>
          <t>S</t>
        </is>
      </c>
    </row>
    <row r="8" ht="13.55" customHeight="1" s="225">
      <c r="A8" s="241" t="n">
        <v>5</v>
      </c>
      <c r="B8" s="242" t="inlineStr">
        <is>
          <t>CABRERA CAGUANA JONATHAN ISMAEL</t>
        </is>
      </c>
      <c r="C8" s="243" t="n">
        <v>8.539999999999999</v>
      </c>
      <c r="D8" s="244" t="inlineStr">
        <is>
          <t>A-</t>
        </is>
      </c>
      <c r="E8" s="243" t="n">
        <v>8.029999999999999</v>
      </c>
      <c r="F8" s="244" t="inlineStr">
        <is>
          <t>B+</t>
        </is>
      </c>
      <c r="G8" s="243" t="n">
        <v>8.539999999999999</v>
      </c>
      <c r="H8" s="244" t="inlineStr">
        <is>
          <t>A-</t>
        </is>
      </c>
      <c r="I8" s="243" t="n">
        <v>8.140000000000001</v>
      </c>
      <c r="J8" s="244" t="inlineStr">
        <is>
          <t>B+</t>
        </is>
      </c>
      <c r="K8" s="243" t="n">
        <v>8.23</v>
      </c>
      <c r="L8" s="244" t="inlineStr">
        <is>
          <t>B+</t>
        </is>
      </c>
      <c r="M8" s="243" t="n">
        <v>7.62</v>
      </c>
      <c r="N8" s="244" t="inlineStr">
        <is>
          <t>B+</t>
        </is>
      </c>
      <c r="O8" s="243" t="n">
        <v>9.34</v>
      </c>
      <c r="P8" s="244" t="inlineStr">
        <is>
          <t>A-</t>
        </is>
      </c>
      <c r="Q8" s="244" t="inlineStr">
        <is>
          <t>A+</t>
        </is>
      </c>
      <c r="R8" s="244" t="inlineStr">
        <is>
          <t>A-</t>
        </is>
      </c>
      <c r="S8" s="243" t="n">
        <v>8.35</v>
      </c>
      <c r="T8" s="244" t="inlineStr">
        <is>
          <t>B+</t>
        </is>
      </c>
      <c r="U8" s="244" t="inlineStr">
        <is>
          <t>S</t>
        </is>
      </c>
    </row>
    <row r="9" ht="13.55" customHeight="1" s="225">
      <c r="A9" s="241" t="n">
        <v>6</v>
      </c>
      <c r="B9" s="242" t="inlineStr">
        <is>
          <t>CALLE SANISACA SIDNEY KASANDRA</t>
        </is>
      </c>
      <c r="C9" s="243" t="n">
        <v>8.74</v>
      </c>
      <c r="D9" s="244" t="inlineStr">
        <is>
          <t>A-</t>
        </is>
      </c>
      <c r="E9" s="243" t="n">
        <v>8.65</v>
      </c>
      <c r="F9" s="244" t="inlineStr">
        <is>
          <t>A-</t>
        </is>
      </c>
      <c r="G9" s="243" t="n">
        <v>8.890000000000001</v>
      </c>
      <c r="H9" s="244" t="inlineStr">
        <is>
          <t>A-</t>
        </is>
      </c>
      <c r="I9" s="243" t="n">
        <v>8.199999999999999</v>
      </c>
      <c r="J9" s="244" t="inlineStr">
        <is>
          <t>B+</t>
        </is>
      </c>
      <c r="K9" s="243" t="n">
        <v>9.4</v>
      </c>
      <c r="L9" s="244" t="inlineStr">
        <is>
          <t>A-</t>
        </is>
      </c>
      <c r="M9" s="243" t="n">
        <v>8.26</v>
      </c>
      <c r="N9" s="244" t="inlineStr">
        <is>
          <t>B+</t>
        </is>
      </c>
      <c r="O9" s="243" t="n">
        <v>9.57</v>
      </c>
      <c r="P9" s="244" t="inlineStr">
        <is>
          <t>A+</t>
        </is>
      </c>
      <c r="Q9" s="244" t="inlineStr">
        <is>
          <t>A+</t>
        </is>
      </c>
      <c r="R9" s="244" t="inlineStr">
        <is>
          <t>A-</t>
        </is>
      </c>
      <c r="S9" s="243" t="n">
        <v>8.82</v>
      </c>
      <c r="T9" s="244" t="inlineStr">
        <is>
          <t>A-</t>
        </is>
      </c>
      <c r="U9" s="244" t="inlineStr">
        <is>
          <t>S</t>
        </is>
      </c>
    </row>
    <row r="10" ht="13.55" customHeight="1" s="225">
      <c r="A10" s="241" t="n">
        <v>7</v>
      </c>
      <c r="B10" s="242" t="inlineStr">
        <is>
          <t>COLLAGUAZO TACURI BRYAN STIVEN</t>
        </is>
      </c>
      <c r="C10" s="243" t="n">
        <v>8.119999999999999</v>
      </c>
      <c r="D10" s="244" t="inlineStr">
        <is>
          <t>B+</t>
        </is>
      </c>
      <c r="E10" s="243" t="n">
        <v>7.66</v>
      </c>
      <c r="F10" s="244" t="inlineStr">
        <is>
          <t>B+</t>
        </is>
      </c>
      <c r="G10" s="243" t="n">
        <v>7.9</v>
      </c>
      <c r="H10" s="244" t="inlineStr">
        <is>
          <t>B+</t>
        </is>
      </c>
      <c r="I10" s="243" t="n">
        <v>7.74</v>
      </c>
      <c r="J10" s="244" t="inlineStr">
        <is>
          <t>B+</t>
        </is>
      </c>
      <c r="K10" s="243" t="n">
        <v>7.4</v>
      </c>
      <c r="L10" s="244" t="inlineStr">
        <is>
          <t>B+</t>
        </is>
      </c>
      <c r="M10" s="243" t="n">
        <v>7.24</v>
      </c>
      <c r="N10" s="244" t="inlineStr">
        <is>
          <t>B+</t>
        </is>
      </c>
      <c r="O10" s="243" t="n">
        <v>8.699999999999999</v>
      </c>
      <c r="P10" s="244" t="inlineStr">
        <is>
          <t>B+</t>
        </is>
      </c>
      <c r="Q10" s="244" t="inlineStr">
        <is>
          <t>A+</t>
        </is>
      </c>
      <c r="R10" s="244" t="inlineStr">
        <is>
          <t>A-</t>
        </is>
      </c>
      <c r="S10" s="243" t="n">
        <v>7.82</v>
      </c>
      <c r="T10" s="244" t="inlineStr">
        <is>
          <t>B+</t>
        </is>
      </c>
      <c r="U10" s="244" t="inlineStr">
        <is>
          <t>S</t>
        </is>
      </c>
    </row>
    <row r="11" ht="13.55" customHeight="1" s="225">
      <c r="A11" s="241" t="n">
        <v>8</v>
      </c>
      <c r="B11" s="242" t="inlineStr">
        <is>
          <t>HERNANDEZ QUEZADA MATIAS LEONARDO</t>
        </is>
      </c>
      <c r="C11" s="243" t="n">
        <v>8.890000000000001</v>
      </c>
      <c r="D11" s="244" t="inlineStr">
        <is>
          <t>A-</t>
        </is>
      </c>
      <c r="E11" s="243" t="n">
        <v>8.56</v>
      </c>
      <c r="F11" s="244" t="inlineStr">
        <is>
          <t>A-</t>
        </is>
      </c>
      <c r="G11" s="243" t="n">
        <v>8.82</v>
      </c>
      <c r="H11" s="244" t="inlineStr">
        <is>
          <t>A-</t>
        </is>
      </c>
      <c r="I11" s="243" t="n">
        <v>8.68</v>
      </c>
      <c r="J11" s="244" t="inlineStr">
        <is>
          <t>A-</t>
        </is>
      </c>
      <c r="K11" s="243" t="n">
        <v>9.199999999999999</v>
      </c>
      <c r="L11" s="244" t="inlineStr">
        <is>
          <t>A-</t>
        </is>
      </c>
      <c r="M11" s="243" t="n">
        <v>8.56</v>
      </c>
      <c r="N11" s="244" t="inlineStr">
        <is>
          <t>A-</t>
        </is>
      </c>
      <c r="O11" s="243" t="n">
        <v>9.24</v>
      </c>
      <c r="P11" s="244" t="inlineStr">
        <is>
          <t>A-</t>
        </is>
      </c>
      <c r="Q11" s="244" t="inlineStr">
        <is>
          <t>A+</t>
        </is>
      </c>
      <c r="R11" s="244" t="inlineStr">
        <is>
          <t>A-</t>
        </is>
      </c>
      <c r="S11" s="243" t="n">
        <v>8.85</v>
      </c>
      <c r="T11" s="244" t="inlineStr">
        <is>
          <t>A-</t>
        </is>
      </c>
      <c r="U11" s="244" t="inlineStr">
        <is>
          <t>S</t>
        </is>
      </c>
    </row>
    <row r="12" ht="13.55" customHeight="1" s="225">
      <c r="A12" s="241" t="n">
        <v>9</v>
      </c>
      <c r="B12" s="242" t="inlineStr">
        <is>
          <t>ILLESCAS PUMA JOSE LEANDRO</t>
        </is>
      </c>
      <c r="C12" s="243" t="n">
        <v>7.87</v>
      </c>
      <c r="D12" s="244" t="inlineStr">
        <is>
          <t>B+</t>
        </is>
      </c>
      <c r="E12" s="243" t="n">
        <v>7.71</v>
      </c>
      <c r="F12" s="244" t="inlineStr">
        <is>
          <t>B+</t>
        </is>
      </c>
      <c r="G12" s="243" t="n">
        <v>8.33</v>
      </c>
      <c r="H12" s="244" t="inlineStr">
        <is>
          <t>B+</t>
        </is>
      </c>
      <c r="I12" s="243" t="n">
        <v>8.119999999999999</v>
      </c>
      <c r="J12" s="244" t="inlineStr">
        <is>
          <t>B+</t>
        </is>
      </c>
      <c r="K12" s="243" t="n">
        <v>8.949999999999999</v>
      </c>
      <c r="L12" s="244" t="inlineStr">
        <is>
          <t>A-</t>
        </is>
      </c>
      <c r="M12" s="243" t="n">
        <v>7.92</v>
      </c>
      <c r="N12" s="244" t="inlineStr">
        <is>
          <t>B+</t>
        </is>
      </c>
      <c r="O12" s="243" t="n">
        <v>8.84</v>
      </c>
      <c r="P12" s="244" t="inlineStr">
        <is>
          <t>A-</t>
        </is>
      </c>
      <c r="Q12" s="244" t="inlineStr">
        <is>
          <t>A+</t>
        </is>
      </c>
      <c r="R12" s="244" t="inlineStr">
        <is>
          <t>A-</t>
        </is>
      </c>
      <c r="S12" s="243" t="n">
        <v>8.25</v>
      </c>
      <c r="T12" s="244" t="inlineStr">
        <is>
          <t>B+</t>
        </is>
      </c>
      <c r="U12" s="244" t="inlineStr">
        <is>
          <t>S</t>
        </is>
      </c>
    </row>
    <row r="13" ht="13.55" customHeight="1" s="225">
      <c r="A13" s="241" t="n">
        <v>10</v>
      </c>
      <c r="B13" s="242" t="inlineStr">
        <is>
          <t>JAMI BARRETO KEYLA ESTEFANIA</t>
        </is>
      </c>
      <c r="C13" s="243" t="n">
        <v>8.76</v>
      </c>
      <c r="D13" s="244" t="inlineStr">
        <is>
          <t>A-</t>
        </is>
      </c>
      <c r="E13" s="243" t="n">
        <v>8.43</v>
      </c>
      <c r="F13" s="244" t="inlineStr">
        <is>
          <t>B+</t>
        </is>
      </c>
      <c r="G13" s="243" t="n">
        <v>9.109999999999999</v>
      </c>
      <c r="H13" s="244" t="inlineStr">
        <is>
          <t>A-</t>
        </is>
      </c>
      <c r="I13" s="243" t="n">
        <v>8.94</v>
      </c>
      <c r="J13" s="244" t="inlineStr">
        <is>
          <t>A-</t>
        </is>
      </c>
      <c r="K13" s="243" t="n">
        <v>8.25</v>
      </c>
      <c r="L13" s="244" t="inlineStr">
        <is>
          <t>B+</t>
        </is>
      </c>
      <c r="M13" s="243" t="n">
        <v>8.289999999999999</v>
      </c>
      <c r="N13" s="244" t="inlineStr">
        <is>
          <t>B+</t>
        </is>
      </c>
      <c r="O13" s="243" t="n">
        <v>9.32</v>
      </c>
      <c r="P13" s="244" t="inlineStr">
        <is>
          <t>A-</t>
        </is>
      </c>
      <c r="Q13" s="244" t="inlineStr">
        <is>
          <t>A+</t>
        </is>
      </c>
      <c r="R13" s="244" t="inlineStr">
        <is>
          <t>A-</t>
        </is>
      </c>
      <c r="S13" s="243" t="n">
        <v>8.73</v>
      </c>
      <c r="T13" s="244" t="inlineStr">
        <is>
          <t>A-</t>
        </is>
      </c>
      <c r="U13" s="244" t="inlineStr">
        <is>
          <t>S</t>
        </is>
      </c>
    </row>
    <row r="14" ht="13.55" customHeight="1" s="225">
      <c r="A14" s="241" t="n">
        <v>11</v>
      </c>
      <c r="B14" s="242" t="inlineStr">
        <is>
          <t>JARAMA GUALLAS DANIEL ISMAEL</t>
        </is>
      </c>
      <c r="C14" s="243" t="n">
        <v>9.470000000000001</v>
      </c>
      <c r="D14" s="244" t="inlineStr">
        <is>
          <t>A+</t>
        </is>
      </c>
      <c r="E14" s="243" t="n">
        <v>9.33</v>
      </c>
      <c r="F14" s="244" t="inlineStr">
        <is>
          <t>A-</t>
        </is>
      </c>
      <c r="G14" s="243" t="n">
        <v>9.56</v>
      </c>
      <c r="H14" s="244" t="inlineStr">
        <is>
          <t>A+</t>
        </is>
      </c>
      <c r="I14" s="243" t="n">
        <v>9.56</v>
      </c>
      <c r="J14" s="244" t="inlineStr">
        <is>
          <t>A+</t>
        </is>
      </c>
      <c r="K14" s="243" t="n">
        <v>9.58</v>
      </c>
      <c r="L14" s="244" t="inlineStr">
        <is>
          <t>A+</t>
        </is>
      </c>
      <c r="M14" s="243" t="n">
        <v>9.4</v>
      </c>
      <c r="N14" s="244" t="inlineStr">
        <is>
          <t>A-</t>
        </is>
      </c>
      <c r="O14" s="243" t="n">
        <v>9.84</v>
      </c>
      <c r="P14" s="244" t="inlineStr">
        <is>
          <t>A+</t>
        </is>
      </c>
      <c r="Q14" s="244" t="inlineStr">
        <is>
          <t>A+</t>
        </is>
      </c>
      <c r="R14" s="244" t="inlineStr">
        <is>
          <t>A-</t>
        </is>
      </c>
      <c r="S14" s="243" t="n">
        <v>9.51</v>
      </c>
      <c r="T14" s="244" t="inlineStr">
        <is>
          <t>A+</t>
        </is>
      </c>
      <c r="U14" s="244" t="inlineStr">
        <is>
          <t>S</t>
        </is>
      </c>
    </row>
    <row r="15" ht="13.55" customHeight="1" s="225">
      <c r="A15" s="241" t="n">
        <v>12</v>
      </c>
      <c r="B15" s="242" t="inlineStr">
        <is>
          <t>JARAMILLO OJEDA AGUSTIN EDUARDO</t>
        </is>
      </c>
      <c r="C15" s="243" t="n">
        <v>7.95</v>
      </c>
      <c r="D15" s="244" t="inlineStr">
        <is>
          <t>B+</t>
        </is>
      </c>
      <c r="E15" s="243" t="n">
        <v>8.619999999999999</v>
      </c>
      <c r="F15" s="244" t="inlineStr">
        <is>
          <t>A-</t>
        </is>
      </c>
      <c r="G15" s="243" t="n">
        <v>8.43</v>
      </c>
      <c r="H15" s="244" t="inlineStr">
        <is>
          <t>B+</t>
        </is>
      </c>
      <c r="I15" s="243" t="n">
        <v>7.74</v>
      </c>
      <c r="J15" s="244" t="inlineStr">
        <is>
          <t>B+</t>
        </is>
      </c>
      <c r="K15" s="243" t="n">
        <v>8.56</v>
      </c>
      <c r="L15" s="244" t="inlineStr">
        <is>
          <t>A-</t>
        </is>
      </c>
      <c r="M15" s="243" t="n">
        <v>7.85</v>
      </c>
      <c r="N15" s="244" t="inlineStr">
        <is>
          <t>B+</t>
        </is>
      </c>
      <c r="O15" s="243" t="n">
        <v>8.92</v>
      </c>
      <c r="P15" s="244" t="inlineStr">
        <is>
          <t>A-</t>
        </is>
      </c>
      <c r="Q15" s="244" t="inlineStr">
        <is>
          <t>A-</t>
        </is>
      </c>
      <c r="R15" s="244" t="inlineStr">
        <is>
          <t>A-</t>
        </is>
      </c>
      <c r="S15" s="243" t="n">
        <v>8.289999999999999</v>
      </c>
      <c r="T15" s="244" t="inlineStr">
        <is>
          <t>B+</t>
        </is>
      </c>
      <c r="U15" s="244" t="inlineStr">
        <is>
          <t>S</t>
        </is>
      </c>
    </row>
    <row r="16" ht="13.55" customHeight="1" s="225">
      <c r="A16" s="241" t="n">
        <v>13</v>
      </c>
      <c r="B16" s="242" t="inlineStr">
        <is>
          <t>LLIVISACA CABRERA STALYN JOSUE</t>
        </is>
      </c>
      <c r="C16" s="243" t="n">
        <v>7.84</v>
      </c>
      <c r="D16" s="244" t="inlineStr">
        <is>
          <t>B+</t>
        </is>
      </c>
      <c r="E16" s="243" t="n">
        <v>7.81</v>
      </c>
      <c r="F16" s="244" t="inlineStr">
        <is>
          <t>B+</t>
        </is>
      </c>
      <c r="G16" s="243" t="n">
        <v>8.19</v>
      </c>
      <c r="H16" s="244" t="inlineStr">
        <is>
          <t>B+</t>
        </is>
      </c>
      <c r="I16" s="243" t="n">
        <v>7.58</v>
      </c>
      <c r="J16" s="244" t="inlineStr">
        <is>
          <t>B+</t>
        </is>
      </c>
      <c r="K16" s="243" t="n">
        <v>7.69</v>
      </c>
      <c r="L16" s="244" t="inlineStr">
        <is>
          <t>B+</t>
        </is>
      </c>
      <c r="M16" s="243" t="n">
        <v>8.050000000000001</v>
      </c>
      <c r="N16" s="244" t="inlineStr">
        <is>
          <t>B+</t>
        </is>
      </c>
      <c r="O16" s="243" t="n">
        <v>8.31</v>
      </c>
      <c r="P16" s="244" t="inlineStr">
        <is>
          <t>B+</t>
        </is>
      </c>
      <c r="Q16" s="244" t="inlineStr">
        <is>
          <t>A-</t>
        </is>
      </c>
      <c r="R16" s="244" t="inlineStr">
        <is>
          <t>A+</t>
        </is>
      </c>
      <c r="S16" s="243" t="n">
        <v>7.92</v>
      </c>
      <c r="T16" s="244" t="inlineStr">
        <is>
          <t>B+</t>
        </is>
      </c>
      <c r="U16" s="244" t="inlineStr">
        <is>
          <t>S</t>
        </is>
      </c>
    </row>
    <row r="17" ht="13.55" customHeight="1" s="225">
      <c r="A17" s="241" t="n">
        <v>14</v>
      </c>
      <c r="B17" s="242" t="inlineStr">
        <is>
          <t>MARIN GOMEZ MATIAS ALEXANDER</t>
        </is>
      </c>
      <c r="C17" s="243" t="n">
        <v>8.01</v>
      </c>
      <c r="D17" s="244" t="inlineStr">
        <is>
          <t>B+</t>
        </is>
      </c>
      <c r="E17" s="243" t="n">
        <v>7.05</v>
      </c>
      <c r="F17" s="244" t="inlineStr">
        <is>
          <t>B+</t>
        </is>
      </c>
      <c r="G17" s="243" t="n">
        <v>7.91</v>
      </c>
      <c r="H17" s="244" t="inlineStr">
        <is>
          <t>B+</t>
        </is>
      </c>
      <c r="I17" s="243" t="n">
        <v>7.37</v>
      </c>
      <c r="J17" s="244" t="inlineStr">
        <is>
          <t>B+</t>
        </is>
      </c>
      <c r="K17" s="243" t="n">
        <v>7.54</v>
      </c>
      <c r="L17" s="244" t="inlineStr">
        <is>
          <t>B+</t>
        </is>
      </c>
      <c r="M17" s="243" t="n">
        <v>7.22</v>
      </c>
      <c r="N17" s="244" t="inlineStr">
        <is>
          <t>B+</t>
        </is>
      </c>
      <c r="O17" s="243" t="n">
        <v>8.66</v>
      </c>
      <c r="P17" s="244" t="inlineStr">
        <is>
          <t>A-</t>
        </is>
      </c>
      <c r="Q17" s="244" t="inlineStr">
        <is>
          <t>A-</t>
        </is>
      </c>
      <c r="R17" s="244" t="inlineStr">
        <is>
          <t>A+</t>
        </is>
      </c>
      <c r="S17" s="243" t="n">
        <v>7.68</v>
      </c>
      <c r="T17" s="244" t="inlineStr">
        <is>
          <t>B+</t>
        </is>
      </c>
      <c r="U17" s="244" t="inlineStr">
        <is>
          <t>S</t>
        </is>
      </c>
    </row>
    <row r="18" ht="13.55" customHeight="1" s="225">
      <c r="A18" s="241" t="n">
        <v>15</v>
      </c>
      <c r="B18" s="242" t="inlineStr">
        <is>
          <t>MAUREL APONCIO VALERYKS ALEXANDRA</t>
        </is>
      </c>
      <c r="C18" s="243" t="n">
        <v>8.210000000000001</v>
      </c>
      <c r="D18" s="244" t="inlineStr">
        <is>
          <t>B+</t>
        </is>
      </c>
      <c r="E18" s="243" t="n">
        <v>7.59</v>
      </c>
      <c r="F18" s="244" t="inlineStr">
        <is>
          <t>B+</t>
        </is>
      </c>
      <c r="G18" s="243" t="n">
        <v>8.19</v>
      </c>
      <c r="H18" s="244" t="inlineStr">
        <is>
          <t>B+</t>
        </is>
      </c>
      <c r="I18" s="243" t="n">
        <v>7.51</v>
      </c>
      <c r="J18" s="244" t="inlineStr">
        <is>
          <t>B+</t>
        </is>
      </c>
      <c r="K18" s="243" t="n">
        <v>7.74</v>
      </c>
      <c r="L18" s="244" t="inlineStr">
        <is>
          <t>B+</t>
        </is>
      </c>
      <c r="M18" s="243" t="n">
        <v>7.66</v>
      </c>
      <c r="N18" s="244" t="inlineStr">
        <is>
          <t>B+</t>
        </is>
      </c>
      <c r="O18" s="243" t="n">
        <v>8.880000000000001</v>
      </c>
      <c r="P18" s="244" t="inlineStr">
        <is>
          <t>A-</t>
        </is>
      </c>
      <c r="Q18" s="244" t="inlineStr">
        <is>
          <t>A+</t>
        </is>
      </c>
      <c r="R18" s="244" t="inlineStr">
        <is>
          <t>A+</t>
        </is>
      </c>
      <c r="S18" s="243" t="n">
        <v>7.94</v>
      </c>
      <c r="T18" s="244" t="inlineStr">
        <is>
          <t>B+</t>
        </is>
      </c>
      <c r="U18" s="244" t="inlineStr">
        <is>
          <t>S</t>
        </is>
      </c>
    </row>
    <row r="19" ht="13.55" customHeight="1" s="225">
      <c r="A19" s="241" t="n">
        <v>16</v>
      </c>
      <c r="B19" s="242" t="inlineStr">
        <is>
          <t>MEJIA QUITO DULCE MARIA</t>
        </is>
      </c>
      <c r="C19" s="243" t="n">
        <v>8.81</v>
      </c>
      <c r="D19" s="244" t="inlineStr">
        <is>
          <t>A-</t>
        </is>
      </c>
      <c r="E19" s="243" t="n">
        <v>8</v>
      </c>
      <c r="F19" s="244" t="inlineStr">
        <is>
          <t>A-</t>
        </is>
      </c>
      <c r="G19" s="243" t="n">
        <v>9.050000000000001</v>
      </c>
      <c r="H19" s="244" t="inlineStr">
        <is>
          <t>A-</t>
        </is>
      </c>
      <c r="I19" s="243" t="n">
        <v>8.449999999999999</v>
      </c>
      <c r="J19" s="244" t="inlineStr">
        <is>
          <t>B+</t>
        </is>
      </c>
      <c r="K19" s="243" t="n">
        <v>9.289999999999999</v>
      </c>
      <c r="L19" s="244" t="inlineStr">
        <is>
          <t>A-</t>
        </is>
      </c>
      <c r="M19" s="243" t="n">
        <v>8.859999999999999</v>
      </c>
      <c r="N19" s="244" t="inlineStr">
        <is>
          <t>A-</t>
        </is>
      </c>
      <c r="O19" s="243" t="n">
        <v>9.630000000000001</v>
      </c>
      <c r="P19" s="244" t="inlineStr">
        <is>
          <t>A+</t>
        </is>
      </c>
      <c r="Q19" s="244" t="inlineStr">
        <is>
          <t>A+</t>
        </is>
      </c>
      <c r="R19" s="244" t="inlineStr">
        <is>
          <t>A+</t>
        </is>
      </c>
      <c r="S19" s="243" t="n">
        <v>8.869999999999999</v>
      </c>
      <c r="T19" s="244" t="inlineStr">
        <is>
          <t>A-</t>
        </is>
      </c>
      <c r="U19" s="244" t="inlineStr">
        <is>
          <t>S</t>
        </is>
      </c>
    </row>
    <row r="20" ht="13.55" customHeight="1" s="225">
      <c r="A20" s="241" t="n">
        <v>17</v>
      </c>
      <c r="B20" s="242" t="inlineStr">
        <is>
          <t>MEJIA UZHCA JORGE ESTEBAN</t>
        </is>
      </c>
      <c r="C20" s="243" t="n">
        <v>9.08</v>
      </c>
      <c r="D20" s="244" t="inlineStr">
        <is>
          <t>A-</t>
        </is>
      </c>
      <c r="E20" s="243" t="n">
        <v>9.31</v>
      </c>
      <c r="F20" s="244" t="inlineStr">
        <is>
          <t>A-</t>
        </is>
      </c>
      <c r="G20" s="243" t="n">
        <v>9.65</v>
      </c>
      <c r="H20" s="244" t="inlineStr">
        <is>
          <t>A+</t>
        </is>
      </c>
      <c r="I20" s="243" t="n">
        <v>8.890000000000001</v>
      </c>
      <c r="J20" s="244" t="inlineStr">
        <is>
          <t>A-</t>
        </is>
      </c>
      <c r="K20" s="243" t="n">
        <v>9.51</v>
      </c>
      <c r="L20" s="244" t="inlineStr">
        <is>
          <t>A+</t>
        </is>
      </c>
      <c r="M20" s="243" t="n">
        <v>9.140000000000001</v>
      </c>
      <c r="N20" s="244" t="inlineStr">
        <is>
          <t>A-</t>
        </is>
      </c>
      <c r="O20" s="243" t="n">
        <v>9.52</v>
      </c>
      <c r="P20" s="244" t="inlineStr">
        <is>
          <t>A+</t>
        </is>
      </c>
      <c r="Q20" s="244" t="inlineStr">
        <is>
          <t>A+</t>
        </is>
      </c>
      <c r="R20" s="244" t="inlineStr">
        <is>
          <t>A+</t>
        </is>
      </c>
      <c r="S20" s="243" t="n">
        <v>9.300000000000001</v>
      </c>
      <c r="T20" s="244" t="inlineStr">
        <is>
          <t>A-</t>
        </is>
      </c>
      <c r="U20" s="244" t="inlineStr">
        <is>
          <t>S</t>
        </is>
      </c>
    </row>
    <row r="21" ht="13.55" customHeight="1" s="225">
      <c r="A21" s="241" t="n">
        <v>18</v>
      </c>
      <c r="B21" s="245" t="inlineStr">
        <is>
          <t>MENDEZ AVILA MICAELA JAMILETH</t>
        </is>
      </c>
      <c r="C21" s="243" t="n">
        <v>9.57</v>
      </c>
      <c r="D21" s="244" t="inlineStr">
        <is>
          <t>A+</t>
        </is>
      </c>
      <c r="E21" s="243" t="n">
        <v>9.08</v>
      </c>
      <c r="F21" s="244" t="inlineStr">
        <is>
          <t>A+</t>
        </is>
      </c>
      <c r="G21" s="246" t="n">
        <v>9.82</v>
      </c>
      <c r="H21" s="244" t="inlineStr">
        <is>
          <t>A+</t>
        </is>
      </c>
      <c r="I21" s="243" t="n">
        <v>9.279999999999999</v>
      </c>
      <c r="J21" s="244" t="inlineStr">
        <is>
          <t>A-</t>
        </is>
      </c>
      <c r="K21" s="243" t="n">
        <v>9.17</v>
      </c>
      <c r="L21" s="244" t="inlineStr">
        <is>
          <t>A-</t>
        </is>
      </c>
      <c r="M21" s="243" t="n">
        <v>9.09</v>
      </c>
      <c r="N21" s="244" t="inlineStr">
        <is>
          <t>A+</t>
        </is>
      </c>
      <c r="O21" s="243" t="n">
        <v>9.640000000000001</v>
      </c>
      <c r="P21" s="244" t="inlineStr">
        <is>
          <t>A+</t>
        </is>
      </c>
      <c r="Q21" s="244" t="inlineStr">
        <is>
          <t>A+</t>
        </is>
      </c>
      <c r="R21" s="244" t="inlineStr">
        <is>
          <t>A+</t>
        </is>
      </c>
      <c r="S21" s="243" t="n">
        <v>9.31</v>
      </c>
      <c r="T21" s="244" t="inlineStr">
        <is>
          <t>A-</t>
        </is>
      </c>
      <c r="U21" s="244" t="inlineStr">
        <is>
          <t>S</t>
        </is>
      </c>
    </row>
    <row r="22" ht="13.55" customHeight="1" s="225">
      <c r="A22" s="241" t="n">
        <v>19</v>
      </c>
      <c r="B22" s="245" t="inlineStr">
        <is>
          <t>NIEVES VILLA HAITANA VALENTINA</t>
        </is>
      </c>
      <c r="C22" s="243" t="n">
        <v>8.51</v>
      </c>
      <c r="D22" s="244" t="inlineStr">
        <is>
          <t>A-</t>
        </is>
      </c>
      <c r="E22" s="243" t="n">
        <v>7.66</v>
      </c>
      <c r="F22" s="244" t="inlineStr">
        <is>
          <t>B+</t>
        </is>
      </c>
      <c r="G22" s="243" t="n">
        <v>8.58</v>
      </c>
      <c r="H22" s="244" t="inlineStr">
        <is>
          <t>A-</t>
        </is>
      </c>
      <c r="I22" s="246" t="n">
        <v>8.16</v>
      </c>
      <c r="J22" s="244" t="inlineStr">
        <is>
          <t>B+</t>
        </is>
      </c>
      <c r="K22" s="243" t="n">
        <v>8.859999999999999</v>
      </c>
      <c r="L22" s="244" t="inlineStr">
        <is>
          <t>A-</t>
        </is>
      </c>
      <c r="M22" s="243" t="n">
        <v>8.02</v>
      </c>
      <c r="N22" s="244" t="inlineStr">
        <is>
          <t>B+</t>
        </is>
      </c>
      <c r="O22" s="243" t="n">
        <v>8.970000000000001</v>
      </c>
      <c r="P22" s="244" t="inlineStr">
        <is>
          <t>A-</t>
        </is>
      </c>
      <c r="Q22" s="244" t="inlineStr">
        <is>
          <t>A+</t>
        </is>
      </c>
      <c r="R22" s="244" t="inlineStr">
        <is>
          <t>A+</t>
        </is>
      </c>
      <c r="S22" s="243" t="n">
        <v>8.390000000000001</v>
      </c>
      <c r="T22" s="244" t="inlineStr">
        <is>
          <t>B+</t>
        </is>
      </c>
      <c r="U22" s="244" t="inlineStr">
        <is>
          <t>S</t>
        </is>
      </c>
    </row>
    <row r="23" ht="13.55" customHeight="1" s="225">
      <c r="A23" s="241" t="n">
        <v>20</v>
      </c>
      <c r="B23" s="245" t="inlineStr">
        <is>
          <t>ORDOÑEZ FAJARDO LEONARDO JAVIER</t>
        </is>
      </c>
      <c r="C23" s="243" t="n">
        <v>7.49</v>
      </c>
      <c r="D23" s="244" t="inlineStr">
        <is>
          <t>B+</t>
        </is>
      </c>
      <c r="E23" s="243" t="n">
        <v>7.02</v>
      </c>
      <c r="F23" s="244" t="inlineStr">
        <is>
          <t>B+</t>
        </is>
      </c>
      <c r="G23" s="243" t="n">
        <v>7.96</v>
      </c>
      <c r="H23" s="244" t="inlineStr">
        <is>
          <t>B+</t>
        </is>
      </c>
      <c r="I23" s="246" t="n">
        <v>7.61</v>
      </c>
      <c r="J23" s="244" t="inlineStr">
        <is>
          <t>B+</t>
        </is>
      </c>
      <c r="K23" s="243" t="n">
        <v>7.76</v>
      </c>
      <c r="L23" s="244" t="inlineStr">
        <is>
          <t>B+</t>
        </is>
      </c>
      <c r="M23" s="246" t="n">
        <v>7.66</v>
      </c>
      <c r="N23" s="244" t="inlineStr">
        <is>
          <t>B+</t>
        </is>
      </c>
      <c r="O23" s="243" t="n">
        <v>8.74</v>
      </c>
      <c r="P23" s="244" t="inlineStr">
        <is>
          <t>A-</t>
        </is>
      </c>
      <c r="Q23" s="244" t="inlineStr">
        <is>
          <t>A+</t>
        </is>
      </c>
      <c r="R23" s="244" t="inlineStr">
        <is>
          <t>A+</t>
        </is>
      </c>
      <c r="S23" s="246" t="n">
        <v>7.75</v>
      </c>
      <c r="T23" s="244" t="inlineStr">
        <is>
          <t>B+</t>
        </is>
      </c>
      <c r="U23" s="244" t="inlineStr">
        <is>
          <t>S</t>
        </is>
      </c>
    </row>
    <row r="24" ht="13.55" customHeight="1" s="225">
      <c r="A24" s="241" t="n">
        <v>21</v>
      </c>
      <c r="B24" s="242" t="inlineStr">
        <is>
          <t>ORDOÑEZ GALLARDO JHON MAYKEL</t>
        </is>
      </c>
      <c r="C24" s="243" t="n">
        <v>8.66</v>
      </c>
      <c r="D24" s="244" t="inlineStr">
        <is>
          <t>A-</t>
        </is>
      </c>
      <c r="E24" s="243" t="n">
        <v>8.58</v>
      </c>
      <c r="F24" s="244" t="inlineStr">
        <is>
          <t>A-</t>
        </is>
      </c>
      <c r="G24" s="243" t="n">
        <v>8.789999999999999</v>
      </c>
      <c r="H24" s="244" t="inlineStr">
        <is>
          <t>A-</t>
        </is>
      </c>
      <c r="I24" s="243" t="n">
        <v>8.390000000000001</v>
      </c>
      <c r="J24" s="244" t="inlineStr">
        <is>
          <t>B+</t>
        </is>
      </c>
      <c r="K24" s="243" t="n">
        <v>8.4</v>
      </c>
      <c r="L24" s="244" t="inlineStr">
        <is>
          <t>B+</t>
        </is>
      </c>
      <c r="M24" s="243" t="n">
        <v>7.87</v>
      </c>
      <c r="N24" s="244" t="inlineStr">
        <is>
          <t>B+</t>
        </is>
      </c>
      <c r="O24" s="243" t="n">
        <v>9.039999999999999</v>
      </c>
      <c r="P24" s="244" t="inlineStr">
        <is>
          <t>A-</t>
        </is>
      </c>
      <c r="Q24" s="244" t="inlineStr">
        <is>
          <t>A+</t>
        </is>
      </c>
      <c r="R24" s="244" t="inlineStr">
        <is>
          <t>A+</t>
        </is>
      </c>
      <c r="S24" s="243" t="n">
        <v>8.529999999999999</v>
      </c>
      <c r="T24" s="244" t="inlineStr">
        <is>
          <t>A-</t>
        </is>
      </c>
      <c r="U24" s="244" t="inlineStr">
        <is>
          <t>S</t>
        </is>
      </c>
    </row>
    <row r="25" ht="13.55" customHeight="1" s="225">
      <c r="A25" s="241" t="n">
        <v>22</v>
      </c>
      <c r="B25" s="242" t="inlineStr">
        <is>
          <t>PARRA AGUILAR JORDY STIPHEN</t>
        </is>
      </c>
      <c r="C25" s="243" t="n">
        <v>9.609999999999999</v>
      </c>
      <c r="D25" s="244" t="inlineStr">
        <is>
          <t>A+</t>
        </is>
      </c>
      <c r="E25" s="243" t="n">
        <v>9.710000000000001</v>
      </c>
      <c r="F25" s="244" t="inlineStr">
        <is>
          <t>A+</t>
        </is>
      </c>
      <c r="G25" s="243" t="n">
        <v>9.73</v>
      </c>
      <c r="H25" s="244" t="inlineStr">
        <is>
          <t>A+</t>
        </is>
      </c>
      <c r="I25" s="243" t="n">
        <v>9.73</v>
      </c>
      <c r="J25" s="244" t="inlineStr">
        <is>
          <t>A+</t>
        </is>
      </c>
      <c r="K25" s="243" t="n">
        <v>9.91</v>
      </c>
      <c r="L25" s="244" t="inlineStr">
        <is>
          <t>A+</t>
        </is>
      </c>
      <c r="M25" s="243" t="n">
        <v>9.66</v>
      </c>
      <c r="N25" s="244" t="inlineStr">
        <is>
          <t>A+</t>
        </is>
      </c>
      <c r="O25" s="243" t="n">
        <v>9.779999999999999</v>
      </c>
      <c r="P25" s="244" t="inlineStr">
        <is>
          <t>A+</t>
        </is>
      </c>
      <c r="Q25" s="244" t="inlineStr">
        <is>
          <t>A+</t>
        </is>
      </c>
      <c r="R25" s="244" t="inlineStr">
        <is>
          <t>A+</t>
        </is>
      </c>
      <c r="S25" s="243" t="n">
        <v>9.73</v>
      </c>
      <c r="T25" s="244" t="inlineStr">
        <is>
          <t>A+</t>
        </is>
      </c>
      <c r="U25" s="244" t="inlineStr">
        <is>
          <t>S</t>
        </is>
      </c>
    </row>
    <row r="26" ht="13.55" customHeight="1" s="225">
      <c r="A26" s="241" t="n">
        <v>23</v>
      </c>
      <c r="B26" s="242" t="inlineStr">
        <is>
          <t>PILLCO VILLAVICENCIO SAMANTHA MARIBEL</t>
        </is>
      </c>
      <c r="C26" s="243" t="n">
        <v>9.300000000000001</v>
      </c>
      <c r="D26" s="244" t="inlineStr">
        <is>
          <t>A-</t>
        </is>
      </c>
      <c r="E26" s="243" t="n">
        <v>9.359999999999999</v>
      </c>
      <c r="F26" s="244" t="inlineStr">
        <is>
          <t>A-</t>
        </is>
      </c>
      <c r="G26" s="243" t="n">
        <v>9.460000000000001</v>
      </c>
      <c r="H26" s="244" t="inlineStr">
        <is>
          <t>A+</t>
        </is>
      </c>
      <c r="I26" s="243" t="n">
        <v>9.67</v>
      </c>
      <c r="J26" s="244" t="inlineStr">
        <is>
          <t>A+</t>
        </is>
      </c>
      <c r="K26" s="243" t="n">
        <v>9.66</v>
      </c>
      <c r="L26" s="244" t="inlineStr">
        <is>
          <t>A-</t>
        </is>
      </c>
      <c r="M26" s="243" t="n">
        <v>9.23</v>
      </c>
      <c r="N26" s="244" t="inlineStr">
        <is>
          <t>A-</t>
        </is>
      </c>
      <c r="O26" s="243" t="n">
        <v>9.81</v>
      </c>
      <c r="P26" s="244" t="inlineStr">
        <is>
          <t>A-</t>
        </is>
      </c>
      <c r="Q26" s="244" t="inlineStr">
        <is>
          <t>A+</t>
        </is>
      </c>
      <c r="R26" s="244" t="inlineStr">
        <is>
          <t>A+</t>
        </is>
      </c>
      <c r="S26" s="243" t="n">
        <v>9.5</v>
      </c>
      <c r="T26" s="244" t="inlineStr">
        <is>
          <t>A+</t>
        </is>
      </c>
      <c r="U26" s="244" t="inlineStr">
        <is>
          <t>S</t>
        </is>
      </c>
    </row>
    <row r="27" ht="13.55" customHeight="1" s="225">
      <c r="A27" s="241" t="n">
        <v>24</v>
      </c>
      <c r="B27" s="245" t="inlineStr">
        <is>
          <t>PULGARIN SIMBAÑA ASHLEY SALOME</t>
        </is>
      </c>
      <c r="C27" s="243" t="n">
        <v>9.26</v>
      </c>
      <c r="D27" s="244" t="inlineStr">
        <is>
          <t>A-</t>
        </is>
      </c>
      <c r="E27" s="243" t="n">
        <v>8.98</v>
      </c>
      <c r="F27" s="244" t="inlineStr">
        <is>
          <t>A-</t>
        </is>
      </c>
      <c r="G27" s="243" t="n">
        <v>9.17</v>
      </c>
      <c r="H27" s="244" t="inlineStr">
        <is>
          <t>A-</t>
        </is>
      </c>
      <c r="I27" s="246" t="n">
        <v>9.52</v>
      </c>
      <c r="J27" s="244" t="inlineStr">
        <is>
          <t>A+</t>
        </is>
      </c>
      <c r="K27" s="243" t="n">
        <v>8.949999999999999</v>
      </c>
      <c r="L27" s="244" t="inlineStr">
        <is>
          <t>A-</t>
        </is>
      </c>
      <c r="M27" s="243" t="n">
        <v>9.039999999999999</v>
      </c>
      <c r="N27" s="244" t="inlineStr">
        <is>
          <t>A-</t>
        </is>
      </c>
      <c r="O27" s="243" t="n">
        <v>9.359999999999999</v>
      </c>
      <c r="P27" s="244" t="inlineStr">
        <is>
          <t>A+</t>
        </is>
      </c>
      <c r="Q27" s="244" t="inlineStr">
        <is>
          <t>A+</t>
        </is>
      </c>
      <c r="R27" s="244" t="inlineStr">
        <is>
          <t>A+</t>
        </is>
      </c>
      <c r="S27" s="246" t="n">
        <v>9.18</v>
      </c>
      <c r="T27" s="244" t="inlineStr">
        <is>
          <t>A-</t>
        </is>
      </c>
      <c r="U27" s="244" t="inlineStr">
        <is>
          <t>S</t>
        </is>
      </c>
    </row>
    <row r="28" ht="13.55" customHeight="1" s="225">
      <c r="A28" s="241" t="n">
        <v>25</v>
      </c>
      <c r="B28" s="245" t="inlineStr">
        <is>
          <t>QUITO CABRERA MARJORIE MIKAELA</t>
        </is>
      </c>
      <c r="C28" s="243" t="n">
        <v>9.26</v>
      </c>
      <c r="D28" s="244" t="inlineStr">
        <is>
          <t>A-</t>
        </is>
      </c>
      <c r="E28" s="246" t="n">
        <v>8.880000000000001</v>
      </c>
      <c r="F28" s="244" t="inlineStr">
        <is>
          <t>A-</t>
        </is>
      </c>
      <c r="G28" s="243" t="n">
        <v>9.07</v>
      </c>
      <c r="H28" s="244" t="inlineStr">
        <is>
          <t>A-</t>
        </is>
      </c>
      <c r="I28" s="243" t="n">
        <v>9.1</v>
      </c>
      <c r="J28" s="244" t="inlineStr">
        <is>
          <t>A-</t>
        </is>
      </c>
      <c r="K28" s="243" t="n">
        <v>9.210000000000001</v>
      </c>
      <c r="L28" s="244" t="inlineStr">
        <is>
          <t>A-</t>
        </is>
      </c>
      <c r="M28" s="243" t="n">
        <v>8.85</v>
      </c>
      <c r="N28" s="244" t="inlineStr">
        <is>
          <t>A-</t>
        </is>
      </c>
      <c r="O28" s="243" t="n">
        <v>9.59</v>
      </c>
      <c r="P28" s="244" t="inlineStr">
        <is>
          <t>A-</t>
        </is>
      </c>
      <c r="Q28" s="244" t="inlineStr">
        <is>
          <t>A+</t>
        </is>
      </c>
      <c r="R28" s="244" t="inlineStr">
        <is>
          <t>A+</t>
        </is>
      </c>
      <c r="S28" s="243" t="n">
        <v>9.130000000000001</v>
      </c>
      <c r="T28" s="244" t="inlineStr">
        <is>
          <t>A-</t>
        </is>
      </c>
      <c r="U28" s="244" t="inlineStr">
        <is>
          <t>S</t>
        </is>
      </c>
    </row>
    <row r="29" ht="13.55" customHeight="1" s="225">
      <c r="A29" s="241" t="n">
        <v>26</v>
      </c>
      <c r="B29" s="245" t="inlineStr">
        <is>
          <t>QUITO SOLIZ EVELYN DAFNE</t>
        </is>
      </c>
      <c r="C29" s="243" t="n">
        <v>9.02</v>
      </c>
      <c r="D29" s="244" t="inlineStr">
        <is>
          <t>B+</t>
        </is>
      </c>
      <c r="E29" s="243" t="n">
        <v>8.43</v>
      </c>
      <c r="F29" s="244" t="inlineStr">
        <is>
          <t>B+</t>
        </is>
      </c>
      <c r="G29" s="243" t="n">
        <v>8.779999999999999</v>
      </c>
      <c r="H29" s="244" t="inlineStr">
        <is>
          <t>A-</t>
        </is>
      </c>
      <c r="I29" s="246" t="n">
        <v>9</v>
      </c>
      <c r="J29" s="244" t="inlineStr">
        <is>
          <t>A-</t>
        </is>
      </c>
      <c r="K29" s="246" t="n">
        <v>9.029999999999999</v>
      </c>
      <c r="L29" s="244" t="inlineStr">
        <is>
          <t>B+</t>
        </is>
      </c>
      <c r="M29" s="243" t="n">
        <v>8.869999999999999</v>
      </c>
      <c r="N29" s="244" t="inlineStr">
        <is>
          <t>A-</t>
        </is>
      </c>
      <c r="O29" s="243" t="n">
        <v>9.529999999999999</v>
      </c>
      <c r="P29" s="244" t="inlineStr">
        <is>
          <t>A-</t>
        </is>
      </c>
      <c r="Q29" s="244" t="inlineStr">
        <is>
          <t>A+</t>
        </is>
      </c>
      <c r="R29" s="244" t="inlineStr">
        <is>
          <t>A+</t>
        </is>
      </c>
      <c r="S29" s="246" t="n">
        <v>8.99</v>
      </c>
      <c r="T29" s="244" t="inlineStr">
        <is>
          <t>A-</t>
        </is>
      </c>
      <c r="U29" s="244" t="inlineStr">
        <is>
          <t>S</t>
        </is>
      </c>
    </row>
    <row r="30" ht="13.55" customHeight="1" s="225">
      <c r="A30" s="241" t="n">
        <v>27</v>
      </c>
      <c r="B30" s="242" t="inlineStr">
        <is>
          <t>RIERA LAZO MAYKEL JOEL</t>
        </is>
      </c>
      <c r="C30" s="243" t="n">
        <v>8.32</v>
      </c>
      <c r="D30" s="244" t="inlineStr">
        <is>
          <t>B+</t>
        </is>
      </c>
      <c r="E30" s="243" t="n">
        <v>7.93</v>
      </c>
      <c r="F30" s="244" t="inlineStr">
        <is>
          <t>B+</t>
        </is>
      </c>
      <c r="G30" s="243" t="n">
        <v>7.86</v>
      </c>
      <c r="H30" s="244" t="inlineStr">
        <is>
          <t>A-</t>
        </is>
      </c>
      <c r="I30" s="243" t="n">
        <v>7.98</v>
      </c>
      <c r="J30" s="244" t="inlineStr">
        <is>
          <t>B+</t>
        </is>
      </c>
      <c r="K30" s="243" t="n">
        <v>8.470000000000001</v>
      </c>
      <c r="L30" s="244" t="inlineStr">
        <is>
          <t>B+</t>
        </is>
      </c>
      <c r="M30" s="243" t="n">
        <v>7.42</v>
      </c>
      <c r="N30" s="244" t="inlineStr">
        <is>
          <t>B+</t>
        </is>
      </c>
      <c r="O30" s="243" t="n">
        <v>9.300000000000001</v>
      </c>
      <c r="P30" s="244" t="inlineStr">
        <is>
          <t>A+</t>
        </is>
      </c>
      <c r="Q30" s="244" t="inlineStr">
        <is>
          <t>A+</t>
        </is>
      </c>
      <c r="R30" s="244" t="inlineStr">
        <is>
          <t>A+</t>
        </is>
      </c>
      <c r="S30" s="243" t="n">
        <v>8.16</v>
      </c>
      <c r="T30" s="244" t="inlineStr">
        <is>
          <t>B+</t>
        </is>
      </c>
      <c r="U30" s="244" t="inlineStr">
        <is>
          <t>S</t>
        </is>
      </c>
    </row>
    <row r="31" ht="13.55" customHeight="1" s="225">
      <c r="A31" s="241" t="n">
        <v>28</v>
      </c>
      <c r="B31" s="242" t="inlineStr">
        <is>
          <t>ROJAS AGUILAR MARCIA SABRINA</t>
        </is>
      </c>
      <c r="C31" s="243" t="n">
        <v>8.42</v>
      </c>
      <c r="D31" s="244" t="inlineStr">
        <is>
          <t>B+</t>
        </is>
      </c>
      <c r="E31" s="243" t="n">
        <v>7.64</v>
      </c>
      <c r="F31" s="244" t="inlineStr">
        <is>
          <t>B+</t>
        </is>
      </c>
      <c r="G31" s="243" t="n">
        <v>8.710000000000001</v>
      </c>
      <c r="H31" s="244" t="inlineStr">
        <is>
          <t>A-</t>
        </is>
      </c>
      <c r="I31" s="243" t="n">
        <v>8.210000000000001</v>
      </c>
      <c r="J31" s="244" t="inlineStr">
        <is>
          <t>B+</t>
        </is>
      </c>
      <c r="K31" s="243" t="n">
        <v>8.56</v>
      </c>
      <c r="L31" s="244" t="inlineStr">
        <is>
          <t>A-</t>
        </is>
      </c>
      <c r="M31" s="243" t="n">
        <v>7.96</v>
      </c>
      <c r="N31" s="244" t="inlineStr">
        <is>
          <t>B+</t>
        </is>
      </c>
      <c r="O31" s="243" t="n">
        <v>9.16</v>
      </c>
      <c r="P31" s="244" t="inlineStr">
        <is>
          <t>A-</t>
        </is>
      </c>
      <c r="Q31" s="244" t="inlineStr">
        <is>
          <t>A+</t>
        </is>
      </c>
      <c r="R31" s="244" t="inlineStr">
        <is>
          <t>A+</t>
        </is>
      </c>
      <c r="S31" s="243" t="n">
        <v>8.380000000000001</v>
      </c>
      <c r="T31" s="244" t="inlineStr">
        <is>
          <t>B+</t>
        </is>
      </c>
      <c r="U31" s="244" t="inlineStr">
        <is>
          <t>S</t>
        </is>
      </c>
    </row>
    <row r="32" ht="13.55" customHeight="1" s="225">
      <c r="A32" s="241" t="n">
        <v>29</v>
      </c>
      <c r="B32" s="242" t="inlineStr">
        <is>
          <t>SIMBAÑA CABRERA JHOJAN JHOSUE</t>
        </is>
      </c>
      <c r="C32" s="243" t="n">
        <v>9.289999999999999</v>
      </c>
      <c r="D32" s="244" t="inlineStr">
        <is>
          <t>A-</t>
        </is>
      </c>
      <c r="E32" s="243" t="n">
        <v>8.390000000000001</v>
      </c>
      <c r="F32" s="244" t="inlineStr">
        <is>
          <t>B+</t>
        </is>
      </c>
      <c r="G32" s="243" t="n">
        <v>9.08</v>
      </c>
      <c r="H32" s="244" t="inlineStr">
        <is>
          <t>A-</t>
        </is>
      </c>
      <c r="I32" s="243" t="n">
        <v>8.619999999999999</v>
      </c>
      <c r="J32" s="244" t="inlineStr">
        <is>
          <t>A-</t>
        </is>
      </c>
      <c r="K32" s="243" t="n">
        <v>8.75</v>
      </c>
      <c r="L32" s="244" t="inlineStr">
        <is>
          <t>A-</t>
        </is>
      </c>
      <c r="M32" s="243" t="n">
        <v>7.8</v>
      </c>
      <c r="N32" s="244" t="inlineStr">
        <is>
          <t>B+</t>
        </is>
      </c>
      <c r="O32" s="243" t="n">
        <v>9.630000000000001</v>
      </c>
      <c r="P32" s="244" t="inlineStr">
        <is>
          <t>A-</t>
        </is>
      </c>
      <c r="Q32" s="244" t="inlineStr">
        <is>
          <t>A+</t>
        </is>
      </c>
      <c r="R32" s="244" t="inlineStr">
        <is>
          <t>A+</t>
        </is>
      </c>
      <c r="S32" s="243" t="n">
        <v>8.789999999999999</v>
      </c>
      <c r="T32" s="244" t="inlineStr">
        <is>
          <t>A-</t>
        </is>
      </c>
      <c r="U32" s="244" t="inlineStr">
        <is>
          <t>S</t>
        </is>
      </c>
    </row>
    <row r="33" ht="13.55" customHeight="1" s="225">
      <c r="A33" s="241" t="n">
        <v>30</v>
      </c>
      <c r="B33" s="242" t="inlineStr">
        <is>
          <t>SINCHE SANCHEZ MAITE SALOME</t>
        </is>
      </c>
      <c r="C33" s="243" t="n">
        <v>8.720000000000001</v>
      </c>
      <c r="D33" s="244" t="inlineStr">
        <is>
          <t>A-</t>
        </is>
      </c>
      <c r="E33" s="243" t="n">
        <v>8.16</v>
      </c>
      <c r="F33" s="244" t="inlineStr">
        <is>
          <t>B+</t>
        </is>
      </c>
      <c r="G33" s="243" t="n">
        <v>8.93</v>
      </c>
      <c r="H33" s="244" t="inlineStr">
        <is>
          <t>A-</t>
        </is>
      </c>
      <c r="I33" s="243" t="n">
        <v>8.65</v>
      </c>
      <c r="J33" s="244" t="inlineStr">
        <is>
          <t>A-</t>
        </is>
      </c>
      <c r="K33" s="243" t="n">
        <v>8.1</v>
      </c>
      <c r="L33" s="244" t="inlineStr">
        <is>
          <t>A-</t>
        </is>
      </c>
      <c r="M33" s="243" t="n">
        <v>7.87</v>
      </c>
      <c r="N33" s="244" t="inlineStr">
        <is>
          <t>B+</t>
        </is>
      </c>
      <c r="O33" s="243" t="n">
        <v>9.26</v>
      </c>
      <c r="P33" s="244" t="inlineStr">
        <is>
          <t>A-</t>
        </is>
      </c>
      <c r="Q33" s="244" t="inlineStr">
        <is>
          <t>A+</t>
        </is>
      </c>
      <c r="R33" s="244" t="inlineStr">
        <is>
          <t>A+</t>
        </is>
      </c>
      <c r="S33" s="243" t="n">
        <v>8.529999999999999</v>
      </c>
      <c r="T33" s="244" t="inlineStr">
        <is>
          <t>A-</t>
        </is>
      </c>
      <c r="U33" s="244" t="inlineStr">
        <is>
          <t>S</t>
        </is>
      </c>
    </row>
    <row r="34" ht="13.55" customHeight="1" s="225">
      <c r="A34" s="241" t="n">
        <v>31</v>
      </c>
      <c r="B34" s="242" t="inlineStr">
        <is>
          <t>TAPIA NIOLA BRENDA DAMARIS</t>
        </is>
      </c>
      <c r="C34" s="243" t="n">
        <v>8.74</v>
      </c>
      <c r="D34" s="244" t="inlineStr">
        <is>
          <t>B+</t>
        </is>
      </c>
      <c r="E34" s="243" t="n">
        <v>8.31</v>
      </c>
      <c r="F34" s="244" t="inlineStr">
        <is>
          <t>B+</t>
        </is>
      </c>
      <c r="G34" s="243" t="n">
        <v>8.869999999999999</v>
      </c>
      <c r="H34" s="244" t="inlineStr">
        <is>
          <t>B+</t>
        </is>
      </c>
      <c r="I34" s="243" t="n">
        <v>8.470000000000001</v>
      </c>
      <c r="J34" s="244" t="inlineStr">
        <is>
          <t>B+</t>
        </is>
      </c>
      <c r="K34" s="243" t="n">
        <v>8.550000000000001</v>
      </c>
      <c r="L34" s="244" t="inlineStr">
        <is>
          <t>A-</t>
        </is>
      </c>
      <c r="M34" s="243" t="n">
        <v>8.02</v>
      </c>
      <c r="N34" s="244" t="inlineStr">
        <is>
          <t>B+</t>
        </is>
      </c>
      <c r="O34" s="243" t="n">
        <v>9.19</v>
      </c>
      <c r="P34" s="244" t="inlineStr">
        <is>
          <t>A-</t>
        </is>
      </c>
      <c r="Q34" s="244" t="inlineStr">
        <is>
          <t>A+</t>
        </is>
      </c>
      <c r="R34" s="244" t="inlineStr">
        <is>
          <t>A+</t>
        </is>
      </c>
      <c r="S34" s="243" t="n">
        <v>8.59</v>
      </c>
      <c r="T34" s="244" t="inlineStr">
        <is>
          <t>A-</t>
        </is>
      </c>
      <c r="U34" s="244" t="inlineStr">
        <is>
          <t>S</t>
        </is>
      </c>
    </row>
    <row r="35" ht="13.55" customHeight="1" s="225">
      <c r="A35" s="241" t="n">
        <v>32</v>
      </c>
      <c r="B35" s="242" t="inlineStr">
        <is>
          <t>TONATO ESPINOZA NOA DAYANARA</t>
        </is>
      </c>
      <c r="C35" s="243" t="n">
        <v>8.380000000000001</v>
      </c>
      <c r="D35" s="244" t="inlineStr">
        <is>
          <t>A-</t>
        </is>
      </c>
      <c r="E35" s="243" t="n">
        <v>8.08</v>
      </c>
      <c r="F35" s="244" t="inlineStr">
        <is>
          <t>B+</t>
        </is>
      </c>
      <c r="G35" s="243" t="n">
        <v>9</v>
      </c>
      <c r="H35" s="244" t="inlineStr">
        <is>
          <t>A-</t>
        </is>
      </c>
      <c r="I35" s="243" t="n">
        <v>8.49</v>
      </c>
      <c r="J35" s="244" t="inlineStr">
        <is>
          <t>B+</t>
        </is>
      </c>
      <c r="K35" s="243" t="n">
        <v>8.5</v>
      </c>
      <c r="L35" s="244" t="inlineStr">
        <is>
          <t>B+</t>
        </is>
      </c>
      <c r="M35" s="243" t="n">
        <v>8.710000000000001</v>
      </c>
      <c r="N35" s="244" t="inlineStr">
        <is>
          <t>A-</t>
        </is>
      </c>
      <c r="O35" s="243" t="n">
        <v>8.880000000000001</v>
      </c>
      <c r="P35" s="244" t="inlineStr">
        <is>
          <t>A-</t>
        </is>
      </c>
      <c r="Q35" s="244" t="inlineStr">
        <is>
          <t>A+</t>
        </is>
      </c>
      <c r="R35" s="244" t="inlineStr">
        <is>
          <t>A+</t>
        </is>
      </c>
      <c r="S35" s="243" t="n">
        <v>8.58</v>
      </c>
      <c r="T35" s="244" t="inlineStr">
        <is>
          <t>A-</t>
        </is>
      </c>
      <c r="U35" s="244" t="inlineStr">
        <is>
          <t>S</t>
        </is>
      </c>
    </row>
    <row r="36" ht="13.55" customHeight="1" s="225">
      <c r="A36" s="241" t="n">
        <v>33</v>
      </c>
      <c r="B36" s="245" t="inlineStr">
        <is>
          <t>UYAGUARI QUITO BRIGITH GUADALUPE</t>
        </is>
      </c>
      <c r="C36" s="243" t="n">
        <v>7.84</v>
      </c>
      <c r="D36" s="244" t="inlineStr">
        <is>
          <t>B+</t>
        </is>
      </c>
      <c r="E36" s="246" t="n">
        <v>7.52</v>
      </c>
      <c r="F36" s="244" t="inlineStr">
        <is>
          <t>B+</t>
        </is>
      </c>
      <c r="G36" s="243" t="n">
        <v>8.18</v>
      </c>
      <c r="H36" s="244" t="inlineStr">
        <is>
          <t>B+</t>
        </is>
      </c>
      <c r="I36" s="243" t="n">
        <v>7.82</v>
      </c>
      <c r="J36" s="244" t="inlineStr">
        <is>
          <t>B+</t>
        </is>
      </c>
      <c r="K36" s="243" t="n">
        <v>7.56</v>
      </c>
      <c r="L36" s="244" t="inlineStr">
        <is>
          <t>B+</t>
        </is>
      </c>
      <c r="M36" s="243" t="n">
        <v>7.21</v>
      </c>
      <c r="N36" s="244" t="inlineStr">
        <is>
          <t>B+</t>
        </is>
      </c>
      <c r="O36" s="243" t="n">
        <v>8.9</v>
      </c>
      <c r="P36" s="244" t="inlineStr">
        <is>
          <t>A-</t>
        </is>
      </c>
      <c r="Q36" s="244" t="inlineStr">
        <is>
          <t>A+</t>
        </is>
      </c>
      <c r="R36" s="244" t="inlineStr">
        <is>
          <t>A+</t>
        </is>
      </c>
      <c r="S36" s="246" t="n">
        <v>7.86</v>
      </c>
      <c r="T36" s="244" t="inlineStr">
        <is>
          <t>B+</t>
        </is>
      </c>
      <c r="U36" s="244" t="inlineStr">
        <is>
          <t>S</t>
        </is>
      </c>
    </row>
    <row r="37" ht="13.55" customHeight="1" s="225">
      <c r="A37" s="241" t="n">
        <v>34</v>
      </c>
      <c r="B37" s="245" t="inlineStr">
        <is>
          <t>VARGAS BERRONES NAYELI DALILA</t>
        </is>
      </c>
      <c r="C37" s="243" t="n">
        <v>7.03</v>
      </c>
      <c r="D37" s="244" t="inlineStr">
        <is>
          <t>B-</t>
        </is>
      </c>
      <c r="E37" s="246" t="n">
        <v>6.92</v>
      </c>
      <c r="F37" s="244" t="inlineStr">
        <is>
          <t>B-</t>
        </is>
      </c>
      <c r="G37" s="243" t="n">
        <v>7.05</v>
      </c>
      <c r="H37" s="244" t="inlineStr">
        <is>
          <t>B-</t>
        </is>
      </c>
      <c r="I37" s="246" t="n">
        <v>7.09</v>
      </c>
      <c r="J37" s="244" t="inlineStr">
        <is>
          <t>B+</t>
        </is>
      </c>
      <c r="K37" s="243" t="n">
        <v>7.41</v>
      </c>
      <c r="L37" s="244" t="inlineStr">
        <is>
          <t>B-</t>
        </is>
      </c>
      <c r="M37" s="246" t="n">
        <v>6.94</v>
      </c>
      <c r="N37" s="244" t="inlineStr">
        <is>
          <t>B-</t>
        </is>
      </c>
      <c r="O37" s="243" t="n">
        <v>7.72</v>
      </c>
      <c r="P37" s="244" t="inlineStr">
        <is>
          <t>B+</t>
        </is>
      </c>
      <c r="Q37" s="244" t="inlineStr">
        <is>
          <t>A+</t>
        </is>
      </c>
      <c r="R37" s="244" t="inlineStr">
        <is>
          <t>A-</t>
        </is>
      </c>
      <c r="S37" s="243" t="n">
        <v>7.17</v>
      </c>
      <c r="T37" s="244" t="inlineStr">
        <is>
          <t>B-</t>
        </is>
      </c>
      <c r="U37" s="244" t="inlineStr">
        <is>
          <t>S</t>
        </is>
      </c>
    </row>
    <row r="38" ht="13.55" customHeight="1" s="225">
      <c r="A38" s="241" t="n">
        <v>35</v>
      </c>
      <c r="B38" s="242" t="inlineStr">
        <is>
          <t>ZUMBA PULGARIN KAREN VALENTINA</t>
        </is>
      </c>
      <c r="C38" s="243" t="n">
        <v>8.84</v>
      </c>
      <c r="D38" s="244" t="inlineStr">
        <is>
          <t>A-</t>
        </is>
      </c>
      <c r="E38" s="243" t="n">
        <v>8.390000000000001</v>
      </c>
      <c r="F38" s="244" t="inlineStr">
        <is>
          <t>B+</t>
        </is>
      </c>
      <c r="G38" s="243" t="n">
        <v>8.68</v>
      </c>
      <c r="H38" s="244" t="inlineStr">
        <is>
          <t>A-</t>
        </is>
      </c>
      <c r="I38" s="243" t="n">
        <v>8.26</v>
      </c>
      <c r="J38" s="244" t="inlineStr">
        <is>
          <t>B+</t>
        </is>
      </c>
      <c r="K38" s="243" t="n">
        <v>9</v>
      </c>
      <c r="L38" s="244" t="inlineStr">
        <is>
          <t>A-</t>
        </is>
      </c>
      <c r="M38" s="243" t="n">
        <v>7.81</v>
      </c>
      <c r="N38" s="244" t="inlineStr">
        <is>
          <t>B+</t>
        </is>
      </c>
      <c r="O38" s="243" t="n">
        <v>9.6</v>
      </c>
      <c r="P38" s="244" t="inlineStr">
        <is>
          <t>A+</t>
        </is>
      </c>
      <c r="Q38" s="244" t="inlineStr">
        <is>
          <t>A+</t>
        </is>
      </c>
      <c r="R38" s="244" t="inlineStr">
        <is>
          <t>A-</t>
        </is>
      </c>
      <c r="S38" s="243" t="n">
        <v>8.65</v>
      </c>
      <c r="T38" s="244" t="inlineStr">
        <is>
          <t>A-</t>
        </is>
      </c>
      <c r="U38" s="244" t="inlineStr">
        <is>
          <t>S</t>
        </is>
      </c>
    </row>
  </sheetData>
  <mergeCells count="14">
    <mergeCell ref="C1:U1"/>
    <mergeCell ref="O2:P2"/>
    <mergeCell ref="M2:N2"/>
    <mergeCell ref="C2:D2"/>
    <mergeCell ref="G2:H2"/>
    <mergeCell ref="E2:F2"/>
    <mergeCell ref="K2:L2"/>
    <mergeCell ref="I2:J2"/>
    <mergeCell ref="U2:U3"/>
    <mergeCell ref="B2:B3"/>
    <mergeCell ref="A2:A3"/>
    <mergeCell ref="A1:B1"/>
    <mergeCell ref="T2:T3"/>
    <mergeCell ref="S2:S3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5" customWidth="1" style="225" min="2" max="2"/>
    <col width="42" customWidth="1" style="225" min="3" max="3"/>
    <col width="6" customWidth="1" style="225" min="4" max="4"/>
    <col width="13" customWidth="1" style="225" min="15" max="15"/>
    <col width="8.851559999999999" customWidth="1" style="225" min="16" max="16"/>
  </cols>
  <sheetData>
    <row r="1" ht="40" customHeight="1" s="225">
      <c r="A1" s="428" t="inlineStr">
        <is>
          <t>DATOS INFORMATIVOS
ESTUDIANTES</t>
        </is>
      </c>
      <c r="B1" s="443" t="n"/>
      <c r="C1" s="443" t="n"/>
      <c r="D1" s="430" t="inlineStr">
        <is>
          <t>TUTOR</t>
        </is>
      </c>
      <c r="E1" s="431" t="inlineStr">
        <is>
          <t>MGS. LIDIA CABRERA TOLEDO</t>
        </is>
      </c>
      <c r="F1" s="444" t="n"/>
      <c r="G1" s="433" t="inlineStr">
        <is>
          <t>AÑO DE BÁSICA</t>
        </is>
      </c>
      <c r="H1" s="431" t="inlineStr">
        <is>
          <t>SÉPTIMO A</t>
        </is>
      </c>
      <c r="I1" s="444" t="n"/>
      <c r="J1" s="434" t="inlineStr">
        <is>
          <t>JORNADA</t>
        </is>
      </c>
      <c r="K1" s="431" t="inlineStr">
        <is>
          <t>VESPERTINA</t>
        </is>
      </c>
      <c r="L1" s="443" t="n"/>
      <c r="M1" s="444" t="n"/>
      <c r="N1" s="435" t="n"/>
      <c r="O1" s="435" t="n"/>
    </row>
    <row r="2" ht="110" customHeight="1" s="225">
      <c r="A2" s="232" t="inlineStr">
        <is>
          <t>N°</t>
        </is>
      </c>
      <c r="B2" s="232" t="inlineStr">
        <is>
          <t>CÉDULA</t>
        </is>
      </c>
      <c r="C2" s="232" t="inlineStr">
        <is>
          <t>APELLIDOS/NOMBRES</t>
        </is>
      </c>
      <c r="D2" s="233" t="inlineStr">
        <is>
          <t>LENGUA Y
LITERATURA</t>
        </is>
      </c>
      <c r="E2" s="234" t="inlineStr">
        <is>
          <t>MATEMÁTICA</t>
        </is>
      </c>
      <c r="F2" s="235" t="inlineStr">
        <is>
          <t>CIENCIAS
NATURALES</t>
        </is>
      </c>
      <c r="G2" s="236" t="inlineStr">
        <is>
          <t>ESTUDIOS
SOCIALES</t>
        </is>
      </c>
      <c r="H2" s="237" t="inlineStr">
        <is>
          <t>INGLES</t>
        </is>
      </c>
      <c r="I2" s="238" t="inlineStr">
        <is>
          <t>EDUCACIÓN
CULTURAL Y
ARTÍSTICA</t>
        </is>
      </c>
      <c r="J2" s="436" t="inlineStr">
        <is>
          <t>EDUCACIÓN
FÍSICA</t>
        </is>
      </c>
      <c r="K2" s="437" t="inlineStr">
        <is>
          <t>ANIMACIÓN A LA
LECTURA</t>
        </is>
      </c>
      <c r="L2" s="238" t="inlineStr">
        <is>
          <t>CÍVICA Y
ACOMPAÑAMIENTO
INTEGRAL</t>
        </is>
      </c>
      <c r="M2" s="438" t="inlineStr">
        <is>
          <t>PROMEDIO</t>
        </is>
      </c>
      <c r="N2" s="436" t="inlineStr">
        <is>
          <t>COMPORTAMIENTO</t>
        </is>
      </c>
      <c r="O2" s="234" t="inlineStr">
        <is>
          <t>PROMOCIÓN</t>
        </is>
      </c>
    </row>
    <row r="3" ht="13.55" customHeight="1" s="225">
      <c r="A3" s="241" t="n">
        <v>1</v>
      </c>
      <c r="B3" s="242" t="inlineStr">
        <is>
          <t>015094477-5</t>
        </is>
      </c>
      <c r="C3" s="245" t="inlineStr">
        <is>
          <t>AMPUERO CORONEL BRYAN ELIAS</t>
        </is>
      </c>
      <c r="D3" s="246" t="n">
        <v>9.529999999999999</v>
      </c>
      <c r="E3" s="246" t="n">
        <v>9.82</v>
      </c>
      <c r="F3" s="246" t="n">
        <v>9.710000000000001</v>
      </c>
      <c r="G3" s="246" t="n">
        <v>9.210000000000001</v>
      </c>
      <c r="H3" s="243" t="n">
        <v>8.039999999999999</v>
      </c>
      <c r="I3" s="246" t="n">
        <v>9.869999999999999</v>
      </c>
      <c r="J3" s="246" t="n">
        <v>9.23</v>
      </c>
      <c r="K3" s="244" t="inlineStr">
        <is>
          <t>A-</t>
        </is>
      </c>
      <c r="L3" s="244" t="inlineStr">
        <is>
          <t>A+</t>
        </is>
      </c>
      <c r="M3" s="246" t="n">
        <v>9.34</v>
      </c>
      <c r="N3" s="244" t="inlineStr">
        <is>
          <t>S</t>
        </is>
      </c>
      <c r="O3" s="244" t="inlineStr">
        <is>
          <t>PROMOVIDO</t>
        </is>
      </c>
    </row>
    <row r="4" ht="13.55" customHeight="1" s="225">
      <c r="A4" s="241" t="n">
        <v>2</v>
      </c>
      <c r="B4" s="242" t="inlineStr">
        <is>
          <t>015121915-1</t>
        </is>
      </c>
      <c r="C4" s="245" t="inlineStr">
        <is>
          <t>ARIAS GUIRACOCHA CHRISTOPHER ADONIS</t>
        </is>
      </c>
      <c r="D4" s="243" t="n">
        <v>8.390000000000001</v>
      </c>
      <c r="E4" s="243" t="n">
        <v>8.449999999999999</v>
      </c>
      <c r="F4" s="243" t="n">
        <v>8.85</v>
      </c>
      <c r="G4" s="243" t="n">
        <v>9.02</v>
      </c>
      <c r="H4" s="243" t="n">
        <v>8.19</v>
      </c>
      <c r="I4" s="243" t="n">
        <v>9.09</v>
      </c>
      <c r="J4" s="246" t="n">
        <v>8.130000000000001</v>
      </c>
      <c r="K4" s="244" t="inlineStr">
        <is>
          <t>A-</t>
        </is>
      </c>
      <c r="L4" s="244" t="inlineStr">
        <is>
          <t>A+</t>
        </is>
      </c>
      <c r="M4" s="246" t="n">
        <v>8.59</v>
      </c>
      <c r="N4" s="244" t="inlineStr">
        <is>
          <t>S</t>
        </is>
      </c>
      <c r="O4" s="244" t="inlineStr">
        <is>
          <t>PROMOVIDO</t>
        </is>
      </c>
    </row>
    <row r="5" ht="13.55" customHeight="1" s="225">
      <c r="A5" s="241" t="n">
        <v>3</v>
      </c>
      <c r="B5" s="242" t="inlineStr">
        <is>
          <t>015117299-6</t>
        </is>
      </c>
      <c r="C5" s="245" t="inlineStr">
        <is>
          <t>ARPI VALDEZ ELVIS PATRICIO</t>
        </is>
      </c>
      <c r="D5" s="243" t="n">
        <v>7.41</v>
      </c>
      <c r="E5" s="243" t="n">
        <v>7.31</v>
      </c>
      <c r="F5" s="243" t="n">
        <v>7.41</v>
      </c>
      <c r="G5" s="243" t="n">
        <v>7.54</v>
      </c>
      <c r="H5" s="243" t="n">
        <v>7.41</v>
      </c>
      <c r="I5" s="243" t="n">
        <v>8.039999999999999</v>
      </c>
      <c r="J5" s="246" t="n">
        <v>8.380000000000001</v>
      </c>
      <c r="K5" s="244" t="inlineStr">
        <is>
          <t>B-</t>
        </is>
      </c>
      <c r="L5" s="244" t="inlineStr">
        <is>
          <t>A+</t>
        </is>
      </c>
      <c r="M5" s="246" t="n">
        <v>7.64</v>
      </c>
      <c r="N5" s="244" t="inlineStr">
        <is>
          <t>S</t>
        </is>
      </c>
      <c r="O5" s="244" t="inlineStr">
        <is>
          <t>PROMOVIDO</t>
        </is>
      </c>
    </row>
    <row r="6" ht="13.55" customHeight="1" s="225">
      <c r="A6" s="241" t="n">
        <v>4</v>
      </c>
      <c r="B6" s="242" t="inlineStr">
        <is>
          <t>015085597-1</t>
        </is>
      </c>
      <c r="C6" s="245" t="inlineStr">
        <is>
          <t>BARRERA MENDOZA JHON MARIO</t>
        </is>
      </c>
      <c r="D6" s="246" t="n">
        <v>8.17</v>
      </c>
      <c r="E6" s="243" t="n">
        <v>7.98</v>
      </c>
      <c r="F6" s="243" t="n">
        <v>8.369999999999999</v>
      </c>
      <c r="G6" s="243" t="n">
        <v>8.56</v>
      </c>
      <c r="H6" s="243" t="n">
        <v>7.39</v>
      </c>
      <c r="I6" s="243" t="n">
        <v>8.359999999999999</v>
      </c>
      <c r="J6" s="246" t="n">
        <v>8.029999999999999</v>
      </c>
      <c r="K6" s="244" t="inlineStr">
        <is>
          <t>A-</t>
        </is>
      </c>
      <c r="L6" s="244" t="inlineStr">
        <is>
          <t>A+</t>
        </is>
      </c>
      <c r="M6" s="246" t="n">
        <v>8.119999999999999</v>
      </c>
      <c r="N6" s="244" t="inlineStr">
        <is>
          <t>S</t>
        </is>
      </c>
      <c r="O6" s="244" t="inlineStr">
        <is>
          <t>PROMOVIDO</t>
        </is>
      </c>
    </row>
    <row r="7" ht="13.55" customHeight="1" s="225">
      <c r="A7" s="241" t="n">
        <v>5</v>
      </c>
      <c r="B7" s="242" t="inlineStr">
        <is>
          <t>015129966-6</t>
        </is>
      </c>
      <c r="C7" s="245" t="inlineStr">
        <is>
          <t>BARRERA MENDOZA JUAN CARLOS</t>
        </is>
      </c>
      <c r="D7" s="243" t="n">
        <v>8.44</v>
      </c>
      <c r="E7" s="243" t="n">
        <v>8.5</v>
      </c>
      <c r="F7" s="243" t="n">
        <v>8.83</v>
      </c>
      <c r="G7" s="243" t="n">
        <v>8.59</v>
      </c>
      <c r="H7" s="243" t="n">
        <v>7.76</v>
      </c>
      <c r="I7" s="243" t="n">
        <v>8.800000000000001</v>
      </c>
      <c r="J7" s="246" t="n">
        <v>8.449999999999999</v>
      </c>
      <c r="K7" s="244" t="inlineStr">
        <is>
          <t>A+</t>
        </is>
      </c>
      <c r="L7" s="244" t="inlineStr">
        <is>
          <t>A+</t>
        </is>
      </c>
      <c r="M7" s="246" t="n">
        <v>8.48</v>
      </c>
      <c r="N7" s="244" t="inlineStr">
        <is>
          <t>S</t>
        </is>
      </c>
      <c r="O7" s="244" t="inlineStr">
        <is>
          <t>PROMOVIDO</t>
        </is>
      </c>
    </row>
    <row r="8" ht="13.55" customHeight="1" s="225">
      <c r="A8" s="241" t="n">
        <v>6</v>
      </c>
      <c r="B8" s="242" t="inlineStr">
        <is>
          <t>015104145-6</t>
        </is>
      </c>
      <c r="C8" s="245" t="inlineStr">
        <is>
          <t>BARRETO PINTADO ISMAEL SANTIAGO</t>
        </is>
      </c>
      <c r="D8" s="243" t="n">
        <v>8.23</v>
      </c>
      <c r="E8" s="243" t="n">
        <v>8.359999999999999</v>
      </c>
      <c r="F8" s="243" t="n">
        <v>8.470000000000001</v>
      </c>
      <c r="G8" s="243" t="n">
        <v>8.470000000000001</v>
      </c>
      <c r="H8" s="243" t="n">
        <v>7.69</v>
      </c>
      <c r="I8" s="243" t="n">
        <v>8.82</v>
      </c>
      <c r="J8" s="246" t="n">
        <v>8.5</v>
      </c>
      <c r="K8" s="244" t="inlineStr">
        <is>
          <t>A-</t>
        </is>
      </c>
      <c r="L8" s="244" t="inlineStr">
        <is>
          <t>A+</t>
        </is>
      </c>
      <c r="M8" s="246" t="n">
        <v>8.359999999999999</v>
      </c>
      <c r="N8" s="244" t="inlineStr">
        <is>
          <t>S</t>
        </is>
      </c>
      <c r="O8" s="244" t="inlineStr">
        <is>
          <t>PROMOVIDO</t>
        </is>
      </c>
    </row>
    <row r="9" ht="13.55" customHeight="1" s="225">
      <c r="A9" s="241" t="n">
        <v>7</v>
      </c>
      <c r="B9" s="242" t="inlineStr">
        <is>
          <t>015116670-9</t>
        </is>
      </c>
      <c r="C9" s="245" t="inlineStr">
        <is>
          <t>BERNAL MUÑOZ YURI ALEXANDRA</t>
        </is>
      </c>
      <c r="D9" s="243" t="n">
        <v>9.619999999999999</v>
      </c>
      <c r="E9" s="243" t="n">
        <v>9.67</v>
      </c>
      <c r="F9" s="243" t="n">
        <v>9.6</v>
      </c>
      <c r="G9" s="243" t="n">
        <v>9.52</v>
      </c>
      <c r="H9" s="243" t="n">
        <v>9.470000000000001</v>
      </c>
      <c r="I9" s="243" t="n">
        <v>9.81</v>
      </c>
      <c r="J9" s="246" t="n">
        <v>9.529999999999999</v>
      </c>
      <c r="K9" s="244" t="inlineStr">
        <is>
          <t>A+</t>
        </is>
      </c>
      <c r="L9" s="244" t="inlineStr">
        <is>
          <t>A+</t>
        </is>
      </c>
      <c r="M9" s="243" t="n">
        <v>9.6</v>
      </c>
      <c r="N9" s="244" t="inlineStr">
        <is>
          <t>S</t>
        </is>
      </c>
      <c r="O9" s="244" t="inlineStr">
        <is>
          <t>PROMOVIDO</t>
        </is>
      </c>
    </row>
    <row r="10" ht="13.55" customHeight="1" s="225">
      <c r="A10" s="241" t="n">
        <v>8</v>
      </c>
      <c r="B10" s="242" t="inlineStr">
        <is>
          <t>015084290-4</t>
        </is>
      </c>
      <c r="C10" s="245" t="inlineStr">
        <is>
          <t>BRITO ASTUDILLO RAUL MATEO</t>
        </is>
      </c>
      <c r="D10" s="243" t="n">
        <v>8.44</v>
      </c>
      <c r="E10" s="243" t="n">
        <v>8.09</v>
      </c>
      <c r="F10" s="243" t="n">
        <v>8.289999999999999</v>
      </c>
      <c r="G10" s="243" t="n">
        <v>8.789999999999999</v>
      </c>
      <c r="H10" s="243" t="n">
        <v>7.22</v>
      </c>
      <c r="I10" s="243" t="n">
        <v>8.58</v>
      </c>
      <c r="J10" s="246" t="n">
        <v>8.59</v>
      </c>
      <c r="K10" s="244" t="inlineStr">
        <is>
          <t>A+</t>
        </is>
      </c>
      <c r="L10" s="244" t="inlineStr">
        <is>
          <t>A+</t>
        </is>
      </c>
      <c r="M10" s="246" t="n">
        <v>8.289999999999999</v>
      </c>
      <c r="N10" s="244" t="inlineStr">
        <is>
          <t>S</t>
        </is>
      </c>
      <c r="O10" s="244" t="inlineStr">
        <is>
          <t>PROMOVIDO</t>
        </is>
      </c>
    </row>
    <row r="11" ht="13.55" customHeight="1" s="225">
      <c r="A11" s="241" t="n">
        <v>9</v>
      </c>
      <c r="B11" s="242" t="inlineStr">
        <is>
          <t>015087549-0</t>
        </is>
      </c>
      <c r="C11" s="245" t="inlineStr">
        <is>
          <t>CALLE MARTOS MARIA DEL CISNE</t>
        </is>
      </c>
      <c r="D11" s="243" t="n">
        <v>9.109999999999999</v>
      </c>
      <c r="E11" s="243" t="n">
        <v>9.09</v>
      </c>
      <c r="F11" s="243" t="n">
        <v>8.970000000000001</v>
      </c>
      <c r="G11" s="243" t="n">
        <v>9.32</v>
      </c>
      <c r="H11" s="243" t="n">
        <v>8.699999999999999</v>
      </c>
      <c r="I11" s="243" t="n">
        <v>9.27</v>
      </c>
      <c r="J11" s="246" t="n">
        <v>8.619999999999999</v>
      </c>
      <c r="K11" s="244" t="inlineStr">
        <is>
          <t>A+</t>
        </is>
      </c>
      <c r="L11" s="244" t="inlineStr">
        <is>
          <t>A+</t>
        </is>
      </c>
      <c r="M11" s="246" t="n">
        <v>9.01</v>
      </c>
      <c r="N11" s="244" t="inlineStr">
        <is>
          <t>S</t>
        </is>
      </c>
      <c r="O11" s="244" t="inlineStr">
        <is>
          <t>PROMOVIDO</t>
        </is>
      </c>
    </row>
    <row r="12" ht="13.55" customHeight="1" s="225">
      <c r="A12" s="241" t="n">
        <v>10</v>
      </c>
      <c r="B12" s="242" t="inlineStr">
        <is>
          <t>015113643-9</t>
        </is>
      </c>
      <c r="C12" s="245" t="inlineStr">
        <is>
          <t>CAMPOVERDE VALDEZ JUSTIN JOEL</t>
        </is>
      </c>
      <c r="D12" s="243" t="n">
        <v>8.380000000000001</v>
      </c>
      <c r="E12" s="243" t="n">
        <v>8.42</v>
      </c>
      <c r="F12" s="243" t="n">
        <v>8.359999999999999</v>
      </c>
      <c r="G12" s="243" t="n">
        <v>8.44</v>
      </c>
      <c r="H12" s="243" t="n">
        <v>7.57</v>
      </c>
      <c r="I12" s="243" t="n">
        <v>8.85</v>
      </c>
      <c r="J12" s="246" t="n">
        <v>8.1</v>
      </c>
      <c r="K12" s="244" t="inlineStr">
        <is>
          <t>A+</t>
        </is>
      </c>
      <c r="L12" s="244" t="inlineStr">
        <is>
          <t>A+</t>
        </is>
      </c>
      <c r="M12" s="246" t="n">
        <v>8.300000000000001</v>
      </c>
      <c r="N12" s="244" t="inlineStr">
        <is>
          <t>S</t>
        </is>
      </c>
      <c r="O12" s="244" t="inlineStr">
        <is>
          <t>PROMOVIDO</t>
        </is>
      </c>
    </row>
    <row r="13" ht="13.55" customHeight="1" s="225">
      <c r="A13" s="241" t="n">
        <v>11</v>
      </c>
      <c r="B13" s="242" t="inlineStr">
        <is>
          <t>085100539-7</t>
        </is>
      </c>
      <c r="C13" s="245" t="inlineStr">
        <is>
          <t>CEDEÑO VALENTIN LUCIANA FERNANDA</t>
        </is>
      </c>
      <c r="D13" s="243" t="n">
        <v>8.73</v>
      </c>
      <c r="E13" s="243" t="n">
        <v>8.75</v>
      </c>
      <c r="F13" s="243" t="n">
        <v>8.869999999999999</v>
      </c>
      <c r="G13" s="246" t="n">
        <v>8.44</v>
      </c>
      <c r="H13" s="243" t="n">
        <v>7.96</v>
      </c>
      <c r="I13" s="243" t="n">
        <v>9.210000000000001</v>
      </c>
      <c r="J13" s="246" t="n">
        <v>8.5</v>
      </c>
      <c r="K13" s="244" t="inlineStr">
        <is>
          <t>A+</t>
        </is>
      </c>
      <c r="L13" s="244" t="inlineStr">
        <is>
          <t>A+</t>
        </is>
      </c>
      <c r="M13" s="246" t="n">
        <v>8.68</v>
      </c>
      <c r="N13" s="244" t="inlineStr">
        <is>
          <t>S</t>
        </is>
      </c>
      <c r="O13" s="244" t="inlineStr">
        <is>
          <t>PROMOVIDO</t>
        </is>
      </c>
    </row>
    <row r="14" ht="13.55" customHeight="1" s="225">
      <c r="A14" s="241" t="n">
        <v>12</v>
      </c>
      <c r="B14" s="242" t="inlineStr">
        <is>
          <t>015115928-2</t>
        </is>
      </c>
      <c r="C14" s="245" t="inlineStr">
        <is>
          <t>CHACA GUACHICHULLCA AMY SOFIA</t>
        </is>
      </c>
      <c r="D14" s="243" t="n">
        <v>9.23</v>
      </c>
      <c r="E14" s="243" t="n">
        <v>9.029999999999999</v>
      </c>
      <c r="F14" s="243" t="n">
        <v>9.34</v>
      </c>
      <c r="G14" s="243" t="n">
        <v>9.25</v>
      </c>
      <c r="H14" s="246" t="n">
        <v>8.58</v>
      </c>
      <c r="I14" s="243" t="n">
        <v>9.619999999999999</v>
      </c>
      <c r="J14" s="246" t="n">
        <v>9.44</v>
      </c>
      <c r="K14" s="244" t="inlineStr">
        <is>
          <t>A+</t>
        </is>
      </c>
      <c r="L14" s="244" t="inlineStr">
        <is>
          <t>A+</t>
        </is>
      </c>
      <c r="M14" s="243" t="n">
        <v>9.210000000000001</v>
      </c>
      <c r="N14" s="244" t="inlineStr">
        <is>
          <t>S</t>
        </is>
      </c>
      <c r="O14" s="244" t="inlineStr">
        <is>
          <t>PROMOVIDO</t>
        </is>
      </c>
    </row>
    <row r="15" ht="13.55" customHeight="1" s="225">
      <c r="A15" s="241" t="n">
        <v>13</v>
      </c>
      <c r="B15" s="242" t="inlineStr">
        <is>
          <t>015120901-2</t>
        </is>
      </c>
      <c r="C15" s="245" t="inlineStr">
        <is>
          <t>CUERO MAZA RANDY MANUEL</t>
        </is>
      </c>
      <c r="D15" s="243" t="n">
        <v>8.140000000000001</v>
      </c>
      <c r="E15" s="246" t="n">
        <v>8.4</v>
      </c>
      <c r="F15" s="246" t="n">
        <v>8.1</v>
      </c>
      <c r="G15" s="246" t="n">
        <v>8.5</v>
      </c>
      <c r="H15" s="246" t="n">
        <v>7.28</v>
      </c>
      <c r="I15" s="246" t="n">
        <v>8.779999999999999</v>
      </c>
      <c r="J15" s="246" t="n">
        <v>7.96</v>
      </c>
      <c r="K15" s="244" t="inlineStr">
        <is>
          <t>B+</t>
        </is>
      </c>
      <c r="L15" s="244" t="inlineStr">
        <is>
          <t>A+</t>
        </is>
      </c>
      <c r="M15" s="246" t="n">
        <v>8.17</v>
      </c>
      <c r="N15" s="244" t="inlineStr">
        <is>
          <t>S</t>
        </is>
      </c>
      <c r="O15" s="244" t="inlineStr">
        <is>
          <t>PROMOVIDO</t>
        </is>
      </c>
    </row>
    <row r="16" ht="13.55" customHeight="1" s="225">
      <c r="A16" s="241" t="n">
        <v>14</v>
      </c>
      <c r="B16" s="242" t="inlineStr">
        <is>
          <t>115089188-3</t>
        </is>
      </c>
      <c r="C16" s="245" t="inlineStr">
        <is>
          <t>CRUZ TORRES DANIEL FERNANDO</t>
        </is>
      </c>
      <c r="D16" s="243" t="n">
        <v>8.43</v>
      </c>
      <c r="E16" s="246" t="n">
        <v>8.390000000000001</v>
      </c>
      <c r="F16" s="246" t="n">
        <v>8.23</v>
      </c>
      <c r="G16" s="246" t="n">
        <v>8.869999999999999</v>
      </c>
      <c r="H16" s="243" t="n">
        <v>8.24</v>
      </c>
      <c r="I16" s="246" t="n">
        <v>8.85</v>
      </c>
      <c r="J16" s="246" t="n">
        <v>8.210000000000001</v>
      </c>
      <c r="K16" s="244" t="inlineStr">
        <is>
          <t>A+</t>
        </is>
      </c>
      <c r="L16" s="244" t="inlineStr">
        <is>
          <t>A+</t>
        </is>
      </c>
      <c r="M16" s="246" t="n">
        <v>8.460000000000001</v>
      </c>
      <c r="N16" s="244" t="inlineStr">
        <is>
          <t>S</t>
        </is>
      </c>
      <c r="O16" s="244" t="inlineStr">
        <is>
          <t>PROMOVIDO</t>
        </is>
      </c>
    </row>
    <row r="17" ht="13.55" customHeight="1" s="225">
      <c r="A17" s="241" t="n">
        <v>15</v>
      </c>
      <c r="B17" s="242" t="inlineStr">
        <is>
          <t>015077879-3</t>
        </is>
      </c>
      <c r="C17" s="245" t="inlineStr">
        <is>
          <t>DELGADO PARRA VALENTINA ABIGAIL</t>
        </is>
      </c>
      <c r="D17" s="243" t="n">
        <v>9.880000000000001</v>
      </c>
      <c r="E17" s="243" t="n">
        <v>9.890000000000001</v>
      </c>
      <c r="F17" s="243" t="n">
        <v>9.970000000000001</v>
      </c>
      <c r="G17" s="243" t="n">
        <v>9.93</v>
      </c>
      <c r="H17" s="243" t="n">
        <v>10</v>
      </c>
      <c r="I17" s="243" t="n">
        <v>9.94</v>
      </c>
      <c r="J17" s="246" t="n">
        <v>9.81</v>
      </c>
      <c r="K17" s="244" t="inlineStr">
        <is>
          <t>A+</t>
        </is>
      </c>
      <c r="L17" s="244" t="inlineStr">
        <is>
          <t>A+</t>
        </is>
      </c>
      <c r="M17" s="243" t="n">
        <v>9.92</v>
      </c>
      <c r="N17" s="244" t="inlineStr">
        <is>
          <t>S</t>
        </is>
      </c>
      <c r="O17" s="244" t="inlineStr">
        <is>
          <t>PROMOVIDO</t>
        </is>
      </c>
    </row>
    <row r="18" ht="13.55" customHeight="1" s="225">
      <c r="A18" s="241" t="n">
        <v>16</v>
      </c>
      <c r="B18" s="242" t="inlineStr">
        <is>
          <t>015128404-9</t>
        </is>
      </c>
      <c r="C18" s="245" t="inlineStr">
        <is>
          <t>DELGADO SALTOS ANDREA GEOVANNA</t>
        </is>
      </c>
      <c r="D18" s="243" t="n">
        <v>9.529999999999999</v>
      </c>
      <c r="E18" s="243" t="n">
        <v>9.699999999999999</v>
      </c>
      <c r="F18" s="243" t="n">
        <v>9.77</v>
      </c>
      <c r="G18" s="246" t="n">
        <v>9.710000000000001</v>
      </c>
      <c r="H18" s="243" t="n">
        <v>9.83</v>
      </c>
      <c r="I18" s="243" t="n">
        <v>9.77</v>
      </c>
      <c r="J18" s="246" t="n">
        <v>9.300000000000001</v>
      </c>
      <c r="K18" s="244" t="inlineStr">
        <is>
          <t>A+</t>
        </is>
      </c>
      <c r="L18" s="244" t="inlineStr">
        <is>
          <t>A+</t>
        </is>
      </c>
      <c r="M18" s="246" t="n">
        <v>9.66</v>
      </c>
      <c r="N18" s="244" t="inlineStr">
        <is>
          <t>S</t>
        </is>
      </c>
      <c r="O18" s="244" t="inlineStr">
        <is>
          <t>PROMOVIDO</t>
        </is>
      </c>
    </row>
    <row r="19" ht="13.55" customHeight="1" s="225">
      <c r="A19" s="241" t="n">
        <v>17</v>
      </c>
      <c r="B19" s="242" t="inlineStr">
        <is>
          <t>015097158-8</t>
        </is>
      </c>
      <c r="C19" s="245" t="inlineStr">
        <is>
          <t>GUAMAN SHIRAP MIESHA LEONOR</t>
        </is>
      </c>
      <c r="D19" s="243" t="n">
        <v>8.9</v>
      </c>
      <c r="E19" s="243" t="n">
        <v>9.16</v>
      </c>
      <c r="F19" s="243" t="n">
        <v>9.300000000000001</v>
      </c>
      <c r="G19" s="243" t="n">
        <v>8.85</v>
      </c>
      <c r="H19" s="243" t="n">
        <v>7.99</v>
      </c>
      <c r="I19" s="243" t="n">
        <v>9.68</v>
      </c>
      <c r="J19" s="246" t="n">
        <v>9.289999999999999</v>
      </c>
      <c r="K19" s="244" t="inlineStr">
        <is>
          <t>A+</t>
        </is>
      </c>
      <c r="L19" s="244" t="inlineStr">
        <is>
          <t>A+</t>
        </is>
      </c>
      <c r="M19" s="246" t="n">
        <v>9.02</v>
      </c>
      <c r="N19" s="244" t="inlineStr">
        <is>
          <t>S</t>
        </is>
      </c>
      <c r="O19" s="244" t="inlineStr">
        <is>
          <t>PROMOVIDO</t>
        </is>
      </c>
    </row>
    <row r="20" ht="13.55" customHeight="1" s="225">
      <c r="A20" s="241" t="n">
        <v>18</v>
      </c>
      <c r="B20" s="242" t="inlineStr">
        <is>
          <t>015120655-4</t>
        </is>
      </c>
      <c r="C20" s="245" t="inlineStr">
        <is>
          <t>GUAYCHA CHUQUIMARCA BRITTANY NAOMY</t>
        </is>
      </c>
      <c r="D20" s="243" t="n">
        <v>9.039999999999999</v>
      </c>
      <c r="E20" s="243" t="n">
        <v>9.289999999999999</v>
      </c>
      <c r="F20" s="243" t="n">
        <v>9.42</v>
      </c>
      <c r="G20" s="243" t="n">
        <v>9.27</v>
      </c>
      <c r="H20" s="243" t="n">
        <v>9.529999999999999</v>
      </c>
      <c r="I20" s="243" t="n">
        <v>9.56</v>
      </c>
      <c r="J20" s="246" t="n">
        <v>8.99</v>
      </c>
      <c r="K20" s="244" t="inlineStr">
        <is>
          <t>A+</t>
        </is>
      </c>
      <c r="L20" s="244" t="inlineStr">
        <is>
          <t>A+</t>
        </is>
      </c>
      <c r="M20" s="246" t="n">
        <v>9.300000000000001</v>
      </c>
      <c r="N20" s="244" t="inlineStr">
        <is>
          <t>S</t>
        </is>
      </c>
      <c r="O20" s="244" t="inlineStr">
        <is>
          <t>PROMOVIDO</t>
        </is>
      </c>
    </row>
    <row r="21" ht="13.55" customHeight="1" s="225">
      <c r="A21" s="241" t="n">
        <v>19</v>
      </c>
      <c r="B21" s="242" t="inlineStr">
        <is>
          <t>015088317-1</t>
        </is>
      </c>
      <c r="C21" s="242" t="inlineStr">
        <is>
          <t>GUTIERREZ NARANJO SOFIA VALENTINA</t>
        </is>
      </c>
      <c r="D21" s="243" t="n">
        <v>9.92</v>
      </c>
      <c r="E21" s="243" t="n">
        <v>9.85</v>
      </c>
      <c r="F21" s="243" t="n">
        <v>9.890000000000001</v>
      </c>
      <c r="G21" s="243" t="n">
        <v>9.880000000000001</v>
      </c>
      <c r="H21" s="243" t="n">
        <v>10</v>
      </c>
      <c r="I21" s="243" t="n">
        <v>9.92</v>
      </c>
      <c r="J21" s="243" t="n">
        <v>9.77</v>
      </c>
      <c r="K21" s="244" t="inlineStr">
        <is>
          <t>A+</t>
        </is>
      </c>
      <c r="L21" s="244" t="inlineStr">
        <is>
          <t>A+</t>
        </is>
      </c>
      <c r="M21" s="243" t="n">
        <v>9.890000000000001</v>
      </c>
      <c r="N21" s="244" t="inlineStr">
        <is>
          <t>S</t>
        </is>
      </c>
      <c r="O21" s="244" t="inlineStr">
        <is>
          <t>PROMOVIDO</t>
        </is>
      </c>
    </row>
    <row r="22" ht="13.55" customHeight="1" s="225">
      <c r="A22" s="241" t="n">
        <v>20</v>
      </c>
      <c r="B22" s="242" t="inlineStr">
        <is>
          <t>015091182-4</t>
        </is>
      </c>
      <c r="C22" s="245" t="inlineStr">
        <is>
          <t>GUZHÑAY PINEDA KASANDRA DOMENICA</t>
        </is>
      </c>
      <c r="D22" s="243" t="n">
        <v>8.800000000000001</v>
      </c>
      <c r="E22" s="243" t="n">
        <v>9.15</v>
      </c>
      <c r="F22" s="243" t="n">
        <v>9.02</v>
      </c>
      <c r="G22" s="243" t="n">
        <v>8.93</v>
      </c>
      <c r="H22" s="243" t="n">
        <v>7.93</v>
      </c>
      <c r="I22" s="243" t="n">
        <v>9.460000000000001</v>
      </c>
      <c r="J22" s="246" t="n">
        <v>8.880000000000001</v>
      </c>
      <c r="K22" s="244" t="inlineStr">
        <is>
          <t>A+</t>
        </is>
      </c>
      <c r="L22" s="244" t="inlineStr">
        <is>
          <t>A+</t>
        </is>
      </c>
      <c r="M22" s="246" t="n">
        <v>8.880000000000001</v>
      </c>
      <c r="N22" s="244" t="inlineStr">
        <is>
          <t>S</t>
        </is>
      </c>
      <c r="O22" s="244" t="inlineStr">
        <is>
          <t>PROMOVIDO</t>
        </is>
      </c>
    </row>
    <row r="23" ht="13.55" customHeight="1" s="225">
      <c r="A23" s="241" t="n">
        <v>21</v>
      </c>
      <c r="B23" s="242" t="inlineStr">
        <is>
          <t>015115968-8</t>
        </is>
      </c>
      <c r="C23" s="245" t="inlineStr">
        <is>
          <t>LEMA SANISACA DOMENICA MONSERRATH</t>
        </is>
      </c>
      <c r="D23" s="243" t="n">
        <v>8.720000000000001</v>
      </c>
      <c r="E23" s="243" t="n">
        <v>9.039999999999999</v>
      </c>
      <c r="F23" s="243" t="n">
        <v>8.970000000000001</v>
      </c>
      <c r="G23" s="243" t="n">
        <v>9.130000000000001</v>
      </c>
      <c r="H23" s="243" t="n">
        <v>9.52</v>
      </c>
      <c r="I23" s="243" t="n">
        <v>9.6</v>
      </c>
      <c r="J23" s="246" t="n">
        <v>8.960000000000001</v>
      </c>
      <c r="K23" s="244" t="inlineStr">
        <is>
          <t>A+</t>
        </is>
      </c>
      <c r="L23" s="244" t="inlineStr">
        <is>
          <t>A+</t>
        </is>
      </c>
      <c r="M23" s="246" t="n">
        <v>9.130000000000001</v>
      </c>
      <c r="N23" s="244" t="inlineStr">
        <is>
          <t>S</t>
        </is>
      </c>
      <c r="O23" s="244" t="inlineStr">
        <is>
          <t>PROMOVIDO</t>
        </is>
      </c>
    </row>
    <row r="24" ht="13.55" customHeight="1" s="225">
      <c r="A24" s="241" t="n">
        <v>22</v>
      </c>
      <c r="B24" s="242" t="inlineStr">
        <is>
          <t>015096956-6</t>
        </is>
      </c>
      <c r="C24" s="245" t="inlineStr">
        <is>
          <t>LLIVICHUZHCA MENDOZA JHESICA SKARLETH</t>
        </is>
      </c>
      <c r="D24" s="243" t="n">
        <v>9.23</v>
      </c>
      <c r="E24" s="243" t="n">
        <v>9.49</v>
      </c>
      <c r="F24" s="243" t="n">
        <v>9.48</v>
      </c>
      <c r="G24" s="243" t="n">
        <v>9.359999999999999</v>
      </c>
      <c r="H24" s="243" t="n">
        <v>9.380000000000001</v>
      </c>
      <c r="I24" s="243" t="n">
        <v>9.720000000000001</v>
      </c>
      <c r="J24" s="246" t="n">
        <v>9.41</v>
      </c>
      <c r="K24" s="244" t="inlineStr">
        <is>
          <t>A+</t>
        </is>
      </c>
      <c r="L24" s="244" t="inlineStr">
        <is>
          <t>A+</t>
        </is>
      </c>
      <c r="M24" s="246" t="n">
        <v>9.44</v>
      </c>
      <c r="N24" s="244" t="inlineStr">
        <is>
          <t>S</t>
        </is>
      </c>
      <c r="O24" s="244" t="inlineStr">
        <is>
          <t>PROMOVIDO</t>
        </is>
      </c>
    </row>
    <row r="25" ht="13.55" customHeight="1" s="225">
      <c r="A25" s="241" t="n">
        <v>23</v>
      </c>
      <c r="B25" s="242" t="inlineStr">
        <is>
          <t>085082730-4</t>
        </is>
      </c>
      <c r="C25" s="245" t="inlineStr">
        <is>
          <t>LOOR CRUZ RUTH ANAHI</t>
        </is>
      </c>
      <c r="D25" s="243" t="n">
        <v>8.4</v>
      </c>
      <c r="E25" s="243" t="n">
        <v>8.449999999999999</v>
      </c>
      <c r="F25" s="246" t="n">
        <v>8.09</v>
      </c>
      <c r="G25" s="243" t="n">
        <v>8.539999999999999</v>
      </c>
      <c r="H25" s="246" t="n">
        <v>9.039999999999999</v>
      </c>
      <c r="I25" s="243" t="n">
        <v>8.67</v>
      </c>
      <c r="J25" s="246" t="n">
        <v>9.300000000000001</v>
      </c>
      <c r="K25" s="244" t="inlineStr">
        <is>
          <t>B+</t>
        </is>
      </c>
      <c r="L25" s="244" t="inlineStr">
        <is>
          <t>A+</t>
        </is>
      </c>
      <c r="M25" s="246" t="n">
        <v>8.699999999999999</v>
      </c>
      <c r="N25" s="244" t="inlineStr">
        <is>
          <t>S</t>
        </is>
      </c>
      <c r="O25" s="244" t="inlineStr">
        <is>
          <t>PROMOVIDO</t>
        </is>
      </c>
    </row>
    <row r="26" ht="13.55" customHeight="1" s="225">
      <c r="A26" s="241" t="n">
        <v>24</v>
      </c>
      <c r="B26" s="242" t="inlineStr">
        <is>
          <t>015119090-7</t>
        </is>
      </c>
      <c r="C26" s="242" t="inlineStr">
        <is>
          <t>MALLA OCHOA ERICK ANIBAL</t>
        </is>
      </c>
      <c r="D26" s="243" t="n">
        <v>7.83</v>
      </c>
      <c r="E26" s="243" t="n">
        <v>7.93</v>
      </c>
      <c r="F26" s="243" t="n">
        <v>8.48</v>
      </c>
      <c r="G26" s="243" t="n">
        <v>8.41</v>
      </c>
      <c r="H26" s="243" t="n">
        <v>7.41</v>
      </c>
      <c r="I26" s="243" t="n">
        <v>8.56</v>
      </c>
      <c r="J26" s="243" t="n">
        <v>8.52</v>
      </c>
      <c r="K26" s="244" t="inlineStr">
        <is>
          <t>B+</t>
        </is>
      </c>
      <c r="L26" s="244" t="inlineStr">
        <is>
          <t>A+</t>
        </is>
      </c>
      <c r="M26" s="243" t="n">
        <v>8.109999999999999</v>
      </c>
      <c r="N26" s="244" t="inlineStr">
        <is>
          <t>S</t>
        </is>
      </c>
      <c r="O26" s="244" t="inlineStr">
        <is>
          <t>PROMOVIDO</t>
        </is>
      </c>
    </row>
    <row r="27" ht="13.55" customHeight="1" s="225">
      <c r="A27" s="241" t="n">
        <v>25</v>
      </c>
      <c r="B27" s="242" t="inlineStr">
        <is>
          <t>015094439-0</t>
        </is>
      </c>
      <c r="C27" s="245" t="inlineStr">
        <is>
          <t>MAZA FERNANDEZ NAYELI ESTEFANIA</t>
        </is>
      </c>
      <c r="D27" s="243" t="n">
        <v>8.609999999999999</v>
      </c>
      <c r="E27" s="243" t="n">
        <v>8.5</v>
      </c>
      <c r="F27" s="243" t="n">
        <v>8.699999999999999</v>
      </c>
      <c r="G27" s="243" t="n">
        <v>8.74</v>
      </c>
      <c r="H27" s="243" t="n">
        <v>8.289999999999999</v>
      </c>
      <c r="I27" s="243" t="n">
        <v>9.31</v>
      </c>
      <c r="J27" s="246" t="n">
        <v>8.68</v>
      </c>
      <c r="K27" s="244" t="inlineStr">
        <is>
          <t>A+</t>
        </is>
      </c>
      <c r="L27" s="244" t="inlineStr">
        <is>
          <t>A+</t>
        </is>
      </c>
      <c r="M27" s="243" t="n">
        <v>8.69</v>
      </c>
      <c r="N27" s="244" t="inlineStr">
        <is>
          <t>S</t>
        </is>
      </c>
      <c r="O27" s="244" t="inlineStr">
        <is>
          <t>PROMOVIDO</t>
        </is>
      </c>
    </row>
    <row r="28" ht="13.55" customHeight="1" s="225">
      <c r="A28" s="241" t="n">
        <v>26</v>
      </c>
      <c r="B28" s="242" t="inlineStr">
        <is>
          <t>015104083-3</t>
        </is>
      </c>
      <c r="C28" s="245" t="inlineStr">
        <is>
          <t>MOROCHO MALLA GABRIELA JHOMARA</t>
        </is>
      </c>
      <c r="D28" s="243" t="n">
        <v>8.74</v>
      </c>
      <c r="E28" s="243" t="n">
        <v>8.65</v>
      </c>
      <c r="F28" s="243" t="n">
        <v>8.800000000000001</v>
      </c>
      <c r="G28" s="243" t="n">
        <v>8.85</v>
      </c>
      <c r="H28" s="246" t="n">
        <v>8.43</v>
      </c>
      <c r="I28" s="243" t="n">
        <v>9.56</v>
      </c>
      <c r="J28" s="246" t="n">
        <v>8.91</v>
      </c>
      <c r="K28" s="244" t="inlineStr">
        <is>
          <t>A+</t>
        </is>
      </c>
      <c r="L28" s="244" t="inlineStr">
        <is>
          <t>A+</t>
        </is>
      </c>
      <c r="M28" s="246" t="n">
        <v>8.85</v>
      </c>
      <c r="N28" s="244" t="inlineStr">
        <is>
          <t>S</t>
        </is>
      </c>
      <c r="O28" s="244" t="inlineStr">
        <is>
          <t>PROMOVIDO</t>
        </is>
      </c>
    </row>
    <row r="29" ht="13.55" customHeight="1" s="225">
      <c r="A29" s="241" t="n">
        <v>27</v>
      </c>
      <c r="B29" s="242" t="inlineStr">
        <is>
          <t>015125763-1</t>
        </is>
      </c>
      <c r="C29" s="245" t="inlineStr">
        <is>
          <t>PINEDA CAMPOVERDE IRIS GUADALUPE</t>
        </is>
      </c>
      <c r="D29" s="243" t="n">
        <v>9.58</v>
      </c>
      <c r="E29" s="243" t="n">
        <v>9.5</v>
      </c>
      <c r="F29" s="243" t="n">
        <v>9.42</v>
      </c>
      <c r="G29" s="243" t="n">
        <v>9.56</v>
      </c>
      <c r="H29" s="246" t="n">
        <v>9.779999999999999</v>
      </c>
      <c r="I29" s="243" t="n">
        <v>9.890000000000001</v>
      </c>
      <c r="J29" s="246" t="n">
        <v>9.699999999999999</v>
      </c>
      <c r="K29" s="244" t="inlineStr">
        <is>
          <t>A+</t>
        </is>
      </c>
      <c r="L29" s="244" t="inlineStr">
        <is>
          <t>A+</t>
        </is>
      </c>
      <c r="M29" s="246" t="n">
        <v>9.630000000000001</v>
      </c>
      <c r="N29" s="244" t="inlineStr">
        <is>
          <t>S</t>
        </is>
      </c>
      <c r="O29" s="244" t="inlineStr">
        <is>
          <t>PROMOVIDO</t>
        </is>
      </c>
    </row>
    <row r="30" ht="13.55" customHeight="1" s="225">
      <c r="A30" s="241" t="n">
        <v>28</v>
      </c>
      <c r="B30" s="242" t="inlineStr">
        <is>
          <t>115099313-5</t>
        </is>
      </c>
      <c r="C30" s="245" t="inlineStr">
        <is>
          <t>PINTA VASQUEZ MAYLI XIOMARA</t>
        </is>
      </c>
      <c r="D30" s="243" t="n">
        <v>9.19</v>
      </c>
      <c r="E30" s="243" t="n">
        <v>9.09</v>
      </c>
      <c r="F30" s="243" t="n">
        <v>9.289999999999999</v>
      </c>
      <c r="G30" s="243" t="n">
        <v>9.26</v>
      </c>
      <c r="H30" s="243" t="n">
        <v>9.4</v>
      </c>
      <c r="I30" s="243" t="n">
        <v>9.710000000000001</v>
      </c>
      <c r="J30" s="246" t="n">
        <v>9.300000000000001</v>
      </c>
      <c r="K30" s="244" t="inlineStr">
        <is>
          <t>A+</t>
        </is>
      </c>
      <c r="L30" s="244" t="inlineStr">
        <is>
          <t>A+</t>
        </is>
      </c>
      <c r="M30" s="243" t="n">
        <v>9.32</v>
      </c>
      <c r="N30" s="244" t="inlineStr">
        <is>
          <t>S</t>
        </is>
      </c>
      <c r="O30" s="244" t="inlineStr">
        <is>
          <t>PROMOVIDO</t>
        </is>
      </c>
    </row>
    <row r="31" ht="17" customHeight="1" s="225">
      <c r="A31" s="241" t="n">
        <v>29</v>
      </c>
      <c r="B31" s="439" t="inlineStr">
        <is>
          <t>115099313-5</t>
        </is>
      </c>
      <c r="C31" s="245" t="inlineStr">
        <is>
          <t>PUIN GUALLPA ADRIANA NICOLE</t>
        </is>
      </c>
      <c r="D31" s="243" t="n">
        <v>8.800000000000001</v>
      </c>
      <c r="E31" s="243" t="n">
        <v>9.130000000000001</v>
      </c>
      <c r="F31" s="243" t="n">
        <v>9.07</v>
      </c>
      <c r="G31" s="243" t="n">
        <v>9.24</v>
      </c>
      <c r="H31" s="243" t="n">
        <v>8.34</v>
      </c>
      <c r="I31" s="243" t="n">
        <v>9.48</v>
      </c>
      <c r="J31" s="246" t="n">
        <v>8.76</v>
      </c>
      <c r="K31" s="244" t="inlineStr">
        <is>
          <t>A-</t>
        </is>
      </c>
      <c r="L31" s="244" t="inlineStr">
        <is>
          <t>A+</t>
        </is>
      </c>
      <c r="M31" s="243" t="n">
        <v>8.970000000000001</v>
      </c>
      <c r="N31" s="244" t="inlineStr">
        <is>
          <t>S</t>
        </is>
      </c>
      <c r="O31" s="244" t="inlineStr">
        <is>
          <t>PROMOVIDO</t>
        </is>
      </c>
    </row>
    <row r="32" ht="13.55" customHeight="1" s="225">
      <c r="A32" s="241" t="n">
        <v>30</v>
      </c>
      <c r="B32" s="242" t="inlineStr">
        <is>
          <t>015131413-5</t>
        </is>
      </c>
      <c r="C32" s="242" t="inlineStr">
        <is>
          <t>PULLGARIN SACA AZUCENA MILENA</t>
        </is>
      </c>
      <c r="D32" s="243" t="n">
        <v>8.94</v>
      </c>
      <c r="E32" s="243" t="n">
        <v>8.550000000000001</v>
      </c>
      <c r="F32" s="243" t="n">
        <v>8.92</v>
      </c>
      <c r="G32" s="243" t="n">
        <v>9.01</v>
      </c>
      <c r="H32" s="243" t="n">
        <v>7.4</v>
      </c>
      <c r="I32" s="243" t="n">
        <v>9.41</v>
      </c>
      <c r="J32" s="243" t="n">
        <v>8.98</v>
      </c>
      <c r="K32" s="244" t="inlineStr">
        <is>
          <t>A-</t>
        </is>
      </c>
      <c r="L32" s="244" t="inlineStr">
        <is>
          <t>A+</t>
        </is>
      </c>
      <c r="M32" s="243" t="n">
        <v>8.74</v>
      </c>
      <c r="N32" s="244" t="inlineStr">
        <is>
          <t>S</t>
        </is>
      </c>
      <c r="O32" s="244" t="inlineStr">
        <is>
          <t>PROMOVIDO</t>
        </is>
      </c>
    </row>
    <row r="33" ht="13.55" customHeight="1" s="225">
      <c r="A33" s="241" t="n">
        <v>31</v>
      </c>
      <c r="B33" s="242" t="inlineStr">
        <is>
          <t>015126309-2</t>
        </is>
      </c>
      <c r="C33" s="245" t="inlineStr">
        <is>
          <t>QUITO CAGUANA JULIAN ALEXANDER</t>
        </is>
      </c>
      <c r="D33" s="243" t="n">
        <v>8.68</v>
      </c>
      <c r="E33" s="243" t="n">
        <v>8.619999999999999</v>
      </c>
      <c r="F33" s="243" t="n">
        <v>8.81</v>
      </c>
      <c r="G33" s="243" t="n">
        <v>8.880000000000001</v>
      </c>
      <c r="H33" s="246" t="n">
        <v>8.279999999999999</v>
      </c>
      <c r="I33" s="243" t="n">
        <v>9.220000000000001</v>
      </c>
      <c r="J33" s="246" t="n">
        <v>8.9</v>
      </c>
      <c r="K33" s="244" t="inlineStr">
        <is>
          <t>A+</t>
        </is>
      </c>
      <c r="L33" s="244" t="inlineStr">
        <is>
          <t>A+</t>
        </is>
      </c>
      <c r="M33" s="243" t="n">
        <v>8.77</v>
      </c>
      <c r="N33" s="244" t="inlineStr">
        <is>
          <t>S</t>
        </is>
      </c>
      <c r="O33" s="244" t="inlineStr">
        <is>
          <t>PROMOVIDO</t>
        </is>
      </c>
    </row>
    <row r="34" ht="13.55" customHeight="1" s="225">
      <c r="A34" s="241" t="n">
        <v>32</v>
      </c>
      <c r="B34" s="242" t="inlineStr">
        <is>
          <t>015117528-9</t>
        </is>
      </c>
      <c r="C34" s="245" t="inlineStr">
        <is>
          <t>QUIZHPI SANCHEZ EVELYN BELINDA</t>
        </is>
      </c>
      <c r="D34" s="243" t="n">
        <v>9.23</v>
      </c>
      <c r="E34" s="243" t="n">
        <v>9.25</v>
      </c>
      <c r="F34" s="243" t="n">
        <v>9.369999999999999</v>
      </c>
      <c r="G34" s="243" t="n">
        <v>9.369999999999999</v>
      </c>
      <c r="H34" s="243" t="n">
        <v>8.94</v>
      </c>
      <c r="I34" s="243" t="n">
        <v>9.640000000000001</v>
      </c>
      <c r="J34" s="246" t="n">
        <v>9.130000000000001</v>
      </c>
      <c r="K34" s="244" t="inlineStr">
        <is>
          <t>A+</t>
        </is>
      </c>
      <c r="L34" s="244" t="inlineStr">
        <is>
          <t>A+</t>
        </is>
      </c>
      <c r="M34" s="246" t="n">
        <v>9.279999999999999</v>
      </c>
      <c r="N34" s="244" t="inlineStr">
        <is>
          <t>S</t>
        </is>
      </c>
      <c r="O34" s="244" t="inlineStr">
        <is>
          <t>PROMOVIDO</t>
        </is>
      </c>
    </row>
    <row r="35" ht="13.55" customHeight="1" s="225">
      <c r="A35" s="241" t="n">
        <v>33</v>
      </c>
      <c r="B35" s="242" t="inlineStr">
        <is>
          <t>015132726-9</t>
        </is>
      </c>
      <c r="C35" s="245" t="inlineStr">
        <is>
          <t>SAMANIEGO CABRERA LEONEL MATIAS</t>
        </is>
      </c>
      <c r="D35" s="243" t="n">
        <v>8.550000000000001</v>
      </c>
      <c r="E35" s="243" t="n">
        <v>8.82</v>
      </c>
      <c r="F35" s="243" t="n">
        <v>8.880000000000001</v>
      </c>
      <c r="G35" s="243" t="n">
        <v>9.07</v>
      </c>
      <c r="H35" s="243" t="n">
        <v>7.93</v>
      </c>
      <c r="I35" s="243" t="n">
        <v>9.289999999999999</v>
      </c>
      <c r="J35" s="246" t="n">
        <v>8.699999999999999</v>
      </c>
      <c r="K35" s="244" t="inlineStr">
        <is>
          <t>A+</t>
        </is>
      </c>
      <c r="L35" s="244" t="inlineStr">
        <is>
          <t>A+</t>
        </is>
      </c>
      <c r="M35" s="246" t="n">
        <v>8.75</v>
      </c>
      <c r="N35" s="244" t="inlineStr">
        <is>
          <t>S</t>
        </is>
      </c>
      <c r="O35" s="244" t="inlineStr">
        <is>
          <t>PROMOVIDO</t>
        </is>
      </c>
    </row>
    <row r="36" ht="13.55" customHeight="1" s="225">
      <c r="A36" s="241" t="n">
        <v>34</v>
      </c>
      <c r="B36" s="242" t="inlineStr">
        <is>
          <t>015104556-4</t>
        </is>
      </c>
      <c r="C36" s="245" t="inlineStr">
        <is>
          <t>TENESACA TENESACA MATEO SEBASTIAN</t>
        </is>
      </c>
      <c r="D36" s="243" t="n">
        <v>9.359999999999999</v>
      </c>
      <c r="E36" s="243" t="n">
        <v>9.33</v>
      </c>
      <c r="F36" s="243" t="n">
        <v>9.34</v>
      </c>
      <c r="G36" s="243" t="n">
        <v>9.42</v>
      </c>
      <c r="H36" s="243" t="n">
        <v>8.92</v>
      </c>
      <c r="I36" s="243" t="n">
        <v>9.640000000000001</v>
      </c>
      <c r="J36" s="246" t="n">
        <v>9.369999999999999</v>
      </c>
      <c r="K36" s="244" t="inlineStr">
        <is>
          <t>A+</t>
        </is>
      </c>
      <c r="L36" s="244" t="inlineStr">
        <is>
          <t>A+</t>
        </is>
      </c>
      <c r="M36" s="243" t="n">
        <v>9.34</v>
      </c>
      <c r="N36" s="244" t="inlineStr">
        <is>
          <t>S</t>
        </is>
      </c>
      <c r="O36" s="244" t="inlineStr">
        <is>
          <t>PROMOVIDO</t>
        </is>
      </c>
    </row>
    <row r="37" ht="13.55" customHeight="1" s="225">
      <c r="A37" s="241" t="n"/>
      <c r="B37" s="241" t="n"/>
      <c r="C37" s="241" t="n"/>
      <c r="D37" s="243" t="n"/>
      <c r="E37" s="243" t="n"/>
      <c r="F37" s="243" t="n"/>
      <c r="G37" s="243" t="n"/>
      <c r="H37" s="243" t="n"/>
      <c r="I37" s="243" t="n"/>
      <c r="J37" s="243" t="n"/>
      <c r="K37" s="243" t="n"/>
      <c r="L37" s="243" t="n"/>
      <c r="M37" s="243" t="n"/>
      <c r="N37" s="243" t="n"/>
      <c r="O37" s="243" t="n"/>
    </row>
    <row r="38" ht="13.55" customHeight="1" s="225">
      <c r="A38" s="440" t="n"/>
      <c r="B38" s="440" t="n"/>
      <c r="C38" s="441" t="inlineStr">
        <is>
          <t>PROMEDIO</t>
        </is>
      </c>
      <c r="D38" s="442" t="n">
        <v>8.83</v>
      </c>
      <c r="E38" s="442" t="n">
        <v>8.869999999999999</v>
      </c>
      <c r="F38" s="442" t="n">
        <v>8.949999999999999</v>
      </c>
      <c r="G38" s="442" t="n">
        <v>9.01</v>
      </c>
      <c r="H38" s="442" t="n">
        <v>8.470000000000001</v>
      </c>
      <c r="I38" s="442" t="n">
        <v>9.199999999999999</v>
      </c>
      <c r="J38" s="442" t="n">
        <v>8.869999999999999</v>
      </c>
      <c r="K38" s="442" t="n"/>
      <c r="L38" s="442" t="n"/>
      <c r="M38" s="442" t="n">
        <v>8.91</v>
      </c>
      <c r="N38" s="442" t="n"/>
      <c r="O38" s="442" t="n"/>
    </row>
  </sheetData>
  <mergeCells count="4">
    <mergeCell ref="A1:C1"/>
    <mergeCell ref="E1:F1"/>
    <mergeCell ref="H1:I1"/>
    <mergeCell ref="K1:M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4" customWidth="1" style="225" min="1" max="1"/>
    <col width="13" customWidth="1" style="225" min="2" max="2"/>
    <col width="40" customWidth="1" style="225" min="3" max="3"/>
    <col width="6" customWidth="1" style="225" min="4" max="4"/>
    <col width="13" customWidth="1" style="225" min="15" max="15"/>
    <col width="8.851559999999999" customWidth="1" style="225" min="16" max="16"/>
  </cols>
  <sheetData>
    <row r="1" ht="16.6" customHeight="1" s="225">
      <c r="A1" s="445" t="inlineStr">
        <is>
          <t>DATOS INFORMATIVOS</t>
        </is>
      </c>
      <c r="B1" s="443" t="n"/>
      <c r="C1" s="443" t="n"/>
      <c r="D1" s="443" t="n"/>
      <c r="E1" s="443" t="n"/>
      <c r="F1" s="443" t="n"/>
      <c r="G1" s="443" t="n"/>
      <c r="H1" s="443" t="n"/>
      <c r="I1" s="443" t="n"/>
      <c r="J1" s="443" t="n"/>
      <c r="K1" s="443" t="n"/>
      <c r="L1" s="443" t="n"/>
      <c r="M1" s="443" t="n"/>
      <c r="N1" s="443" t="n"/>
      <c r="O1" s="444" t="n"/>
    </row>
    <row r="2" ht="90" customHeight="1" s="225">
      <c r="A2" s="446" t="inlineStr">
        <is>
          <t>N°</t>
        </is>
      </c>
      <c r="B2" s="446" t="inlineStr">
        <is>
          <t>CÉDULA</t>
        </is>
      </c>
      <c r="C2" s="446" t="inlineStr">
        <is>
          <t>APELLIDOS/NOMBRES</t>
        </is>
      </c>
      <c r="D2" s="447" t="inlineStr">
        <is>
          <t>LENGUA Y
LITERATURA</t>
        </is>
      </c>
      <c r="E2" s="447" t="inlineStr">
        <is>
          <t>MATEMÁTICA</t>
        </is>
      </c>
      <c r="F2" s="448" t="inlineStr">
        <is>
          <t>CIENCIAS
NATURALES</t>
        </is>
      </c>
      <c r="G2" s="448" t="inlineStr">
        <is>
          <t>ESTUDIOS
SOCIALES</t>
        </is>
      </c>
      <c r="H2" s="449" t="inlineStr">
        <is>
          <t>INGLES</t>
        </is>
      </c>
      <c r="I2" s="449" t="inlineStr">
        <is>
          <t>EDUCACIÓN
CULTURAL Y
ARTÍSTICA</t>
        </is>
      </c>
      <c r="J2" s="449" t="inlineStr">
        <is>
          <t>EDUCACIÓN
FÍSICA</t>
        </is>
      </c>
      <c r="K2" s="450" t="inlineStr">
        <is>
          <t>ANIMACIÓN A LA
LECTURA</t>
        </is>
      </c>
      <c r="L2" s="450" t="inlineStr">
        <is>
          <t>CÍVICA Y
ACOMPAÑAMIENTO
INTEGRAL</t>
        </is>
      </c>
      <c r="M2" s="451" t="inlineStr">
        <is>
          <t>PROMEDIO</t>
        </is>
      </c>
      <c r="N2" s="449" t="inlineStr">
        <is>
          <t>COMPORTAMIENTO</t>
        </is>
      </c>
      <c r="O2" s="451" t="inlineStr">
        <is>
          <t>PROMOCIÓN</t>
        </is>
      </c>
    </row>
    <row r="3" ht="13.55" customHeight="1" s="225">
      <c r="A3" s="241" t="n">
        <v>1</v>
      </c>
      <c r="B3" s="242" t="inlineStr">
        <is>
          <t>0151000429</t>
        </is>
      </c>
      <c r="C3" s="242" t="inlineStr">
        <is>
          <t>AVILA BENAVIDES BORIS RENATO</t>
        </is>
      </c>
      <c r="D3" s="243" t="n">
        <v>8</v>
      </c>
      <c r="E3" s="243" t="n">
        <v>8.23</v>
      </c>
      <c r="F3" s="243" t="n">
        <v>8.109999999999999</v>
      </c>
      <c r="G3" s="243" t="n">
        <v>8.33</v>
      </c>
      <c r="H3" s="243" t="n">
        <v>7.11</v>
      </c>
      <c r="I3" s="243" t="n">
        <v>8.44</v>
      </c>
      <c r="J3" s="243" t="n">
        <v>8.300000000000001</v>
      </c>
      <c r="K3" s="244" t="inlineStr">
        <is>
          <t>A-</t>
        </is>
      </c>
      <c r="L3" s="244" t="inlineStr">
        <is>
          <t>A+</t>
        </is>
      </c>
      <c r="M3" s="243" t="n">
        <v>8.07</v>
      </c>
      <c r="N3" s="244" t="inlineStr">
        <is>
          <t>S</t>
        </is>
      </c>
      <c r="O3" s="244" t="inlineStr">
        <is>
          <t>PROMOVIDO</t>
        </is>
      </c>
    </row>
    <row r="4" ht="13.55" customHeight="1" s="225">
      <c r="A4" s="241" t="n">
        <v>2</v>
      </c>
      <c r="B4" s="242" t="inlineStr">
        <is>
          <t>01450293350</t>
        </is>
      </c>
      <c r="C4" s="242" t="inlineStr">
        <is>
          <t>AVILA BERNAL KIMBERLY FERNANDA</t>
        </is>
      </c>
      <c r="D4" s="243" t="n">
        <v>9.26</v>
      </c>
      <c r="E4" s="243" t="n">
        <v>9.35</v>
      </c>
      <c r="F4" s="243" t="n">
        <v>8.84</v>
      </c>
      <c r="G4" s="243" t="n">
        <v>8.99</v>
      </c>
      <c r="H4" s="243" t="n">
        <v>9.359999999999999</v>
      </c>
      <c r="I4" s="243" t="n">
        <v>9.16</v>
      </c>
      <c r="J4" s="243" t="n">
        <v>9.42</v>
      </c>
      <c r="K4" s="244" t="inlineStr">
        <is>
          <t>A+</t>
        </is>
      </c>
      <c r="L4" s="244" t="inlineStr">
        <is>
          <t>A+</t>
        </is>
      </c>
      <c r="M4" s="243" t="n">
        <v>9.199999999999999</v>
      </c>
      <c r="N4" s="244" t="inlineStr">
        <is>
          <t>S</t>
        </is>
      </c>
      <c r="O4" s="244" t="inlineStr">
        <is>
          <t>PROMOVIDO</t>
        </is>
      </c>
    </row>
    <row r="5" ht="13.55" customHeight="1" s="225">
      <c r="A5" s="241" t="n">
        <v>3</v>
      </c>
      <c r="B5" s="242" t="inlineStr">
        <is>
          <t>0151284106</t>
        </is>
      </c>
      <c r="C5" s="242" t="inlineStr">
        <is>
          <t>CHILLOGALLI BARRERA ADAMARIS</t>
        </is>
      </c>
      <c r="D5" s="243" t="n">
        <v>8.91</v>
      </c>
      <c r="E5" s="243" t="n">
        <v>8.960000000000001</v>
      </c>
      <c r="F5" s="243" t="n">
        <v>9.01</v>
      </c>
      <c r="G5" s="243" t="n">
        <v>9.289999999999999</v>
      </c>
      <c r="H5" s="243" t="n">
        <v>9.35</v>
      </c>
      <c r="I5" s="243" t="n">
        <v>9.48</v>
      </c>
      <c r="J5" s="243" t="n">
        <v>8.970000000000001</v>
      </c>
      <c r="K5" s="244" t="inlineStr">
        <is>
          <t>A+</t>
        </is>
      </c>
      <c r="L5" s="244" t="inlineStr">
        <is>
          <t>A+</t>
        </is>
      </c>
      <c r="M5" s="243" t="n">
        <v>9.140000000000001</v>
      </c>
      <c r="N5" s="244" t="inlineStr">
        <is>
          <t>S</t>
        </is>
      </c>
      <c r="O5" s="244" t="inlineStr">
        <is>
          <t>PROMOVIDO</t>
        </is>
      </c>
    </row>
    <row r="6" ht="13.55" customHeight="1" s="225">
      <c r="A6" s="241" t="n">
        <v>4</v>
      </c>
      <c r="B6" s="242" t="inlineStr">
        <is>
          <t>0151005261</t>
        </is>
      </c>
      <c r="C6" s="242" t="inlineStr">
        <is>
          <t>CHIMBO URGILES ZAMIRA ALEXANDRA</t>
        </is>
      </c>
      <c r="D6" s="243" t="n">
        <v>8.710000000000001</v>
      </c>
      <c r="E6" s="243" t="n">
        <v>8.08</v>
      </c>
      <c r="F6" s="243" t="n">
        <v>8.83</v>
      </c>
      <c r="G6" s="243" t="n">
        <v>8.85</v>
      </c>
      <c r="H6" s="243" t="n">
        <v>7.6</v>
      </c>
      <c r="I6" s="243" t="n">
        <v>8.6</v>
      </c>
      <c r="J6" s="243" t="n">
        <v>8.98</v>
      </c>
      <c r="K6" s="244" t="inlineStr">
        <is>
          <t>A+</t>
        </is>
      </c>
      <c r="L6" s="244" t="inlineStr">
        <is>
          <t>A+</t>
        </is>
      </c>
      <c r="M6" s="243" t="n">
        <v>8.52</v>
      </c>
      <c r="N6" s="244" t="inlineStr">
        <is>
          <t>S</t>
        </is>
      </c>
      <c r="O6" s="244" t="inlineStr">
        <is>
          <t>PROMOVIDO</t>
        </is>
      </c>
    </row>
    <row r="7" ht="13.55" customHeight="1" s="225">
      <c r="A7" s="241" t="n">
        <v>5</v>
      </c>
      <c r="B7" s="242" t="inlineStr">
        <is>
          <t>0151278363</t>
        </is>
      </c>
      <c r="C7" s="242" t="inlineStr">
        <is>
          <t>ELIZALDE MALLA ALEX SEBASTIAN</t>
        </is>
      </c>
      <c r="D7" s="243" t="n">
        <v>9.039999999999999</v>
      </c>
      <c r="E7" s="243" t="n">
        <v>8.77</v>
      </c>
      <c r="F7" s="243" t="n">
        <v>9.119999999999999</v>
      </c>
      <c r="G7" s="243" t="n">
        <v>9.16</v>
      </c>
      <c r="H7" s="243" t="n">
        <v>8.890000000000001</v>
      </c>
      <c r="I7" s="243" t="n">
        <v>9.16</v>
      </c>
      <c r="J7" s="243" t="n">
        <v>9.609999999999999</v>
      </c>
      <c r="K7" s="244" t="inlineStr">
        <is>
          <t>A+</t>
        </is>
      </c>
      <c r="L7" s="244" t="inlineStr">
        <is>
          <t>A+</t>
        </is>
      </c>
      <c r="M7" s="243" t="n">
        <v>9.109999999999999</v>
      </c>
      <c r="N7" s="244" t="inlineStr">
        <is>
          <t>S</t>
        </is>
      </c>
      <c r="O7" s="244" t="inlineStr">
        <is>
          <t>PROMOVIDO</t>
        </is>
      </c>
    </row>
    <row r="8" ht="13.55" customHeight="1" s="225">
      <c r="A8" s="241" t="n">
        <v>6</v>
      </c>
      <c r="B8" s="242" t="inlineStr">
        <is>
          <t>0150874683</t>
        </is>
      </c>
      <c r="C8" s="242" t="inlineStr">
        <is>
          <t>FIGUEROA VIZHNAY DUSHAN XAVIER</t>
        </is>
      </c>
      <c r="D8" s="243" t="n">
        <v>8.65</v>
      </c>
      <c r="E8" s="243" t="n">
        <v>8.42</v>
      </c>
      <c r="F8" s="243" t="n">
        <v>8.460000000000001</v>
      </c>
      <c r="G8" s="243" t="n">
        <v>8.890000000000001</v>
      </c>
      <c r="H8" s="243" t="n">
        <v>8.289999999999999</v>
      </c>
      <c r="I8" s="243" t="n">
        <v>8.56</v>
      </c>
      <c r="J8" s="243" t="n">
        <v>8.460000000000001</v>
      </c>
      <c r="K8" s="244" t="inlineStr">
        <is>
          <t>A+</t>
        </is>
      </c>
      <c r="L8" s="244" t="inlineStr">
        <is>
          <t>A+</t>
        </is>
      </c>
      <c r="M8" s="243" t="n">
        <v>8.529999999999999</v>
      </c>
      <c r="N8" s="244" t="inlineStr">
        <is>
          <t>S</t>
        </is>
      </c>
      <c r="O8" s="244" t="inlineStr">
        <is>
          <t>PROMOVIDO</t>
        </is>
      </c>
    </row>
    <row r="9" ht="13.55" customHeight="1" s="225">
      <c r="A9" s="241" t="n">
        <v>7</v>
      </c>
      <c r="B9" s="242" t="inlineStr">
        <is>
          <t>0150927986</t>
        </is>
      </c>
      <c r="C9" s="242" t="inlineStr">
        <is>
          <t>GOMEZ VERA ADRIAN ISMAEL</t>
        </is>
      </c>
      <c r="D9" s="243" t="n">
        <v>8.76</v>
      </c>
      <c r="E9" s="243" t="n">
        <v>8.880000000000001</v>
      </c>
      <c r="F9" s="243" t="n">
        <v>8.9</v>
      </c>
      <c r="G9" s="243" t="n">
        <v>8.83</v>
      </c>
      <c r="H9" s="243" t="n">
        <v>8.49</v>
      </c>
      <c r="I9" s="243" t="n">
        <v>8.98</v>
      </c>
      <c r="J9" s="243" t="n">
        <v>9.220000000000001</v>
      </c>
      <c r="K9" s="244" t="inlineStr">
        <is>
          <t>A+</t>
        </is>
      </c>
      <c r="L9" s="244" t="inlineStr">
        <is>
          <t>A+</t>
        </is>
      </c>
      <c r="M9" s="243" t="n">
        <v>8.869999999999999</v>
      </c>
      <c r="N9" s="244" t="inlineStr">
        <is>
          <t>S</t>
        </is>
      </c>
      <c r="O9" s="244" t="inlineStr">
        <is>
          <t>PROMOVIDO</t>
        </is>
      </c>
    </row>
    <row r="10" ht="13.55" customHeight="1" s="225">
      <c r="A10" s="241" t="n">
        <v>8</v>
      </c>
      <c r="B10" s="242" t="inlineStr">
        <is>
          <t>0151077948</t>
        </is>
      </c>
      <c r="C10" s="242" t="inlineStr">
        <is>
          <t>GONZALES AVILA EMILY MARIA</t>
        </is>
      </c>
      <c r="D10" s="243" t="n">
        <v>9.449999999999999</v>
      </c>
      <c r="E10" s="243" t="n">
        <v>9.69</v>
      </c>
      <c r="F10" s="243" t="n">
        <v>9.460000000000001</v>
      </c>
      <c r="G10" s="243" t="n">
        <v>9.6</v>
      </c>
      <c r="H10" s="243" t="n">
        <v>9.380000000000001</v>
      </c>
      <c r="I10" s="243" t="n">
        <v>9.9</v>
      </c>
      <c r="J10" s="243" t="n">
        <v>9.41</v>
      </c>
      <c r="K10" s="244" t="inlineStr">
        <is>
          <t>A+</t>
        </is>
      </c>
      <c r="L10" s="244" t="inlineStr">
        <is>
          <t>A+</t>
        </is>
      </c>
      <c r="M10" s="243" t="n">
        <v>9.56</v>
      </c>
      <c r="N10" s="244" t="inlineStr">
        <is>
          <t>S</t>
        </is>
      </c>
      <c r="O10" s="244" t="inlineStr">
        <is>
          <t>PROMOVIDO</t>
        </is>
      </c>
    </row>
    <row r="11" ht="13.55" customHeight="1" s="225">
      <c r="A11" s="241" t="n">
        <v>9</v>
      </c>
      <c r="B11" s="242" t="inlineStr">
        <is>
          <t>0151261104</t>
        </is>
      </c>
      <c r="C11" s="242" t="inlineStr">
        <is>
          <t>GUACHICHULLCA SIAVICHAY MATIAS</t>
        </is>
      </c>
      <c r="D11" s="243" t="n">
        <v>8.869999999999999</v>
      </c>
      <c r="E11" s="243" t="n">
        <v>8.470000000000001</v>
      </c>
      <c r="F11" s="243" t="n">
        <v>8.699999999999999</v>
      </c>
      <c r="G11" s="243" t="n">
        <v>8.93</v>
      </c>
      <c r="H11" s="243" t="n">
        <v>8.789999999999999</v>
      </c>
      <c r="I11" s="243" t="n">
        <v>8.800000000000001</v>
      </c>
      <c r="J11" s="243" t="n">
        <v>8.199999999999999</v>
      </c>
      <c r="K11" s="244" t="inlineStr">
        <is>
          <t>A+</t>
        </is>
      </c>
      <c r="L11" s="244" t="inlineStr">
        <is>
          <t>A+</t>
        </is>
      </c>
      <c r="M11" s="243" t="n">
        <v>8.68</v>
      </c>
      <c r="N11" s="244" t="inlineStr">
        <is>
          <t>S</t>
        </is>
      </c>
      <c r="O11" s="244" t="inlineStr">
        <is>
          <t>PROMOVIDO</t>
        </is>
      </c>
    </row>
    <row r="12" ht="13.55" customHeight="1" s="225">
      <c r="A12" s="241" t="n">
        <v>10</v>
      </c>
      <c r="B12" s="242" t="inlineStr">
        <is>
          <t>0151019510</t>
        </is>
      </c>
      <c r="C12" s="242" t="inlineStr">
        <is>
          <t>GUAMAN PINEDA KELLY ESTEFANIA</t>
        </is>
      </c>
      <c r="D12" s="243" t="n">
        <v>9.390000000000001</v>
      </c>
      <c r="E12" s="243" t="n">
        <v>9.52</v>
      </c>
      <c r="F12" s="243" t="n">
        <v>9.359999999999999</v>
      </c>
      <c r="G12" s="243" t="n">
        <v>9.359999999999999</v>
      </c>
      <c r="H12" s="243" t="n">
        <v>9.1</v>
      </c>
      <c r="I12" s="243" t="n">
        <v>9.41</v>
      </c>
      <c r="J12" s="243" t="n">
        <v>9.359999999999999</v>
      </c>
      <c r="K12" s="244" t="inlineStr">
        <is>
          <t>A+</t>
        </is>
      </c>
      <c r="L12" s="244" t="inlineStr">
        <is>
          <t>A+</t>
        </is>
      </c>
      <c r="M12" s="243" t="n">
        <v>9.359999999999999</v>
      </c>
      <c r="N12" s="244" t="inlineStr">
        <is>
          <t>S</t>
        </is>
      </c>
      <c r="O12" s="244" t="inlineStr">
        <is>
          <t>PROMOVIDO</t>
        </is>
      </c>
    </row>
    <row r="13" ht="13.55" customHeight="1" s="225">
      <c r="A13" s="241" t="n">
        <v>11</v>
      </c>
      <c r="B13" s="242" t="inlineStr">
        <is>
          <t>0151295409</t>
        </is>
      </c>
      <c r="C13" s="242" t="inlineStr">
        <is>
          <t>GUARQUILA MEJIA FELIX ADRIAN</t>
        </is>
      </c>
      <c r="D13" s="243" t="n">
        <v>8.98</v>
      </c>
      <c r="E13" s="243" t="n">
        <v>9.140000000000001</v>
      </c>
      <c r="F13" s="243" t="n">
        <v>9.359999999999999</v>
      </c>
      <c r="G13" s="243" t="n">
        <v>9.34</v>
      </c>
      <c r="H13" s="243" t="n">
        <v>8.300000000000001</v>
      </c>
      <c r="I13" s="243" t="n">
        <v>9.44</v>
      </c>
      <c r="J13" s="243" t="n">
        <v>8.550000000000001</v>
      </c>
      <c r="K13" s="244" t="inlineStr">
        <is>
          <t>A+</t>
        </is>
      </c>
      <c r="L13" s="244" t="inlineStr">
        <is>
          <t>A+</t>
        </is>
      </c>
      <c r="M13" s="243" t="n">
        <v>9.02</v>
      </c>
      <c r="N13" s="244" t="inlineStr">
        <is>
          <t>S</t>
        </is>
      </c>
      <c r="O13" s="244" t="inlineStr">
        <is>
          <t>PROMOVIDO</t>
        </is>
      </c>
    </row>
    <row r="14" ht="13.55" customHeight="1" s="225">
      <c r="A14" s="241" t="n">
        <v>12</v>
      </c>
      <c r="B14" s="242" t="inlineStr">
        <is>
          <t>0151235777</t>
        </is>
      </c>
      <c r="C14" s="242" t="inlineStr">
        <is>
          <t>JIMBO QUISCUALTUD RUBY JULEXY</t>
        </is>
      </c>
      <c r="D14" s="243" t="n">
        <v>8.57</v>
      </c>
      <c r="E14" s="243" t="n">
        <v>8.279999999999999</v>
      </c>
      <c r="F14" s="243" t="n">
        <v>8.32</v>
      </c>
      <c r="G14" s="243" t="n">
        <v>8.51</v>
      </c>
      <c r="H14" s="243" t="n">
        <v>7.47</v>
      </c>
      <c r="I14" s="243" t="n">
        <v>9.529999999999999</v>
      </c>
      <c r="J14" s="243" t="n">
        <v>7.71</v>
      </c>
      <c r="K14" s="244" t="inlineStr">
        <is>
          <t>A-</t>
        </is>
      </c>
      <c r="L14" s="244" t="inlineStr">
        <is>
          <t>A+</t>
        </is>
      </c>
      <c r="M14" s="243" t="n">
        <v>8.34</v>
      </c>
      <c r="N14" s="244" t="inlineStr">
        <is>
          <t>S</t>
        </is>
      </c>
      <c r="O14" s="244" t="inlineStr">
        <is>
          <t>PROMOVIDO</t>
        </is>
      </c>
    </row>
    <row r="15" ht="13.55" customHeight="1" s="225">
      <c r="A15" s="241" t="n">
        <v>13</v>
      </c>
      <c r="B15" s="242" t="inlineStr">
        <is>
          <t>0151242138</t>
        </is>
      </c>
      <c r="C15" s="242" t="inlineStr">
        <is>
          <t>LEON SIAVICHAY SAMY ELIZABETH</t>
        </is>
      </c>
      <c r="D15" s="243" t="n">
        <v>8.27</v>
      </c>
      <c r="E15" s="243" t="n">
        <v>8.56</v>
      </c>
      <c r="F15" s="243" t="n">
        <v>8.31</v>
      </c>
      <c r="G15" s="243" t="n">
        <v>8.470000000000001</v>
      </c>
      <c r="H15" s="243" t="n">
        <v>8.529999999999999</v>
      </c>
      <c r="I15" s="243" t="n">
        <v>8.17</v>
      </c>
      <c r="J15" s="243" t="n">
        <v>8</v>
      </c>
      <c r="K15" s="244" t="inlineStr">
        <is>
          <t>A-</t>
        </is>
      </c>
      <c r="L15" s="244" t="inlineStr">
        <is>
          <t>A+</t>
        </is>
      </c>
      <c r="M15" s="243" t="n">
        <v>8.33</v>
      </c>
      <c r="N15" s="244" t="inlineStr">
        <is>
          <t>S</t>
        </is>
      </c>
      <c r="O15" s="244" t="inlineStr">
        <is>
          <t>PROMOVIDO</t>
        </is>
      </c>
    </row>
    <row r="16" ht="13.55" customHeight="1" s="225">
      <c r="A16" s="241" t="n">
        <v>14</v>
      </c>
      <c r="B16" s="242" t="inlineStr">
        <is>
          <t>0151161320</t>
        </is>
      </c>
      <c r="C16" s="242" t="inlineStr">
        <is>
          <t>LLANGARI LLANGARI MARIA BELEN</t>
        </is>
      </c>
      <c r="D16" s="243" t="n">
        <v>9.640000000000001</v>
      </c>
      <c r="E16" s="243" t="n">
        <v>9.640000000000001</v>
      </c>
      <c r="F16" s="243" t="n">
        <v>9.41</v>
      </c>
      <c r="G16" s="243" t="n">
        <v>9.539999999999999</v>
      </c>
      <c r="H16" s="243" t="n">
        <v>9.1</v>
      </c>
      <c r="I16" s="243" t="n">
        <v>9.58</v>
      </c>
      <c r="J16" s="243" t="n">
        <v>9.210000000000001</v>
      </c>
      <c r="K16" s="244" t="inlineStr">
        <is>
          <t>A+</t>
        </is>
      </c>
      <c r="L16" s="244" t="inlineStr">
        <is>
          <t>A+</t>
        </is>
      </c>
      <c r="M16" s="243" t="n">
        <v>9.449999999999999</v>
      </c>
      <c r="N16" s="244" t="inlineStr">
        <is>
          <t>S</t>
        </is>
      </c>
      <c r="O16" s="244" t="inlineStr">
        <is>
          <t>PROMOVIDO</t>
        </is>
      </c>
    </row>
    <row r="17" ht="13.55" customHeight="1" s="225">
      <c r="A17" s="241" t="n">
        <v>15</v>
      </c>
      <c r="B17" s="242" t="inlineStr">
        <is>
          <t>0151192655</t>
        </is>
      </c>
      <c r="C17" s="242" t="inlineStr">
        <is>
          <t>LLIGUISACA RIOS JHOAN PAUL</t>
        </is>
      </c>
      <c r="D17" s="243" t="n">
        <v>8.539999999999999</v>
      </c>
      <c r="E17" s="243" t="n">
        <v>9.07</v>
      </c>
      <c r="F17" s="243" t="n">
        <v>8.470000000000001</v>
      </c>
      <c r="G17" s="243" t="n">
        <v>8.51</v>
      </c>
      <c r="H17" s="243" t="n">
        <v>7.74</v>
      </c>
      <c r="I17" s="243" t="n">
        <v>9.16</v>
      </c>
      <c r="J17" s="243" t="n">
        <v>8.220000000000001</v>
      </c>
      <c r="K17" s="244" t="inlineStr">
        <is>
          <t>A+</t>
        </is>
      </c>
      <c r="L17" s="244" t="inlineStr">
        <is>
          <t>A+</t>
        </is>
      </c>
      <c r="M17" s="243" t="n">
        <v>8.529999999999999</v>
      </c>
      <c r="N17" s="244" t="inlineStr">
        <is>
          <t>S</t>
        </is>
      </c>
      <c r="O17" s="244" t="inlineStr">
        <is>
          <t>PROMOVIDO</t>
        </is>
      </c>
    </row>
    <row r="18" ht="13.55" customHeight="1" s="225">
      <c r="A18" s="241" t="n">
        <v>16</v>
      </c>
      <c r="B18" s="242" t="inlineStr">
        <is>
          <t>0151222742</t>
        </is>
      </c>
      <c r="C18" s="242" t="inlineStr">
        <is>
          <t>MEJIA ZHINDON BRIGITTE TAMARA</t>
        </is>
      </c>
      <c r="D18" s="243" t="n">
        <v>7.58</v>
      </c>
      <c r="E18" s="243" t="n">
        <v>7.35</v>
      </c>
      <c r="F18" s="243" t="n">
        <v>7.68</v>
      </c>
      <c r="G18" s="243" t="n">
        <v>7.9</v>
      </c>
      <c r="H18" s="243" t="n">
        <v>7.22</v>
      </c>
      <c r="I18" s="243" t="n">
        <v>7.82</v>
      </c>
      <c r="J18" s="243" t="n">
        <v>8.01</v>
      </c>
      <c r="K18" s="244" t="inlineStr">
        <is>
          <t>B+</t>
        </is>
      </c>
      <c r="L18" s="244" t="inlineStr">
        <is>
          <t>A+</t>
        </is>
      </c>
      <c r="M18" s="243" t="n">
        <v>7.65</v>
      </c>
      <c r="N18" s="244" t="inlineStr">
        <is>
          <t>S</t>
        </is>
      </c>
      <c r="O18" s="244" t="inlineStr">
        <is>
          <t>PROMOVIDO</t>
        </is>
      </c>
    </row>
    <row r="19" ht="13.55" customHeight="1" s="225">
      <c r="A19" s="241" t="n">
        <v>17</v>
      </c>
      <c r="B19" s="242" t="inlineStr">
        <is>
          <t>0151101706</t>
        </is>
      </c>
      <c r="C19" s="242" t="inlineStr">
        <is>
          <t>MENDEZ FAJARDO EDISON SEBASTIAN</t>
        </is>
      </c>
      <c r="D19" s="243" t="n">
        <v>7.86</v>
      </c>
      <c r="E19" s="243" t="n">
        <v>8.09</v>
      </c>
      <c r="F19" s="243" t="n">
        <v>8.09</v>
      </c>
      <c r="G19" s="243" t="n">
        <v>8.07</v>
      </c>
      <c r="H19" s="243" t="n">
        <v>7.33</v>
      </c>
      <c r="I19" s="243" t="n">
        <v>8.6</v>
      </c>
      <c r="J19" s="243" t="n">
        <v>7.53</v>
      </c>
      <c r="K19" s="244" t="inlineStr">
        <is>
          <t>B+</t>
        </is>
      </c>
      <c r="L19" s="244" t="inlineStr">
        <is>
          <t>A+</t>
        </is>
      </c>
      <c r="M19" s="243" t="n">
        <v>7.94</v>
      </c>
      <c r="N19" s="244" t="inlineStr">
        <is>
          <t>S</t>
        </is>
      </c>
      <c r="O19" s="244" t="inlineStr">
        <is>
          <t>PROMOVIDO</t>
        </is>
      </c>
    </row>
    <row r="20" ht="13.55" customHeight="1" s="225">
      <c r="A20" s="241" t="n">
        <v>18</v>
      </c>
      <c r="B20" s="242" t="inlineStr">
        <is>
          <t>0151240603</t>
        </is>
      </c>
      <c r="C20" s="242" t="inlineStr">
        <is>
          <t>MENDEZ LANDI ANGEL MAURICIO</t>
        </is>
      </c>
      <c r="D20" s="243" t="n">
        <v>7.96</v>
      </c>
      <c r="E20" s="243" t="n">
        <v>8.039999999999999</v>
      </c>
      <c r="F20" s="243" t="n">
        <v>7.96</v>
      </c>
      <c r="G20" s="243" t="n">
        <v>7.93</v>
      </c>
      <c r="H20" s="243" t="n">
        <v>7.55</v>
      </c>
      <c r="I20" s="243" t="n">
        <v>8.49</v>
      </c>
      <c r="J20" s="243" t="n">
        <v>7.27</v>
      </c>
      <c r="K20" s="244" t="inlineStr">
        <is>
          <t>A-</t>
        </is>
      </c>
      <c r="L20" s="244" t="inlineStr">
        <is>
          <t>A+</t>
        </is>
      </c>
      <c r="M20" s="243" t="n">
        <v>7.89</v>
      </c>
      <c r="N20" s="244" t="inlineStr">
        <is>
          <t>S</t>
        </is>
      </c>
      <c r="O20" s="244" t="inlineStr">
        <is>
          <t>PROMOVIDO</t>
        </is>
      </c>
    </row>
    <row r="21" ht="13.55" customHeight="1" s="225">
      <c r="A21" s="241" t="n">
        <v>19</v>
      </c>
      <c r="B21" s="242" t="inlineStr">
        <is>
          <t>0151277688</t>
        </is>
      </c>
      <c r="C21" s="242" t="inlineStr">
        <is>
          <t>MORA UZHCA KEVIN EDUARDO</t>
        </is>
      </c>
      <c r="D21" s="243" t="n">
        <v>8.52</v>
      </c>
      <c r="E21" s="243" t="n">
        <v>8.039999999999999</v>
      </c>
      <c r="F21" s="243" t="n">
        <v>8.300000000000001</v>
      </c>
      <c r="G21" s="243" t="n">
        <v>8.18</v>
      </c>
      <c r="H21" s="243" t="n">
        <v>7.31</v>
      </c>
      <c r="I21" s="243" t="n">
        <v>8.81</v>
      </c>
      <c r="J21" s="243" t="n">
        <v>8.18</v>
      </c>
      <c r="K21" s="244" t="inlineStr">
        <is>
          <t>A+</t>
        </is>
      </c>
      <c r="L21" s="244" t="inlineStr">
        <is>
          <t>A+</t>
        </is>
      </c>
      <c r="M21" s="243" t="n">
        <v>8.19</v>
      </c>
      <c r="N21" s="244" t="inlineStr">
        <is>
          <t>S</t>
        </is>
      </c>
      <c r="O21" s="244" t="inlineStr">
        <is>
          <t>PROMOVIDO</t>
        </is>
      </c>
    </row>
    <row r="22" ht="13.55" customHeight="1" s="225">
      <c r="A22" s="241" t="n">
        <v>20</v>
      </c>
      <c r="B22" s="242" t="inlineStr">
        <is>
          <t>0151187416</t>
        </is>
      </c>
      <c r="C22" s="242" t="inlineStr">
        <is>
          <t>NAULA BONETE LUIS ADOLFO</t>
        </is>
      </c>
      <c r="D22" s="243" t="n">
        <v>8.99</v>
      </c>
      <c r="E22" s="243" t="n">
        <v>8.66</v>
      </c>
      <c r="F22" s="243" t="n">
        <v>8.82</v>
      </c>
      <c r="G22" s="243" t="n">
        <v>8.859999999999999</v>
      </c>
      <c r="H22" s="243" t="n">
        <v>8.800000000000001</v>
      </c>
      <c r="I22" s="243" t="n">
        <v>8.949999999999999</v>
      </c>
      <c r="J22" s="243" t="n">
        <v>9.109999999999999</v>
      </c>
      <c r="K22" s="244" t="inlineStr">
        <is>
          <t>A+</t>
        </is>
      </c>
      <c r="L22" s="244" t="inlineStr">
        <is>
          <t>A+</t>
        </is>
      </c>
      <c r="M22" s="243" t="n">
        <v>8.880000000000001</v>
      </c>
      <c r="N22" s="244" t="inlineStr">
        <is>
          <t>S</t>
        </is>
      </c>
      <c r="O22" s="244" t="inlineStr">
        <is>
          <t>PROMOVIDO</t>
        </is>
      </c>
    </row>
    <row r="23" ht="13.55" customHeight="1" s="225">
      <c r="A23" s="241" t="n">
        <v>21</v>
      </c>
      <c r="B23" s="242" t="inlineStr">
        <is>
          <t>0151122223</t>
        </is>
      </c>
      <c r="C23" s="242" t="inlineStr">
        <is>
          <t>PACHECO CAMPOS THIAGO STEEVEN</t>
        </is>
      </c>
      <c r="D23" s="243" t="n">
        <v>8.75</v>
      </c>
      <c r="E23" s="243" t="n">
        <v>8.869999999999999</v>
      </c>
      <c r="F23" s="243" t="n">
        <v>8.859999999999999</v>
      </c>
      <c r="G23" s="243" t="n">
        <v>8.69</v>
      </c>
      <c r="H23" s="243" t="n">
        <v>8.470000000000001</v>
      </c>
      <c r="I23" s="243" t="n">
        <v>8.56</v>
      </c>
      <c r="J23" s="243" t="n">
        <v>8.49</v>
      </c>
      <c r="K23" s="244" t="inlineStr">
        <is>
          <t>A+</t>
        </is>
      </c>
      <c r="L23" s="244" t="inlineStr">
        <is>
          <t>A+</t>
        </is>
      </c>
      <c r="M23" s="243" t="n">
        <v>8.67</v>
      </c>
      <c r="N23" s="244" t="inlineStr">
        <is>
          <t>S</t>
        </is>
      </c>
      <c r="O23" s="244" t="inlineStr">
        <is>
          <t>PROMOVIDO</t>
        </is>
      </c>
    </row>
    <row r="24" ht="13.55" customHeight="1" s="225">
      <c r="A24" s="241" t="n">
        <v>22</v>
      </c>
      <c r="B24" s="242" t="inlineStr">
        <is>
          <t>0151162070</t>
        </is>
      </c>
      <c r="C24" s="242" t="inlineStr">
        <is>
          <t>PALMA RODRIGUEZ VICTORIA ANAHI</t>
        </is>
      </c>
      <c r="D24" s="243" t="n">
        <v>8.800000000000001</v>
      </c>
      <c r="E24" s="243" t="n">
        <v>8.960000000000001</v>
      </c>
      <c r="F24" s="243" t="n">
        <v>8.91</v>
      </c>
      <c r="G24" s="243" t="n">
        <v>8.710000000000001</v>
      </c>
      <c r="H24" s="243" t="n">
        <v>9.34</v>
      </c>
      <c r="I24" s="243" t="n">
        <v>9.01</v>
      </c>
      <c r="J24" s="243" t="n">
        <v>9.199999999999999</v>
      </c>
      <c r="K24" s="244" t="inlineStr">
        <is>
          <t>A+</t>
        </is>
      </c>
      <c r="L24" s="244" t="inlineStr">
        <is>
          <t>A+</t>
        </is>
      </c>
      <c r="M24" s="243" t="n">
        <v>8.99</v>
      </c>
      <c r="N24" s="244" t="inlineStr">
        <is>
          <t>S</t>
        </is>
      </c>
      <c r="O24" s="244" t="inlineStr">
        <is>
          <t>PROMOVIDO</t>
        </is>
      </c>
    </row>
    <row r="25" ht="13.55" customHeight="1" s="225">
      <c r="A25" s="241" t="n">
        <v>23</v>
      </c>
      <c r="B25" s="242" t="inlineStr">
        <is>
          <t>0150941102</t>
        </is>
      </c>
      <c r="C25" s="242" t="inlineStr">
        <is>
          <t>PEREZ MUÑOZ JUSTIN FERNANDO</t>
        </is>
      </c>
      <c r="D25" s="243" t="n">
        <v>8.970000000000001</v>
      </c>
      <c r="E25" s="243" t="n">
        <v>8.800000000000001</v>
      </c>
      <c r="F25" s="243" t="n">
        <v>8.68</v>
      </c>
      <c r="G25" s="243" t="n">
        <v>9.01</v>
      </c>
      <c r="H25" s="243" t="n">
        <v>8.44</v>
      </c>
      <c r="I25" s="243" t="n">
        <v>9.109999999999999</v>
      </c>
      <c r="J25" s="243" t="n">
        <v>8.289999999999999</v>
      </c>
      <c r="K25" s="244" t="inlineStr">
        <is>
          <t>A+</t>
        </is>
      </c>
      <c r="L25" s="244" t="inlineStr">
        <is>
          <t>A+</t>
        </is>
      </c>
      <c r="M25" s="243" t="n">
        <v>8.76</v>
      </c>
      <c r="N25" s="244" t="inlineStr">
        <is>
          <t>S</t>
        </is>
      </c>
      <c r="O25" s="244" t="inlineStr">
        <is>
          <t>PROMOVIDO</t>
        </is>
      </c>
    </row>
    <row r="26" ht="13.55" customHeight="1" s="225">
      <c r="A26" s="241" t="n">
        <v>24</v>
      </c>
      <c r="B26" s="242" t="inlineStr">
        <is>
          <t>0150988301</t>
        </is>
      </c>
      <c r="C26" s="242" t="inlineStr">
        <is>
          <t>PILAMUNGA QUESADA JOSEPH DAVID</t>
        </is>
      </c>
      <c r="D26" s="243" t="n">
        <v>9.619999999999999</v>
      </c>
      <c r="E26" s="243" t="n">
        <v>9.33</v>
      </c>
      <c r="F26" s="243" t="n">
        <v>9.619999999999999</v>
      </c>
      <c r="G26" s="243" t="n">
        <v>9.619999999999999</v>
      </c>
      <c r="H26" s="243" t="n">
        <v>9.67</v>
      </c>
      <c r="I26" s="243" t="n">
        <v>9.84</v>
      </c>
      <c r="J26" s="243" t="n">
        <v>9.699999999999999</v>
      </c>
      <c r="K26" s="244" t="inlineStr">
        <is>
          <t>A+</t>
        </is>
      </c>
      <c r="L26" s="244" t="inlineStr">
        <is>
          <t>A+</t>
        </is>
      </c>
      <c r="M26" s="243" t="n">
        <v>9.630000000000001</v>
      </c>
      <c r="N26" s="244" t="inlineStr">
        <is>
          <t>S</t>
        </is>
      </c>
      <c r="O26" s="244" t="inlineStr">
        <is>
          <t>PROMOVIDO</t>
        </is>
      </c>
    </row>
    <row r="27" ht="13.55" customHeight="1" s="225">
      <c r="A27" s="241" t="n">
        <v>25</v>
      </c>
      <c r="B27" s="242" t="inlineStr">
        <is>
          <t>1150404165</t>
        </is>
      </c>
      <c r="C27" s="242" t="inlineStr">
        <is>
          <t>SANDOVAL ESPINOSA XIMENA LIZBETH</t>
        </is>
      </c>
      <c r="D27" s="243" t="n">
        <v>9.02</v>
      </c>
      <c r="E27" s="243" t="n">
        <v>8.74</v>
      </c>
      <c r="F27" s="243" t="n">
        <v>8.880000000000001</v>
      </c>
      <c r="G27" s="243" t="n">
        <v>9.24</v>
      </c>
      <c r="H27" s="243" t="n">
        <v>8.77</v>
      </c>
      <c r="I27" s="243" t="n">
        <v>9.720000000000001</v>
      </c>
      <c r="J27" s="243" t="n">
        <v>9.039999999999999</v>
      </c>
      <c r="K27" s="244" t="inlineStr">
        <is>
          <t>A+</t>
        </is>
      </c>
      <c r="L27" s="244" t="inlineStr">
        <is>
          <t>A+</t>
        </is>
      </c>
      <c r="M27" s="243" t="n">
        <v>9.06</v>
      </c>
      <c r="N27" s="244" t="inlineStr">
        <is>
          <t>S</t>
        </is>
      </c>
      <c r="O27" s="244" t="inlineStr">
        <is>
          <t>PROMOVIDO</t>
        </is>
      </c>
    </row>
    <row r="28" ht="13.55" customHeight="1" s="225">
      <c r="A28" s="241" t="n">
        <v>26</v>
      </c>
      <c r="B28" s="242" t="inlineStr">
        <is>
          <t>0151 0255 25</t>
        </is>
      </c>
      <c r="C28" s="242" t="inlineStr">
        <is>
          <t>SONGOR MUZHA JOSEPH MAURICIO</t>
        </is>
      </c>
      <c r="D28" s="243" t="n">
        <v>9.02</v>
      </c>
      <c r="E28" s="243" t="n">
        <v>9.279999999999999</v>
      </c>
      <c r="F28" s="243" t="n">
        <v>8.99</v>
      </c>
      <c r="G28" s="243" t="n">
        <v>9.24</v>
      </c>
      <c r="H28" s="243" t="n">
        <v>9.029999999999999</v>
      </c>
      <c r="I28" s="243" t="n">
        <v>7.98</v>
      </c>
      <c r="J28" s="243" t="n">
        <v>8.77</v>
      </c>
      <c r="K28" s="244" t="inlineStr">
        <is>
          <t>A+</t>
        </is>
      </c>
      <c r="L28" s="244" t="inlineStr">
        <is>
          <t>A+</t>
        </is>
      </c>
      <c r="M28" s="243" t="n">
        <v>8.9</v>
      </c>
      <c r="N28" s="244" t="inlineStr">
        <is>
          <t>S</t>
        </is>
      </c>
      <c r="O28" s="244" t="inlineStr">
        <is>
          <t>PROMOVIDO</t>
        </is>
      </c>
    </row>
    <row r="29" ht="13.55" customHeight="1" s="225">
      <c r="A29" s="241" t="n">
        <v>27</v>
      </c>
      <c r="B29" s="242" t="inlineStr">
        <is>
          <t>0151 2447 87</t>
        </is>
      </c>
      <c r="C29" s="242" t="inlineStr">
        <is>
          <t>TADAY SANCHO AMY JAMILETH</t>
        </is>
      </c>
      <c r="D29" s="243" t="n">
        <v>9.220000000000001</v>
      </c>
      <c r="E29" s="243" t="n">
        <v>8.73</v>
      </c>
      <c r="F29" s="243" t="n">
        <v>8.970000000000001</v>
      </c>
      <c r="G29" s="243" t="n">
        <v>9.02</v>
      </c>
      <c r="H29" s="243" t="n">
        <v>8.710000000000001</v>
      </c>
      <c r="I29" s="243" t="n">
        <v>9.57</v>
      </c>
      <c r="J29" s="243" t="n">
        <v>8.199999999999999</v>
      </c>
      <c r="K29" s="244" t="inlineStr">
        <is>
          <t>A+</t>
        </is>
      </c>
      <c r="L29" s="244" t="inlineStr">
        <is>
          <t>A+</t>
        </is>
      </c>
      <c r="M29" s="243" t="n">
        <v>8.92</v>
      </c>
      <c r="N29" s="244" t="inlineStr">
        <is>
          <t>S</t>
        </is>
      </c>
      <c r="O29" s="244" t="inlineStr">
        <is>
          <t>PROMOVIDO</t>
        </is>
      </c>
    </row>
    <row r="30" ht="13.55" customHeight="1" s="225">
      <c r="A30" s="241" t="n">
        <v>28</v>
      </c>
      <c r="B30" s="242" t="inlineStr">
        <is>
          <t>0151271178</t>
        </is>
      </c>
      <c r="C30" s="242" t="inlineStr">
        <is>
          <t>TENESACA AMENDAÑO CARLOS DAVID</t>
        </is>
      </c>
      <c r="D30" s="243" t="n">
        <v>9.630000000000001</v>
      </c>
      <c r="E30" s="243" t="n">
        <v>9.9</v>
      </c>
      <c r="F30" s="243" t="n">
        <v>9.859999999999999</v>
      </c>
      <c r="G30" s="243" t="n">
        <v>9.619999999999999</v>
      </c>
      <c r="H30" s="243" t="n">
        <v>9.48</v>
      </c>
      <c r="I30" s="243" t="n">
        <v>9.970000000000001</v>
      </c>
      <c r="J30" s="243" t="n">
        <v>9.74</v>
      </c>
      <c r="K30" s="244" t="inlineStr">
        <is>
          <t>A+</t>
        </is>
      </c>
      <c r="L30" s="244" t="inlineStr">
        <is>
          <t>A+</t>
        </is>
      </c>
      <c r="M30" s="243" t="n">
        <v>9.74</v>
      </c>
      <c r="N30" s="244" t="inlineStr">
        <is>
          <t>S</t>
        </is>
      </c>
      <c r="O30" s="244" t="inlineStr">
        <is>
          <t>PROMOVIDO</t>
        </is>
      </c>
    </row>
    <row r="31" ht="13.55" customHeight="1" s="225">
      <c r="A31" s="241" t="n">
        <v>29</v>
      </c>
      <c r="B31" s="242" t="inlineStr">
        <is>
          <t>0151305463</t>
        </is>
      </c>
      <c r="C31" s="242" t="inlineStr">
        <is>
          <t>TONGOMBOL CARCHIPULLA MARIA</t>
        </is>
      </c>
      <c r="D31" s="243" t="n">
        <v>9.050000000000001</v>
      </c>
      <c r="E31" s="243" t="n">
        <v>9.220000000000001</v>
      </c>
      <c r="F31" s="243" t="n">
        <v>8.880000000000001</v>
      </c>
      <c r="G31" s="243" t="n">
        <v>9.02</v>
      </c>
      <c r="H31" s="243" t="n">
        <v>7.97</v>
      </c>
      <c r="I31" s="243" t="n">
        <v>9.380000000000001</v>
      </c>
      <c r="J31" s="243" t="n">
        <v>8.33</v>
      </c>
      <c r="K31" s="244" t="inlineStr">
        <is>
          <t>A+</t>
        </is>
      </c>
      <c r="L31" s="244" t="inlineStr">
        <is>
          <t>A+</t>
        </is>
      </c>
      <c r="M31" s="243" t="n">
        <v>8.84</v>
      </c>
      <c r="N31" s="244" t="inlineStr">
        <is>
          <t>S</t>
        </is>
      </c>
      <c r="O31" s="244" t="inlineStr">
        <is>
          <t>PROMOVIDO</t>
        </is>
      </c>
    </row>
    <row r="32" ht="13.55" customHeight="1" s="225">
      <c r="A32" s="241" t="n">
        <v>30</v>
      </c>
      <c r="B32" s="242" t="inlineStr">
        <is>
          <t>0151054442</t>
        </is>
      </c>
      <c r="C32" s="242" t="inlineStr">
        <is>
          <t>VELIZ CARRION MELVIN JOEL</t>
        </is>
      </c>
      <c r="D32" s="243" t="n">
        <v>8.960000000000001</v>
      </c>
      <c r="E32" s="243" t="n">
        <v>8.75</v>
      </c>
      <c r="F32" s="243" t="n">
        <v>9.07</v>
      </c>
      <c r="G32" s="243" t="n">
        <v>8.960000000000001</v>
      </c>
      <c r="H32" s="243" t="n">
        <v>8.74</v>
      </c>
      <c r="I32" s="243" t="n">
        <v>9.6</v>
      </c>
      <c r="J32" s="243" t="n">
        <v>8.630000000000001</v>
      </c>
      <c r="K32" s="244" t="inlineStr">
        <is>
          <t>A+</t>
        </is>
      </c>
      <c r="L32" s="244" t="inlineStr">
        <is>
          <t>A+</t>
        </is>
      </c>
      <c r="M32" s="243" t="n">
        <v>8.960000000000001</v>
      </c>
      <c r="N32" s="244" t="inlineStr">
        <is>
          <t>S</t>
        </is>
      </c>
      <c r="O32" s="244" t="inlineStr">
        <is>
          <t>PROMOVIDO</t>
        </is>
      </c>
    </row>
    <row r="33" ht="13.55" customHeight="1" s="225">
      <c r="A33" s="241" t="n">
        <v>31</v>
      </c>
      <c r="B33" s="242" t="inlineStr">
        <is>
          <t>0151126836</t>
        </is>
      </c>
      <c r="C33" s="242" t="inlineStr">
        <is>
          <t>VIVEROS BRITO MATIAS JAVIER</t>
        </is>
      </c>
      <c r="D33" s="243" t="n">
        <v>8.74</v>
      </c>
      <c r="E33" s="243" t="n">
        <v>9.35</v>
      </c>
      <c r="F33" s="243" t="n">
        <v>8.640000000000001</v>
      </c>
      <c r="G33" s="243" t="n">
        <v>8.789999999999999</v>
      </c>
      <c r="H33" s="243" t="n">
        <v>8.08</v>
      </c>
      <c r="I33" s="243" t="n">
        <v>9.300000000000001</v>
      </c>
      <c r="J33" s="243" t="n">
        <v>8.619999999999999</v>
      </c>
      <c r="K33" s="244" t="inlineStr">
        <is>
          <t>A+</t>
        </is>
      </c>
      <c r="L33" s="244" t="inlineStr">
        <is>
          <t>A+</t>
        </is>
      </c>
      <c r="M33" s="243" t="n">
        <v>8.789999999999999</v>
      </c>
      <c r="N33" s="244" t="inlineStr">
        <is>
          <t>S</t>
        </is>
      </c>
      <c r="O33" s="244" t="inlineStr">
        <is>
          <t>PROMOVIDO</t>
        </is>
      </c>
    </row>
    <row r="34" ht="13.55" customHeight="1" s="225">
      <c r="A34" s="241" t="n">
        <v>32</v>
      </c>
      <c r="B34" s="242" t="inlineStr">
        <is>
          <t>0150929750</t>
        </is>
      </c>
      <c r="C34" s="242" t="inlineStr">
        <is>
          <t>VIZHÑAY CEDACERO DAYSI ANAI</t>
        </is>
      </c>
      <c r="D34" s="243" t="n">
        <v>9.369999999999999</v>
      </c>
      <c r="E34" s="243" t="n">
        <v>9.529999999999999</v>
      </c>
      <c r="F34" s="243" t="n">
        <v>9.32</v>
      </c>
      <c r="G34" s="243" t="n">
        <v>9.74</v>
      </c>
      <c r="H34" s="243" t="n">
        <v>9.84</v>
      </c>
      <c r="I34" s="243" t="n">
        <v>9.81</v>
      </c>
      <c r="J34" s="243" t="n">
        <v>9.279999999999999</v>
      </c>
      <c r="K34" s="244" t="inlineStr">
        <is>
          <t>A+</t>
        </is>
      </c>
      <c r="L34" s="244" t="inlineStr">
        <is>
          <t>A+</t>
        </is>
      </c>
      <c r="M34" s="243" t="n">
        <v>9.56</v>
      </c>
      <c r="N34" s="244" t="inlineStr">
        <is>
          <t>S</t>
        </is>
      </c>
      <c r="O34" s="244" t="inlineStr">
        <is>
          <t>PROMOVIDO</t>
        </is>
      </c>
    </row>
    <row r="35" ht="13.55" customHeight="1" s="225">
      <c r="A35" s="241" t="n">
        <v>33</v>
      </c>
      <c r="B35" s="242" t="inlineStr">
        <is>
          <t>0151130176</t>
        </is>
      </c>
      <c r="C35" s="242" t="inlineStr">
        <is>
          <t>ZHUNGO MOROCHO DANIEL MAXIMILIANO</t>
        </is>
      </c>
      <c r="D35" s="243" t="n">
        <v>8.23</v>
      </c>
      <c r="E35" s="243" t="n">
        <v>8.18</v>
      </c>
      <c r="F35" s="243" t="n">
        <v>8.460000000000001</v>
      </c>
      <c r="G35" s="243" t="n">
        <v>8.43</v>
      </c>
      <c r="H35" s="243" t="n">
        <v>8.27</v>
      </c>
      <c r="I35" s="243" t="n">
        <v>8.720000000000001</v>
      </c>
      <c r="J35" s="243" t="n">
        <v>9.02</v>
      </c>
      <c r="K35" s="244" t="inlineStr">
        <is>
          <t>A-</t>
        </is>
      </c>
      <c r="L35" s="244" t="inlineStr">
        <is>
          <t>A+</t>
        </is>
      </c>
      <c r="M35" s="243" t="n">
        <v>8.470000000000001</v>
      </c>
      <c r="N35" s="244" t="inlineStr">
        <is>
          <t>S</t>
        </is>
      </c>
      <c r="O35" s="244" t="inlineStr">
        <is>
          <t>PROMOVIDO</t>
        </is>
      </c>
    </row>
    <row r="36" ht="13.55" customHeight="1" s="225">
      <c r="A36" s="241" t="n">
        <v>34</v>
      </c>
      <c r="B36" s="242" t="inlineStr">
        <is>
          <t>0151150844</t>
        </is>
      </c>
      <c r="C36" s="242" t="inlineStr">
        <is>
          <t>ZUÑIGA UZHCA ANGEL SAMUEL</t>
        </is>
      </c>
      <c r="D36" s="243" t="n">
        <v>8.16</v>
      </c>
      <c r="E36" s="243" t="n">
        <v>8.25</v>
      </c>
      <c r="F36" s="243" t="n">
        <v>8.34</v>
      </c>
      <c r="G36" s="243" t="n">
        <v>8.380000000000001</v>
      </c>
      <c r="H36" s="243" t="n">
        <v>7.89</v>
      </c>
      <c r="I36" s="243" t="n">
        <v>8.300000000000001</v>
      </c>
      <c r="J36" s="243" t="n">
        <v>7.95</v>
      </c>
      <c r="K36" s="244" t="inlineStr">
        <is>
          <t>A-</t>
        </is>
      </c>
      <c r="L36" s="244" t="inlineStr">
        <is>
          <t>A+</t>
        </is>
      </c>
      <c r="M36" s="243" t="n">
        <v>8.18</v>
      </c>
      <c r="N36" s="244" t="inlineStr">
        <is>
          <t>S</t>
        </is>
      </c>
      <c r="O36" s="244" t="inlineStr">
        <is>
          <t>PROMOVIDO</t>
        </is>
      </c>
    </row>
    <row r="37" ht="13.55" customHeight="1" s="225">
      <c r="A37" s="241" t="n">
        <v>35</v>
      </c>
      <c r="B37" s="242" t="inlineStr">
        <is>
          <t>0150852705</t>
        </is>
      </c>
      <c r="C37" s="242" t="inlineStr">
        <is>
          <t>NAUTA CAGUANA BYRON STEVEN</t>
        </is>
      </c>
      <c r="D37" s="243" t="n">
        <v>9.85</v>
      </c>
      <c r="E37" s="243" t="n">
        <v>9.83</v>
      </c>
      <c r="F37" s="243" t="n">
        <v>9.699999999999999</v>
      </c>
      <c r="G37" s="243" t="n">
        <v>9.66</v>
      </c>
      <c r="H37" s="243" t="n">
        <v>9.800000000000001</v>
      </c>
      <c r="I37" s="243" t="n">
        <v>9.92</v>
      </c>
      <c r="J37" s="243" t="n">
        <v>9.529999999999999</v>
      </c>
      <c r="K37" s="244" t="inlineStr">
        <is>
          <t>A+</t>
        </is>
      </c>
      <c r="L37" s="244" t="inlineStr">
        <is>
          <t>A+</t>
        </is>
      </c>
      <c r="M37" s="243" t="n">
        <v>9.76</v>
      </c>
      <c r="N37" s="244" t="inlineStr">
        <is>
          <t>S</t>
        </is>
      </c>
      <c r="O37" s="244" t="inlineStr">
        <is>
          <t>PROMOVIDO</t>
        </is>
      </c>
    </row>
    <row r="38" ht="13.55" customHeight="1" s="225">
      <c r="A38" s="440" t="n">
        <v>36</v>
      </c>
      <c r="B38" s="440" t="n"/>
      <c r="C38" s="440" t="n"/>
      <c r="D38" s="442" t="n">
        <v>309.34</v>
      </c>
      <c r="E38" s="442" t="n">
        <v>308.96</v>
      </c>
      <c r="F38" s="442" t="n">
        <v>308.69</v>
      </c>
      <c r="G38" s="442" t="n">
        <v>311.67</v>
      </c>
      <c r="H38" s="442" t="n">
        <v>298.21</v>
      </c>
      <c r="I38" s="442" t="n">
        <v>317.83</v>
      </c>
      <c r="J38" s="442" t="n">
        <v>304.51</v>
      </c>
      <c r="K38" s="442" t="n"/>
      <c r="L38" s="452" t="inlineStr">
        <is>
          <t>A+</t>
        </is>
      </c>
      <c r="M38" s="442" t="n">
        <v>308.46</v>
      </c>
      <c r="N38" s="442" t="n"/>
      <c r="O38" s="442" t="n"/>
    </row>
    <row r="39" ht="13.55" customHeight="1" s="225">
      <c r="A39" s="440" t="n">
        <v>37</v>
      </c>
      <c r="B39" s="440" t="n"/>
      <c r="C39" s="440" t="n"/>
      <c r="D39" s="442" t="n">
        <v>8.84</v>
      </c>
      <c r="E39" s="442" t="n">
        <v>8.83</v>
      </c>
      <c r="F39" s="442" t="n">
        <v>8.82</v>
      </c>
      <c r="G39" s="442" t="n">
        <v>8.9</v>
      </c>
      <c r="H39" s="442" t="n">
        <v>8.52</v>
      </c>
      <c r="I39" s="442" t="n">
        <v>9.08</v>
      </c>
      <c r="J39" s="442" t="n">
        <v>8.699999999999999</v>
      </c>
      <c r="K39" s="442" t="n"/>
      <c r="L39" s="442" t="n"/>
      <c r="M39" s="442" t="n">
        <v>8.81</v>
      </c>
      <c r="N39" s="442" t="n"/>
      <c r="O39" s="442" t="n"/>
    </row>
    <row r="40" ht="13.55" customHeight="1" s="225">
      <c r="A40" s="241" t="n">
        <v>38</v>
      </c>
      <c r="B40" s="241" t="n"/>
      <c r="C40" s="241" t="n"/>
      <c r="D40" s="243" t="n"/>
      <c r="E40" s="243" t="n"/>
      <c r="F40" s="243" t="n"/>
      <c r="G40" s="243" t="n"/>
      <c r="H40" s="243" t="n"/>
      <c r="I40" s="243" t="n"/>
      <c r="J40" s="243" t="n"/>
      <c r="K40" s="243" t="n"/>
      <c r="L40" s="243" t="n"/>
      <c r="M40" s="243" t="n"/>
      <c r="N40" s="243" t="n"/>
      <c r="O40" s="243" t="n"/>
    </row>
  </sheetData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4.86" customWidth="1" style="225" min="1" max="1"/>
    <col width="38" customWidth="1" style="225" min="2" max="2"/>
    <col width="6.29" customWidth="1" style="225" min="3" max="3"/>
    <col width="8.140000000000001" customWidth="1" style="225" min="13" max="13"/>
    <col width="7.57" customWidth="1" style="225" min="14" max="14"/>
    <col width="18.71" customWidth="1" style="225" min="15" max="15"/>
    <col width="10.71" customWidth="1" style="225" min="16" max="16"/>
    <col width="14" customWidth="1" style="225" min="21" max="21"/>
  </cols>
  <sheetData>
    <row r="1" ht="72.75" customHeight="1" s="225">
      <c r="A1" s="1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5">
      <c r="A2" s="2" t="n"/>
      <c r="B2" s="3" t="inlineStr">
        <is>
          <t>AÑO LECTIVO: 2025-2026</t>
        </is>
      </c>
    </row>
    <row r="3" ht="14.25" customHeight="1" s="225">
      <c r="B3" s="75" t="inlineStr">
        <is>
          <t>DOCENTE:           Mgs. Katherine Nugra</t>
        </is>
      </c>
      <c r="C3" s="5" t="n"/>
      <c r="D3" s="5" t="n"/>
      <c r="E3" s="6" t="n"/>
      <c r="F3" s="6" t="n"/>
      <c r="G3" s="6" t="n"/>
      <c r="H3" s="7" t="inlineStr">
        <is>
          <t xml:space="preserve">JORNADA: </t>
        </is>
      </c>
      <c r="J3" s="8" t="inlineStr">
        <is>
          <t>VESPERTINA</t>
        </is>
      </c>
    </row>
    <row r="4" ht="14.25" customHeight="1" s="225">
      <c r="B4" s="9" t="inlineStr">
        <is>
          <t xml:space="preserve">AÑO DE EGB:        </t>
        </is>
      </c>
      <c r="C4" s="10" t="inlineStr">
        <is>
          <t xml:space="preserve">Octavo </t>
        </is>
      </c>
      <c r="D4" s="6" t="inlineStr">
        <is>
          <t>A</t>
        </is>
      </c>
      <c r="E4" s="6" t="n"/>
      <c r="F4" s="6" t="n"/>
      <c r="G4" s="6" t="n"/>
      <c r="H4" s="7" t="inlineStr">
        <is>
          <t>TRIMESTRE:</t>
        </is>
      </c>
      <c r="J4" s="11" t="inlineStr">
        <is>
          <t>PRIMERO, SEGUNDO, TERCERO</t>
        </is>
      </c>
      <c r="L4" s="6" t="n"/>
    </row>
    <row r="5" ht="6" customHeight="1" s="225">
      <c r="B5" s="12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T5" s="13" t="n"/>
    </row>
    <row r="6" ht="157.5" customHeight="1" s="225">
      <c r="A6" s="14" t="inlineStr">
        <is>
          <t>No</t>
        </is>
      </c>
      <c r="B6" s="15" t="inlineStr">
        <is>
          <t>NOMINA</t>
        </is>
      </c>
      <c r="C6" s="16" t="inlineStr">
        <is>
          <t>LENGUA Y LITERATURA</t>
        </is>
      </c>
      <c r="D6" s="17" t="inlineStr">
        <is>
          <t>MATEMÁTICA</t>
        </is>
      </c>
      <c r="E6" s="18" t="inlineStr">
        <is>
          <t>CIENCIAS NATURALES</t>
        </is>
      </c>
      <c r="F6" s="19" t="inlineStr">
        <is>
          <t>ESTUDIOS SOCIALES</t>
        </is>
      </c>
      <c r="G6" s="20" t="inlineStr">
        <is>
          <t>INGLÉS</t>
        </is>
      </c>
      <c r="H6" s="21" t="inlineStr">
        <is>
          <t xml:space="preserve">EDUCACIÓN CULTURAL Y ARTISTICA </t>
        </is>
      </c>
      <c r="I6" s="22" t="inlineStr">
        <is>
          <t>EDUCACIÓN FÍSICA</t>
        </is>
      </c>
      <c r="J6" s="23" t="inlineStr">
        <is>
          <t>ANIMACION A LA LECTURA</t>
        </is>
      </c>
      <c r="K6" s="24" t="inlineStr">
        <is>
          <t>ACOMPAÑAMIENTO INTEGRAL EN EL AULA</t>
        </is>
      </c>
      <c r="L6" s="25" t="inlineStr">
        <is>
          <t>ORIENTACIÓN VOCACIONAL</t>
        </is>
      </c>
      <c r="M6" s="26" t="inlineStr">
        <is>
          <t>PROMEDIO FINAL</t>
        </is>
      </c>
      <c r="N6" s="27" t="inlineStr">
        <is>
          <t>CCOMPORTAMIENTO</t>
        </is>
      </c>
      <c r="O6" s="28" t="inlineStr">
        <is>
          <t>OBSERVACIONES</t>
        </is>
      </c>
      <c r="T6" s="11" t="inlineStr">
        <is>
          <t>-</t>
        </is>
      </c>
    </row>
    <row r="7" ht="14.25" customHeight="1" s="225">
      <c r="A7" s="29" t="n">
        <v>1</v>
      </c>
      <c r="B7" s="30" t="inlineStr">
        <is>
          <t>ALOMIA PRADO DOMINICK DARNEL</t>
        </is>
      </c>
      <c r="C7" s="31" t="n">
        <v>7.03</v>
      </c>
      <c r="D7" s="32" t="n">
        <v>7</v>
      </c>
      <c r="E7" s="33" t="n">
        <v>7</v>
      </c>
      <c r="F7" s="34" t="n">
        <v>7.48</v>
      </c>
      <c r="G7" s="35" t="n">
        <v>7</v>
      </c>
      <c r="H7" s="36" t="n">
        <v>8.23</v>
      </c>
      <c r="I7" s="37" t="n">
        <v>7.57</v>
      </c>
      <c r="J7" s="38" t="inlineStr">
        <is>
          <t>B+</t>
        </is>
      </c>
      <c r="K7" s="39" t="inlineStr">
        <is>
          <t>A-</t>
        </is>
      </c>
      <c r="L7" s="40" t="inlineStr">
        <is>
          <t>B+</t>
        </is>
      </c>
      <c r="M7" s="41">
        <f>TRUNC(AVERAGE(C7:I7),2)</f>
        <v/>
      </c>
      <c r="N7" s="42" t="inlineStr">
        <is>
          <t>S</t>
        </is>
      </c>
      <c r="O7" s="43" t="inlineStr">
        <is>
          <t>PROMOVIDO</t>
        </is>
      </c>
      <c r="P7" s="44">
        <f>max(M7:M43)</f>
        <v/>
      </c>
      <c r="Q7" s="45" t="inlineStr">
        <is>
          <t>ARIAS MARIBEL</t>
        </is>
      </c>
    </row>
    <row r="8" ht="15" customHeight="1" s="225">
      <c r="A8" s="29" t="n">
        <v>2</v>
      </c>
      <c r="B8" s="30" t="inlineStr">
        <is>
          <t>ALTAMIRANO CARANGUI LEONARDO DAVID</t>
        </is>
      </c>
      <c r="C8" s="31" t="n">
        <v>7.33</v>
      </c>
      <c r="D8" s="46" t="n">
        <v>7</v>
      </c>
      <c r="E8" s="47" t="n">
        <v>7</v>
      </c>
      <c r="F8" s="34" t="n">
        <v>8.029999999999999</v>
      </c>
      <c r="G8" s="35" t="n">
        <v>7</v>
      </c>
      <c r="H8" s="48" t="n">
        <v>8.59</v>
      </c>
      <c r="I8" s="37" t="n">
        <v>8.16</v>
      </c>
      <c r="J8" s="38" t="inlineStr">
        <is>
          <t>B+</t>
        </is>
      </c>
      <c r="K8" s="49" t="inlineStr">
        <is>
          <t>B+</t>
        </is>
      </c>
      <c r="L8" s="40" t="inlineStr">
        <is>
          <t>B+</t>
        </is>
      </c>
      <c r="M8" s="41">
        <f>TRUNC(AVERAGE(C8:I8),2)</f>
        <v/>
      </c>
      <c r="N8" s="42" t="inlineStr">
        <is>
          <t>S</t>
        </is>
      </c>
      <c r="O8" s="43" t="inlineStr">
        <is>
          <t>PROMOVIDO</t>
        </is>
      </c>
      <c r="P8" s="45" t="n">
        <v>8.92</v>
      </c>
      <c r="Q8" s="45" t="inlineStr">
        <is>
          <t>ANGUETA JHONATAN</t>
        </is>
      </c>
    </row>
    <row r="9" ht="15" customHeight="1" s="225">
      <c r="A9" s="29" t="n">
        <v>3</v>
      </c>
      <c r="B9" s="30" t="inlineStr">
        <is>
          <t>ANGUETA LOZADO JONATHAN ALEXIS</t>
        </is>
      </c>
      <c r="C9" s="31" t="n">
        <v>9.02</v>
      </c>
      <c r="D9" s="46" t="n">
        <v>9.029999999999999</v>
      </c>
      <c r="E9" s="50" t="n">
        <v>8.77</v>
      </c>
      <c r="F9" s="34" t="n">
        <v>8.630000000000001</v>
      </c>
      <c r="G9" s="51" t="n">
        <v>8.890000000000001</v>
      </c>
      <c r="H9" s="48" t="n">
        <v>8.92</v>
      </c>
      <c r="I9" s="37" t="n">
        <v>9.220000000000001</v>
      </c>
      <c r="J9" s="38" t="inlineStr">
        <is>
          <t>A-</t>
        </is>
      </c>
      <c r="K9" s="49" t="inlineStr">
        <is>
          <t>A+</t>
        </is>
      </c>
      <c r="L9" s="40" t="inlineStr">
        <is>
          <t>B+</t>
        </is>
      </c>
      <c r="M9" s="41">
        <f>TRUNC(AVERAGE(C9:I9),2)</f>
        <v/>
      </c>
      <c r="N9" s="42" t="inlineStr">
        <is>
          <t>S</t>
        </is>
      </c>
      <c r="O9" s="43" t="inlineStr">
        <is>
          <t>PROMOVIDO</t>
        </is>
      </c>
      <c r="P9" s="45" t="n">
        <v>8.859999999999999</v>
      </c>
      <c r="Q9" s="45" t="inlineStr">
        <is>
          <t>CAGUANA CARLA</t>
        </is>
      </c>
    </row>
    <row r="10" ht="15" customHeight="1" s="225">
      <c r="A10" s="29" t="n">
        <v>4</v>
      </c>
      <c r="B10" s="453" t="inlineStr">
        <is>
          <t>ARIAS PACHECO MARIBEL FATIMA</t>
        </is>
      </c>
      <c r="C10" s="31" t="n">
        <v>9.539999999999999</v>
      </c>
      <c r="D10" s="46" t="n">
        <v>8.92</v>
      </c>
      <c r="E10" s="52" t="n">
        <v>9.029999999999999</v>
      </c>
      <c r="F10" s="454" t="n">
        <v>8.82</v>
      </c>
      <c r="G10" s="51" t="n">
        <v>8.470000000000001</v>
      </c>
      <c r="H10" s="48" t="n">
        <v>8.619999999999999</v>
      </c>
      <c r="I10" s="37" t="n">
        <v>9.27</v>
      </c>
      <c r="J10" s="38" t="inlineStr">
        <is>
          <t>A-</t>
        </is>
      </c>
      <c r="K10" s="121" t="inlineStr">
        <is>
          <t>A+</t>
        </is>
      </c>
      <c r="L10" s="40" t="inlineStr">
        <is>
          <t>B+</t>
        </is>
      </c>
      <c r="M10" s="454">
        <f>TRUNC(AVERAGE(C10:I10),2)</f>
        <v/>
      </c>
      <c r="N10" s="42" t="inlineStr">
        <is>
          <t>S</t>
        </is>
      </c>
      <c r="O10" s="43" t="inlineStr">
        <is>
          <t>PROMOVIDO</t>
        </is>
      </c>
    </row>
    <row r="11" ht="15" customHeight="1" s="225">
      <c r="A11" s="29" t="n">
        <v>5</v>
      </c>
      <c r="B11" s="30" t="inlineStr">
        <is>
          <t>CAGUANA CHIRIBOGA CARLA NICOLLE</t>
        </is>
      </c>
      <c r="C11" s="31" t="n">
        <v>8.98</v>
      </c>
      <c r="D11" s="46" t="n">
        <v>9.07</v>
      </c>
      <c r="E11" s="50" t="n">
        <v>8.24</v>
      </c>
      <c r="F11" s="34" t="n">
        <v>9.369999999999999</v>
      </c>
      <c r="G11" s="51" t="n">
        <v>8.85</v>
      </c>
      <c r="H11" s="48" t="n">
        <v>8.859999999999999</v>
      </c>
      <c r="I11" s="37" t="n">
        <v>8.699999999999999</v>
      </c>
      <c r="J11" s="38" t="inlineStr">
        <is>
          <t>A-</t>
        </is>
      </c>
      <c r="K11" s="49" t="inlineStr">
        <is>
          <t>A+</t>
        </is>
      </c>
      <c r="L11" s="40" t="inlineStr">
        <is>
          <t>B+</t>
        </is>
      </c>
      <c r="M11" s="41">
        <f>TRUNC(AVERAGE(C11:I11),2)</f>
        <v/>
      </c>
      <c r="N11" s="42" t="inlineStr">
        <is>
          <t>S</t>
        </is>
      </c>
      <c r="O11" s="43" t="inlineStr">
        <is>
          <t>PROMOVIDO</t>
        </is>
      </c>
    </row>
    <row r="12" ht="15" customHeight="1" s="225">
      <c r="A12" s="29" t="n">
        <v>6</v>
      </c>
      <c r="B12" s="453" t="inlineStr">
        <is>
          <t>CAMPOVERDE VALDEZ DAYANNA BELEN</t>
        </is>
      </c>
      <c r="C12" s="31" t="n">
        <v>8.57</v>
      </c>
      <c r="D12" s="54" t="n">
        <v>8.050000000000001</v>
      </c>
      <c r="E12" s="50" t="n">
        <v>7.51</v>
      </c>
      <c r="F12" s="454" t="n">
        <v>8.640000000000001</v>
      </c>
      <c r="G12" s="51" t="n">
        <v>8.140000000000001</v>
      </c>
      <c r="H12" s="48" t="n">
        <v>8.77</v>
      </c>
      <c r="I12" s="37" t="n">
        <v>8.69</v>
      </c>
      <c r="J12" s="38" t="inlineStr">
        <is>
          <t>A-</t>
        </is>
      </c>
      <c r="K12" s="121" t="inlineStr">
        <is>
          <t>A+</t>
        </is>
      </c>
      <c r="L12" s="40" t="inlineStr">
        <is>
          <t>B+</t>
        </is>
      </c>
      <c r="M12" s="454">
        <f>TRUNC(AVERAGE(C12:I12),2)</f>
        <v/>
      </c>
      <c r="N12" s="42" t="inlineStr">
        <is>
          <t>S</t>
        </is>
      </c>
      <c r="O12" s="43" t="inlineStr">
        <is>
          <t>PROMOVIDO</t>
        </is>
      </c>
    </row>
    <row r="13" ht="15" customHeight="1" s="225">
      <c r="A13" s="29" t="n">
        <v>7</v>
      </c>
      <c r="B13" s="453" t="inlineStr">
        <is>
          <t>CORONEL CARRASCO BAYOLET BELEN</t>
        </is>
      </c>
      <c r="C13" s="454" t="n">
        <v>9.06</v>
      </c>
      <c r="D13" s="46" t="n">
        <v>7.51</v>
      </c>
      <c r="E13" s="50" t="n">
        <v>7.39</v>
      </c>
      <c r="F13" s="34" t="n">
        <v>8.199999999999999</v>
      </c>
      <c r="G13" s="51" t="n">
        <v>7.61</v>
      </c>
      <c r="H13" s="48" t="n">
        <v>8.539999999999999</v>
      </c>
      <c r="I13" s="37" t="n">
        <v>8.220000000000001</v>
      </c>
      <c r="J13" s="38" t="inlineStr">
        <is>
          <t>A-</t>
        </is>
      </c>
      <c r="K13" s="121" t="inlineStr">
        <is>
          <t>A+</t>
        </is>
      </c>
      <c r="L13" s="40" t="inlineStr">
        <is>
          <t>B+</t>
        </is>
      </c>
      <c r="M13" s="454">
        <f>TRUNC(AVERAGE(C13:I13),2)</f>
        <v/>
      </c>
      <c r="N13" s="42" t="inlineStr">
        <is>
          <t>S</t>
        </is>
      </c>
      <c r="O13" s="43" t="inlineStr">
        <is>
          <t>PROMOVIDO</t>
        </is>
      </c>
    </row>
    <row r="14" ht="15" customHeight="1" s="225">
      <c r="A14" s="29" t="n">
        <v>8</v>
      </c>
      <c r="B14" s="453" t="inlineStr">
        <is>
          <t>CRIOLLO LEON NAYELI NICOLE</t>
        </is>
      </c>
      <c r="C14" s="454" t="n">
        <v>7.85</v>
      </c>
      <c r="D14" s="46" t="n">
        <v>7.75</v>
      </c>
      <c r="E14" s="52" t="n">
        <v>7.45</v>
      </c>
      <c r="F14" s="34" t="n">
        <v>8.48</v>
      </c>
      <c r="G14" s="51" t="n">
        <v>8.26</v>
      </c>
      <c r="H14" s="48" t="n">
        <v>8.27</v>
      </c>
      <c r="I14" s="37" t="n">
        <v>9.029999999999999</v>
      </c>
      <c r="J14" s="38" t="inlineStr">
        <is>
          <t>A-</t>
        </is>
      </c>
      <c r="K14" s="121" t="inlineStr">
        <is>
          <t>A+</t>
        </is>
      </c>
      <c r="L14" s="40" t="inlineStr">
        <is>
          <t>B+</t>
        </is>
      </c>
      <c r="M14" s="41">
        <f>TRUNC(AVERAGE(C14:I14),2)</f>
        <v/>
      </c>
      <c r="N14" s="42" t="inlineStr">
        <is>
          <t>S</t>
        </is>
      </c>
      <c r="O14" s="43" t="inlineStr">
        <is>
          <t>PROMOVIDO</t>
        </is>
      </c>
      <c r="T14" s="11" t="n"/>
    </row>
    <row r="15" ht="15" customHeight="1" s="225">
      <c r="A15" s="29" t="n">
        <v>9</v>
      </c>
      <c r="B15" s="453" t="inlineStr">
        <is>
          <t>CUMBE JIMENEZ CAMILA PATRICIA</t>
        </is>
      </c>
      <c r="C15" s="454" t="n">
        <v>7.88</v>
      </c>
      <c r="D15" s="46" t="n">
        <v>7.3</v>
      </c>
      <c r="E15" s="455" t="n">
        <v>5.14</v>
      </c>
      <c r="F15" s="34" t="n">
        <v>7.75</v>
      </c>
      <c r="G15" s="51" t="n">
        <v>7.37</v>
      </c>
      <c r="H15" s="48" t="n">
        <v>8.539999999999999</v>
      </c>
      <c r="I15" s="37" t="n">
        <v>7.97</v>
      </c>
      <c r="J15" s="38" t="inlineStr">
        <is>
          <t>B-</t>
        </is>
      </c>
      <c r="K15" s="121" t="inlineStr">
        <is>
          <t>A+</t>
        </is>
      </c>
      <c r="L15" s="40" t="inlineStr">
        <is>
          <t>B+</t>
        </is>
      </c>
      <c r="M15" s="454">
        <f>TRUNC(AVERAGE(C15:I15),2)</f>
        <v/>
      </c>
      <c r="N15" s="42" t="inlineStr">
        <is>
          <t>S</t>
        </is>
      </c>
      <c r="O15" s="56" t="inlineStr">
        <is>
          <t>NO PROMOVIDO</t>
        </is>
      </c>
    </row>
    <row r="16" ht="15" customHeight="1" s="225">
      <c r="A16" s="29" t="n">
        <v>10</v>
      </c>
      <c r="B16" s="453" t="inlineStr">
        <is>
          <t>ESPINOSA GUAZHA SANTIAGO EFRAIN</t>
        </is>
      </c>
      <c r="C16" s="454" t="n">
        <v>7.44</v>
      </c>
      <c r="D16" s="46" t="n">
        <v>8.800000000000001</v>
      </c>
      <c r="E16" s="50" t="n">
        <v>7.8</v>
      </c>
      <c r="F16" s="454" t="n">
        <v>8.81</v>
      </c>
      <c r="G16" s="51" t="n">
        <v>8.23</v>
      </c>
      <c r="H16" s="48" t="n">
        <v>8.720000000000001</v>
      </c>
      <c r="I16" s="37" t="n">
        <v>9.300000000000001</v>
      </c>
      <c r="J16" s="38" t="inlineStr">
        <is>
          <t>B+</t>
        </is>
      </c>
      <c r="K16" s="121" t="inlineStr">
        <is>
          <t>A+</t>
        </is>
      </c>
      <c r="L16" s="40" t="inlineStr">
        <is>
          <t>B+</t>
        </is>
      </c>
      <c r="M16" s="454">
        <f>TRUNC(AVERAGE(C16:I16),2)</f>
        <v/>
      </c>
      <c r="N16" s="42" t="inlineStr">
        <is>
          <t>S</t>
        </is>
      </c>
      <c r="O16" s="43" t="inlineStr">
        <is>
          <t>PROMOVIDO</t>
        </is>
      </c>
    </row>
    <row r="17" ht="15" customHeight="1" s="225">
      <c r="A17" s="29" t="n">
        <v>11</v>
      </c>
      <c r="B17" s="453" t="inlineStr">
        <is>
          <t>ESPINOZA POMA DOMENICA DEL CISNE</t>
        </is>
      </c>
      <c r="C17" s="454" t="n">
        <v>8.59</v>
      </c>
      <c r="D17" s="46" t="n">
        <v>8.84</v>
      </c>
      <c r="E17" s="50" t="n">
        <v>8.32</v>
      </c>
      <c r="F17" s="454" t="n">
        <v>8.76</v>
      </c>
      <c r="G17" s="51" t="n">
        <v>8.630000000000001</v>
      </c>
      <c r="H17" s="48" t="n">
        <v>8.84</v>
      </c>
      <c r="I17" s="37" t="n">
        <v>9.380000000000001</v>
      </c>
      <c r="J17" s="38" t="inlineStr">
        <is>
          <t>A-</t>
        </is>
      </c>
      <c r="K17" s="121" t="inlineStr">
        <is>
          <t>A+</t>
        </is>
      </c>
      <c r="L17" s="40" t="inlineStr">
        <is>
          <t>B+</t>
        </is>
      </c>
      <c r="M17" s="454">
        <f>TRUNC(AVERAGE(C17:I17),2)</f>
        <v/>
      </c>
      <c r="N17" s="42" t="inlineStr">
        <is>
          <t>S</t>
        </is>
      </c>
      <c r="O17" s="43" t="inlineStr">
        <is>
          <t>PROMOVIDO</t>
        </is>
      </c>
    </row>
    <row r="18" ht="15" customHeight="1" s="225">
      <c r="A18" s="29" t="n">
        <v>12</v>
      </c>
      <c r="B18" s="453" t="inlineStr">
        <is>
          <t>GUAMAN SHIRAP DASHA ABIGAIL</t>
        </is>
      </c>
      <c r="C18" s="454" t="n">
        <v>9.15</v>
      </c>
      <c r="D18" s="454" t="n">
        <v>5.5</v>
      </c>
      <c r="E18" s="454" t="n">
        <v>6.5</v>
      </c>
      <c r="F18" s="454" t="n">
        <v>7.9</v>
      </c>
      <c r="G18" s="51" t="n">
        <v>7.6</v>
      </c>
      <c r="H18" s="48" t="n">
        <v>8.66</v>
      </c>
      <c r="I18" s="37" t="n">
        <v>7.56</v>
      </c>
      <c r="J18" s="38" t="inlineStr">
        <is>
          <t>B-</t>
        </is>
      </c>
      <c r="K18" s="121" t="inlineStr">
        <is>
          <t>B+</t>
        </is>
      </c>
      <c r="L18" s="40" t="inlineStr">
        <is>
          <t>B+</t>
        </is>
      </c>
      <c r="M18" s="454">
        <f>TRUNC(AVERAGE(C18:I18),2)</f>
        <v/>
      </c>
      <c r="N18" s="42" t="inlineStr">
        <is>
          <t>S</t>
        </is>
      </c>
      <c r="O18" s="56" t="inlineStr">
        <is>
          <t>NO PROMOVIDO</t>
        </is>
      </c>
    </row>
    <row r="19" ht="15" customHeight="1" s="225">
      <c r="A19" s="29" t="n">
        <v>13</v>
      </c>
      <c r="B19" s="453" t="inlineStr">
        <is>
          <t>JARAMILLO LOAIZA RUTH NOEMI</t>
        </is>
      </c>
      <c r="C19" s="454" t="n">
        <v>7.53</v>
      </c>
      <c r="D19" s="46" t="n">
        <v>7.84</v>
      </c>
      <c r="E19" s="50" t="n">
        <v>8.43</v>
      </c>
      <c r="F19" s="454" t="n">
        <v>8.56</v>
      </c>
      <c r="G19" s="51" t="n">
        <v>8.619999999999999</v>
      </c>
      <c r="H19" s="48" t="n">
        <v>8.609999999999999</v>
      </c>
      <c r="I19" s="37" t="n">
        <v>8.460000000000001</v>
      </c>
      <c r="J19" s="38" t="inlineStr">
        <is>
          <t>A-</t>
        </is>
      </c>
      <c r="K19" s="121" t="inlineStr">
        <is>
          <t>A+</t>
        </is>
      </c>
      <c r="L19" s="40" t="inlineStr">
        <is>
          <t>B+</t>
        </is>
      </c>
      <c r="M19" s="454">
        <f>TRUNC(AVERAGE(C19:I19),2)</f>
        <v/>
      </c>
      <c r="N19" s="42" t="inlineStr">
        <is>
          <t>S</t>
        </is>
      </c>
      <c r="O19" s="43" t="inlineStr">
        <is>
          <t>PROMOVIDO</t>
        </is>
      </c>
    </row>
    <row r="20" ht="15" customHeight="1" s="225">
      <c r="A20" s="29" t="n">
        <v>14</v>
      </c>
      <c r="B20" s="453" t="inlineStr">
        <is>
          <t>LLATAS MALLA KAREN JHINET</t>
        </is>
      </c>
      <c r="C20" s="454" t="n">
        <v>8.210000000000001</v>
      </c>
      <c r="D20" s="46" t="n">
        <v>8.43</v>
      </c>
      <c r="E20" s="50" t="n">
        <v>7.87</v>
      </c>
      <c r="F20" s="454" t="n">
        <v>7.98</v>
      </c>
      <c r="G20" s="51" t="n">
        <v>7.73</v>
      </c>
      <c r="H20" s="48" t="n">
        <v>8.550000000000001</v>
      </c>
      <c r="I20" s="37" t="n">
        <v>8.390000000000001</v>
      </c>
      <c r="J20" s="38" t="inlineStr">
        <is>
          <t>B+</t>
        </is>
      </c>
      <c r="K20" s="121" t="inlineStr">
        <is>
          <t>A-</t>
        </is>
      </c>
      <c r="L20" s="40" t="inlineStr">
        <is>
          <t>B+</t>
        </is>
      </c>
      <c r="M20" s="454">
        <f>TRUNC(AVERAGE(C20:I20),2)</f>
        <v/>
      </c>
      <c r="N20" s="42" t="inlineStr">
        <is>
          <t>S</t>
        </is>
      </c>
      <c r="O20" s="43" t="inlineStr">
        <is>
          <t>PROMOVIDO</t>
        </is>
      </c>
    </row>
    <row r="21" ht="15" customHeight="1" s="225">
      <c r="A21" s="29" t="n">
        <v>15</v>
      </c>
      <c r="B21" s="453" t="inlineStr">
        <is>
          <t>MARCA PULGARIN ANTONY MATEO</t>
        </is>
      </c>
      <c r="C21" s="454" t="n">
        <v>9</v>
      </c>
      <c r="D21" s="46" t="n">
        <v>7.24</v>
      </c>
      <c r="E21" s="52" t="n">
        <v>7</v>
      </c>
      <c r="F21" s="454" t="n">
        <v>8.33</v>
      </c>
      <c r="G21" s="51" t="n">
        <v>7.58</v>
      </c>
      <c r="H21" s="48" t="n">
        <v>8.74</v>
      </c>
      <c r="I21" s="37" t="n">
        <v>7.66</v>
      </c>
      <c r="J21" s="38" t="inlineStr">
        <is>
          <t>B+</t>
        </is>
      </c>
      <c r="K21" s="121" t="inlineStr">
        <is>
          <t>B+</t>
        </is>
      </c>
      <c r="L21" s="40" t="inlineStr">
        <is>
          <t>B+</t>
        </is>
      </c>
      <c r="M21" s="454">
        <f>TRUNC(AVERAGE(C21:I21),2)</f>
        <v/>
      </c>
      <c r="N21" s="42" t="inlineStr">
        <is>
          <t>S</t>
        </is>
      </c>
      <c r="O21" s="43" t="inlineStr">
        <is>
          <t>PROMOVIDO</t>
        </is>
      </c>
    </row>
    <row r="22" ht="15" customHeight="1" s="225">
      <c r="A22" s="29" t="n">
        <v>16</v>
      </c>
      <c r="B22" s="453" t="inlineStr">
        <is>
          <t>MENDEZ AVILA DAYANA LIZBETH</t>
        </is>
      </c>
      <c r="C22" s="454" t="n">
        <v>7.53</v>
      </c>
      <c r="D22" s="46" t="n">
        <v>7.66</v>
      </c>
      <c r="E22" s="52" t="n">
        <v>7.46</v>
      </c>
      <c r="F22" s="454" t="n">
        <v>8.800000000000001</v>
      </c>
      <c r="G22" s="51" t="n">
        <v>8.49</v>
      </c>
      <c r="H22" s="48" t="n">
        <v>9.029999999999999</v>
      </c>
      <c r="I22" s="37" t="n">
        <v>8.73</v>
      </c>
      <c r="J22" s="38" t="inlineStr">
        <is>
          <t>A-</t>
        </is>
      </c>
      <c r="K22" s="121" t="inlineStr">
        <is>
          <t>A-</t>
        </is>
      </c>
      <c r="L22" s="40" t="inlineStr">
        <is>
          <t>B+</t>
        </is>
      </c>
      <c r="M22" s="41">
        <f>TRUNC(AVERAGE(C22:I22),2)</f>
        <v/>
      </c>
      <c r="N22" s="42" t="inlineStr">
        <is>
          <t>S</t>
        </is>
      </c>
      <c r="O22" s="43" t="inlineStr">
        <is>
          <t>PROMOVIDO</t>
        </is>
      </c>
    </row>
    <row r="23" ht="15" customHeight="1" s="225">
      <c r="A23" s="29" t="n">
        <v>17</v>
      </c>
      <c r="B23" s="453" t="inlineStr">
        <is>
          <t>MIZHQUIRI CABRERA MIA ANALIA</t>
        </is>
      </c>
      <c r="C23" s="454" t="n">
        <v>7.98</v>
      </c>
      <c r="D23" s="46" t="n">
        <v>7.8</v>
      </c>
      <c r="E23" s="52" t="n">
        <v>7.83</v>
      </c>
      <c r="F23" s="454" t="n">
        <v>8.83</v>
      </c>
      <c r="G23" s="51" t="n">
        <v>7.55</v>
      </c>
      <c r="H23" s="48" t="n">
        <v>8.83</v>
      </c>
      <c r="I23" s="37" t="n">
        <v>8.73</v>
      </c>
      <c r="J23" s="38" t="inlineStr">
        <is>
          <t>A-</t>
        </is>
      </c>
      <c r="K23" s="121" t="inlineStr">
        <is>
          <t>B+</t>
        </is>
      </c>
      <c r="L23" s="40" t="inlineStr">
        <is>
          <t>B+</t>
        </is>
      </c>
      <c r="M23" s="454">
        <f>TRUNC(AVERAGE(C23:I23),2)</f>
        <v/>
      </c>
      <c r="N23" s="42" t="inlineStr">
        <is>
          <t>S</t>
        </is>
      </c>
      <c r="O23" s="43" t="inlineStr">
        <is>
          <t>PROMOVIDO</t>
        </is>
      </c>
    </row>
    <row r="24" ht="15" customHeight="1" s="225">
      <c r="A24" s="29" t="n">
        <v>18</v>
      </c>
      <c r="B24" s="453" t="inlineStr">
        <is>
          <t>MONTECE NARVAEZ YHULEXI PRICILA</t>
        </is>
      </c>
      <c r="C24" s="454" t="n">
        <v>8.710000000000001</v>
      </c>
      <c r="D24" s="54" t="n">
        <v>7.06</v>
      </c>
      <c r="E24" s="52" t="n">
        <v>7.11</v>
      </c>
      <c r="F24" s="34" t="n">
        <v>7.62</v>
      </c>
      <c r="G24" s="51" t="n">
        <v>7.05</v>
      </c>
      <c r="H24" s="48" t="n">
        <v>8.44</v>
      </c>
      <c r="I24" s="37" t="n">
        <v>7.54</v>
      </c>
      <c r="J24" s="38" t="inlineStr">
        <is>
          <t>B+</t>
        </is>
      </c>
      <c r="K24" s="121" t="inlineStr">
        <is>
          <t>A-</t>
        </is>
      </c>
      <c r="L24" s="40" t="inlineStr">
        <is>
          <t>B+</t>
        </is>
      </c>
      <c r="M24" s="454">
        <f>TRUNC(AVERAGE(C24:I24),2)</f>
        <v/>
      </c>
      <c r="N24" s="42" t="inlineStr">
        <is>
          <t>S</t>
        </is>
      </c>
      <c r="O24" s="43" t="inlineStr">
        <is>
          <t>PROMOVIDO</t>
        </is>
      </c>
    </row>
    <row r="25" ht="15" customHeight="1" s="225">
      <c r="A25" s="29" t="n">
        <v>19</v>
      </c>
      <c r="B25" s="453" t="inlineStr">
        <is>
          <t>MORA SIGUENZA MARTHA GUADALUPE</t>
        </is>
      </c>
      <c r="C25" s="454" t="n">
        <v>7.54</v>
      </c>
      <c r="D25" s="46" t="n">
        <v>7.45</v>
      </c>
      <c r="E25" s="52" t="n">
        <v>7.03</v>
      </c>
      <c r="F25" s="34" t="n">
        <v>7.04</v>
      </c>
      <c r="G25" s="51" t="n">
        <v>7.15</v>
      </c>
      <c r="H25" s="48" t="n">
        <v>8.279999999999999</v>
      </c>
      <c r="I25" s="37" t="n">
        <v>7.73</v>
      </c>
      <c r="J25" s="38" t="inlineStr">
        <is>
          <t>B-</t>
        </is>
      </c>
      <c r="K25" s="121" t="inlineStr">
        <is>
          <t>A-</t>
        </is>
      </c>
      <c r="L25" s="40" t="inlineStr">
        <is>
          <t>B+</t>
        </is>
      </c>
      <c r="M25" s="454">
        <f>TRUNC(AVERAGE(C25:I25),2)</f>
        <v/>
      </c>
      <c r="N25" s="42" t="inlineStr">
        <is>
          <t>S</t>
        </is>
      </c>
      <c r="O25" s="43" t="inlineStr">
        <is>
          <t>PROMOVIDO</t>
        </is>
      </c>
    </row>
    <row r="26" ht="15" customHeight="1" s="225">
      <c r="A26" s="29" t="n">
        <v>20</v>
      </c>
      <c r="B26" s="453" t="inlineStr">
        <is>
          <t>MORALES LOZANO MATEO ARIEL</t>
        </is>
      </c>
      <c r="C26" s="454" t="n">
        <v>7.96</v>
      </c>
      <c r="D26" s="46" t="n">
        <v>7.96</v>
      </c>
      <c r="E26" s="50" t="n">
        <v>7.14</v>
      </c>
      <c r="F26" s="34" t="n">
        <v>8.01</v>
      </c>
      <c r="G26" s="51" t="n">
        <v>7.66</v>
      </c>
      <c r="H26" s="48" t="n">
        <v>8.619999999999999</v>
      </c>
      <c r="I26" s="37" t="n">
        <v>8.65</v>
      </c>
      <c r="J26" s="38" t="inlineStr">
        <is>
          <t>B+</t>
        </is>
      </c>
      <c r="K26" s="121" t="inlineStr">
        <is>
          <t>A-</t>
        </is>
      </c>
      <c r="L26" s="40" t="inlineStr">
        <is>
          <t>B+</t>
        </is>
      </c>
      <c r="M26" s="454">
        <f>TRUNC(AVERAGE(C26:I26),2)</f>
        <v/>
      </c>
      <c r="N26" s="42" t="inlineStr">
        <is>
          <t>S</t>
        </is>
      </c>
      <c r="O26" s="43" t="inlineStr">
        <is>
          <t>PROMOVIDO</t>
        </is>
      </c>
    </row>
    <row r="27" ht="18" customHeight="1" s="225">
      <c r="A27" s="29" t="n">
        <v>21</v>
      </c>
      <c r="B27" s="453" t="inlineStr">
        <is>
          <t>MUÑOZ ORELLANA NUBE NICOLE</t>
        </is>
      </c>
      <c r="C27" s="454" t="n">
        <v>7.7</v>
      </c>
      <c r="D27" s="46" t="n">
        <v>9.18</v>
      </c>
      <c r="E27" s="50" t="n">
        <v>8.550000000000001</v>
      </c>
      <c r="F27" s="454" t="n">
        <v>9.02</v>
      </c>
      <c r="G27" s="51" t="n">
        <v>8.07</v>
      </c>
      <c r="H27" s="48" t="n">
        <v>8.81</v>
      </c>
      <c r="I27" s="37" t="n">
        <v>9.08</v>
      </c>
      <c r="J27" s="38" t="inlineStr">
        <is>
          <t>A-</t>
        </is>
      </c>
      <c r="K27" s="121" t="inlineStr">
        <is>
          <t>A+</t>
        </is>
      </c>
      <c r="L27" s="40" t="inlineStr">
        <is>
          <t>B+</t>
        </is>
      </c>
      <c r="M27" s="454">
        <f>TRUNC(AVERAGE(C27:I27),2)</f>
        <v/>
      </c>
      <c r="N27" s="42" t="inlineStr">
        <is>
          <t>S</t>
        </is>
      </c>
      <c r="O27" s="43" t="inlineStr">
        <is>
          <t>PROMOVIDO</t>
        </is>
      </c>
    </row>
    <row r="28" ht="15" customHeight="1" s="225">
      <c r="A28" s="29" t="n">
        <v>22</v>
      </c>
      <c r="B28" s="453" t="inlineStr">
        <is>
          <t>MUÑOZ VIÑANZACA ESCARLEN GUADALUPE</t>
        </is>
      </c>
      <c r="C28" s="454" t="n">
        <v>9.24</v>
      </c>
      <c r="D28" s="46" t="n">
        <v>8.539999999999999</v>
      </c>
      <c r="E28" s="50" t="n">
        <v>7.8</v>
      </c>
      <c r="F28" s="454" t="n">
        <v>8.199999999999999</v>
      </c>
      <c r="G28" s="51" t="n">
        <v>7.52</v>
      </c>
      <c r="H28" s="48" t="n">
        <v>8.699999999999999</v>
      </c>
      <c r="I28" s="37" t="n">
        <v>7.73</v>
      </c>
      <c r="J28" s="38" t="inlineStr">
        <is>
          <t>A-</t>
        </is>
      </c>
      <c r="K28" s="121" t="inlineStr">
        <is>
          <t>B+</t>
        </is>
      </c>
      <c r="L28" s="40" t="inlineStr">
        <is>
          <t>B+</t>
        </is>
      </c>
      <c r="M28" s="41">
        <f>TRUNC(AVERAGE(C28:I28),2)</f>
        <v/>
      </c>
      <c r="N28" s="42" t="inlineStr">
        <is>
          <t>S</t>
        </is>
      </c>
      <c r="O28" s="43" t="inlineStr">
        <is>
          <t>PROMOVIDO</t>
        </is>
      </c>
    </row>
    <row r="29" ht="18" customHeight="1" s="225">
      <c r="A29" s="29" t="n">
        <v>23</v>
      </c>
      <c r="B29" s="453" t="inlineStr">
        <is>
          <t>OCHOA CALLE CAMILA ESTHEFANIA</t>
        </is>
      </c>
      <c r="C29" s="454" t="n">
        <v>8.67</v>
      </c>
      <c r="D29" s="46" t="n">
        <v>8.130000000000001</v>
      </c>
      <c r="E29" s="52" t="n">
        <v>7.28</v>
      </c>
      <c r="F29" s="454" t="n">
        <v>8.48</v>
      </c>
      <c r="G29" s="51" t="n">
        <v>8.18</v>
      </c>
      <c r="H29" s="48" t="n">
        <v>8.99</v>
      </c>
      <c r="I29" s="37" t="n">
        <v>8.9</v>
      </c>
      <c r="J29" s="38" t="inlineStr">
        <is>
          <t>B+</t>
        </is>
      </c>
      <c r="K29" s="121" t="inlineStr">
        <is>
          <t>A-</t>
        </is>
      </c>
      <c r="L29" s="40" t="inlineStr">
        <is>
          <t>B+</t>
        </is>
      </c>
      <c r="M29" s="454">
        <f>TRUNC(AVERAGE(C29:I29),2)</f>
        <v/>
      </c>
      <c r="N29" s="42" t="inlineStr">
        <is>
          <t>S</t>
        </is>
      </c>
      <c r="O29" s="43" t="inlineStr">
        <is>
          <t>PROMOVIDO</t>
        </is>
      </c>
    </row>
    <row r="30" ht="15" customHeight="1" s="225">
      <c r="A30" s="29" t="n">
        <v>24</v>
      </c>
      <c r="B30" s="453" t="inlineStr">
        <is>
          <t>ORTIZ JIMENEZ CRISTHOFER LEONARDO</t>
        </is>
      </c>
      <c r="C30" s="454" t="n">
        <v>7.86</v>
      </c>
      <c r="D30" s="46" t="n">
        <v>8.58</v>
      </c>
      <c r="E30" s="50" t="n">
        <v>7.98</v>
      </c>
      <c r="F30" s="454" t="n">
        <v>7.94</v>
      </c>
      <c r="G30" s="51" t="n">
        <v>8.19</v>
      </c>
      <c r="H30" s="48" t="n">
        <v>8.609999999999999</v>
      </c>
      <c r="I30" s="37" t="n">
        <v>8.699999999999999</v>
      </c>
      <c r="J30" s="38" t="inlineStr">
        <is>
          <t>B+</t>
        </is>
      </c>
      <c r="K30" s="121" t="inlineStr">
        <is>
          <t>A+</t>
        </is>
      </c>
      <c r="L30" s="40" t="inlineStr">
        <is>
          <t>B+</t>
        </is>
      </c>
      <c r="M30" s="454">
        <f>TRUNC(AVERAGE(C30:I30),2)</f>
        <v/>
      </c>
      <c r="N30" s="42" t="inlineStr">
        <is>
          <t>S</t>
        </is>
      </c>
      <c r="O30" s="43" t="inlineStr">
        <is>
          <t>PROMOVIDO</t>
        </is>
      </c>
    </row>
    <row r="31" ht="15" customHeight="1" s="225">
      <c r="A31" s="29" t="n">
        <v>25</v>
      </c>
      <c r="B31" s="453" t="inlineStr">
        <is>
          <t>PANDO CARVAJAL JUAN JOSE</t>
        </is>
      </c>
      <c r="C31" s="454" t="n">
        <v>8.210000000000001</v>
      </c>
      <c r="D31" s="54" t="n">
        <v>7.37</v>
      </c>
      <c r="E31" s="52" t="n">
        <v>7.13</v>
      </c>
      <c r="F31" s="454" t="n">
        <v>7.76</v>
      </c>
      <c r="G31" s="51" t="n">
        <v>7.54</v>
      </c>
      <c r="H31" s="48" t="n">
        <v>8.970000000000001</v>
      </c>
      <c r="I31" s="37" t="n">
        <v>7.98</v>
      </c>
      <c r="J31" s="38" t="inlineStr">
        <is>
          <t>B+</t>
        </is>
      </c>
      <c r="K31" s="121" t="inlineStr">
        <is>
          <t>A-</t>
        </is>
      </c>
      <c r="L31" s="40" t="inlineStr">
        <is>
          <t>B+</t>
        </is>
      </c>
      <c r="M31" s="454">
        <f>TRUNC(AVERAGE(C31:I31),2)</f>
        <v/>
      </c>
      <c r="N31" s="42" t="inlineStr">
        <is>
          <t>S</t>
        </is>
      </c>
      <c r="O31" s="43" t="inlineStr">
        <is>
          <t>PROMOVIDO</t>
        </is>
      </c>
    </row>
    <row r="32" ht="15" customHeight="1" s="225">
      <c r="A32" s="29" t="n">
        <v>26</v>
      </c>
      <c r="B32" s="453" t="inlineStr">
        <is>
          <t>PARRA AGUILAR DEIVID ALEXANDER</t>
        </is>
      </c>
      <c r="C32" s="454" t="n">
        <v>7.05</v>
      </c>
      <c r="D32" s="46" t="n">
        <v>8.19</v>
      </c>
      <c r="E32" s="50" t="n">
        <v>8.58</v>
      </c>
      <c r="F32" s="454" t="n">
        <v>7.96</v>
      </c>
      <c r="G32" s="51" t="n">
        <v>7.69</v>
      </c>
      <c r="H32" s="48" t="n">
        <v>8.960000000000001</v>
      </c>
      <c r="I32" s="37" t="n">
        <v>8.91</v>
      </c>
      <c r="J32" s="38" t="inlineStr">
        <is>
          <t>A-</t>
        </is>
      </c>
      <c r="K32" s="121" t="inlineStr">
        <is>
          <t>B+</t>
        </is>
      </c>
      <c r="L32" s="40" t="inlineStr">
        <is>
          <t>B+</t>
        </is>
      </c>
      <c r="M32" s="454">
        <f>TRUNC(AVERAGE(C32:I32),2)</f>
        <v/>
      </c>
      <c r="N32" s="42" t="inlineStr">
        <is>
          <t>S</t>
        </is>
      </c>
      <c r="O32" s="43" t="inlineStr">
        <is>
          <t>PROMOVIDO</t>
        </is>
      </c>
    </row>
    <row r="33" ht="15" customHeight="1" s="225">
      <c r="A33" s="29" t="n">
        <v>27</v>
      </c>
      <c r="B33" s="453" t="inlineStr">
        <is>
          <t>PATIÑO MINCHALA VALENTINA GALILEA</t>
        </is>
      </c>
      <c r="C33" s="454" t="n">
        <v>8.09</v>
      </c>
      <c r="D33" s="46" t="n">
        <v>9.140000000000001</v>
      </c>
      <c r="E33" s="50" t="n">
        <v>8.56</v>
      </c>
      <c r="F33" s="454" t="n">
        <v>9.15</v>
      </c>
      <c r="G33" s="51" t="n">
        <v>8.6</v>
      </c>
      <c r="H33" s="48" t="n">
        <v>8.34</v>
      </c>
      <c r="I33" s="37" t="n">
        <v>8.83</v>
      </c>
      <c r="J33" s="38" t="inlineStr">
        <is>
          <t>A-</t>
        </is>
      </c>
      <c r="K33" s="121" t="inlineStr">
        <is>
          <t>A+</t>
        </is>
      </c>
      <c r="L33" s="40" t="inlineStr">
        <is>
          <t>B+</t>
        </is>
      </c>
      <c r="M33" s="454">
        <f>TRUNC(AVERAGE(C33:I33),2)</f>
        <v/>
      </c>
      <c r="N33" s="42" t="inlineStr">
        <is>
          <t>S</t>
        </is>
      </c>
      <c r="O33" s="43" t="inlineStr">
        <is>
          <t>PROMOVIDO</t>
        </is>
      </c>
    </row>
    <row r="34" ht="15" customHeight="1" s="225">
      <c r="A34" s="29" t="n">
        <v>28</v>
      </c>
      <c r="B34" s="453" t="inlineStr">
        <is>
          <t>QUINDE SARMIENTO BRITTANY NICOLE</t>
        </is>
      </c>
      <c r="C34" s="454" t="n">
        <v>9.32</v>
      </c>
      <c r="D34" s="54" t="n">
        <v>7</v>
      </c>
      <c r="E34" s="52" t="n">
        <v>7.1</v>
      </c>
      <c r="F34" s="454" t="n">
        <v>8.18</v>
      </c>
      <c r="G34" s="51" t="n">
        <v>7.81</v>
      </c>
      <c r="H34" s="48" t="n">
        <v>8.720000000000001</v>
      </c>
      <c r="I34" s="37" t="n">
        <v>8.470000000000001</v>
      </c>
      <c r="J34" s="38" t="inlineStr">
        <is>
          <t>B+</t>
        </is>
      </c>
      <c r="K34" s="121" t="inlineStr">
        <is>
          <t>B+</t>
        </is>
      </c>
      <c r="L34" s="40" t="inlineStr">
        <is>
          <t>B+</t>
        </is>
      </c>
      <c r="M34" s="454">
        <f>TRUNC(AVERAGE(C34:I34),2)</f>
        <v/>
      </c>
      <c r="N34" s="42" t="inlineStr">
        <is>
          <t>S</t>
        </is>
      </c>
      <c r="O34" s="43" t="inlineStr">
        <is>
          <t>PROMOVIDO</t>
        </is>
      </c>
    </row>
    <row r="35" ht="15" customHeight="1" s="225">
      <c r="A35" s="29" t="n">
        <v>29</v>
      </c>
      <c r="B35" s="453" t="inlineStr">
        <is>
          <t>ROMERO MIRANDA BIANCA MAYERLI</t>
        </is>
      </c>
      <c r="C35" s="454" t="n">
        <v>7.54</v>
      </c>
      <c r="D35" s="46" t="n">
        <v>8.5</v>
      </c>
      <c r="E35" s="52" t="n">
        <v>8.94</v>
      </c>
      <c r="F35" s="454" t="n">
        <v>8.77</v>
      </c>
      <c r="G35" s="51" t="n">
        <v>8.49</v>
      </c>
      <c r="H35" s="48" t="n">
        <v>8.69</v>
      </c>
      <c r="I35" s="37" t="n">
        <v>9.279999999999999</v>
      </c>
      <c r="J35" s="38" t="inlineStr">
        <is>
          <t>A-</t>
        </is>
      </c>
      <c r="K35" s="121" t="inlineStr">
        <is>
          <t>A+</t>
        </is>
      </c>
      <c r="L35" s="40" t="inlineStr">
        <is>
          <t>B+</t>
        </is>
      </c>
      <c r="M35" s="454">
        <f>TRUNC(AVERAGE(C35:I35),2)</f>
        <v/>
      </c>
      <c r="N35" s="42" t="inlineStr">
        <is>
          <t>S</t>
        </is>
      </c>
      <c r="O35" s="43" t="inlineStr">
        <is>
          <t>PROMOVIDO</t>
        </is>
      </c>
    </row>
    <row r="36" ht="15" customHeight="1" s="225">
      <c r="A36" s="29" t="n">
        <v>30</v>
      </c>
      <c r="B36" s="453" t="inlineStr">
        <is>
          <t>SANCHEZ URGILES KEVIN ALEXANDER</t>
        </is>
      </c>
      <c r="C36" s="454" t="n">
        <v>9.289999999999999</v>
      </c>
      <c r="D36" s="46" t="n">
        <v>7</v>
      </c>
      <c r="E36" s="50" t="n">
        <v>7</v>
      </c>
      <c r="F36" s="454" t="n">
        <v>7.49</v>
      </c>
      <c r="G36" s="51" t="n">
        <v>7</v>
      </c>
      <c r="H36" s="48" t="n">
        <v>8.34</v>
      </c>
      <c r="I36" s="37" t="n">
        <v>8.01</v>
      </c>
      <c r="J36" s="38" t="inlineStr">
        <is>
          <t>A-</t>
        </is>
      </c>
      <c r="K36" s="121" t="inlineStr">
        <is>
          <t>B+</t>
        </is>
      </c>
      <c r="L36" s="40" t="inlineStr">
        <is>
          <t>B+</t>
        </is>
      </c>
      <c r="M36" s="454">
        <f>TRUNC(AVERAGE(C36:I36),2)</f>
        <v/>
      </c>
      <c r="N36" s="42" t="inlineStr">
        <is>
          <t>S</t>
        </is>
      </c>
      <c r="O36" s="43" t="inlineStr">
        <is>
          <t>PROMOVIDO</t>
        </is>
      </c>
    </row>
    <row r="37" ht="15" customHeight="1" s="225">
      <c r="A37" s="29" t="n">
        <v>31</v>
      </c>
      <c r="B37" s="453" t="inlineStr">
        <is>
          <t>SAUCE PEREZ MICHAEL ALEXANDER</t>
        </is>
      </c>
      <c r="C37" s="454" t="n">
        <v>7.64</v>
      </c>
      <c r="D37" s="54" t="n">
        <v>8.43</v>
      </c>
      <c r="E37" s="50" t="n">
        <v>8.24</v>
      </c>
      <c r="F37" s="454" t="n">
        <v>8.140000000000001</v>
      </c>
      <c r="G37" s="51" t="n">
        <v>8.609999999999999</v>
      </c>
      <c r="H37" s="48" t="n">
        <v>8.69</v>
      </c>
      <c r="I37" s="37" t="n">
        <v>8.82</v>
      </c>
      <c r="J37" s="38" t="inlineStr">
        <is>
          <t>B+</t>
        </is>
      </c>
      <c r="K37" s="121" t="inlineStr">
        <is>
          <t>A+</t>
        </is>
      </c>
      <c r="L37" s="40" t="inlineStr">
        <is>
          <t>B+</t>
        </is>
      </c>
      <c r="M37" s="454">
        <f>TRUNC(AVERAGE(C37:I37),2)</f>
        <v/>
      </c>
      <c r="N37" s="42" t="inlineStr">
        <is>
          <t>S</t>
        </is>
      </c>
      <c r="O37" s="43" t="inlineStr">
        <is>
          <t>PROMOVIDO</t>
        </is>
      </c>
    </row>
    <row r="38" ht="15" customHeight="1" s="225">
      <c r="A38" s="29" t="n">
        <v>32</v>
      </c>
      <c r="B38" s="453" t="inlineStr">
        <is>
          <t>SIMBAÑA CABRERA NICOLE VALENTINA</t>
        </is>
      </c>
      <c r="C38" s="454" t="n">
        <v>9.01</v>
      </c>
      <c r="D38" s="54" t="n">
        <v>7.76</v>
      </c>
      <c r="E38" s="50" t="n">
        <v>7.26</v>
      </c>
      <c r="F38" s="454" t="n">
        <v>8.779999999999999</v>
      </c>
      <c r="G38" s="51" t="n">
        <v>8</v>
      </c>
      <c r="H38" s="48" t="n">
        <v>8.720000000000001</v>
      </c>
      <c r="I38" s="37" t="n">
        <v>8.82</v>
      </c>
      <c r="J38" s="38" t="inlineStr">
        <is>
          <t>B+</t>
        </is>
      </c>
      <c r="K38" s="121" t="inlineStr">
        <is>
          <t>A+</t>
        </is>
      </c>
      <c r="L38" s="40" t="inlineStr">
        <is>
          <t>B+</t>
        </is>
      </c>
      <c r="M38" s="454">
        <f>TRUNC(AVERAGE(C38:I38),2)</f>
        <v/>
      </c>
      <c r="N38" s="42" t="inlineStr">
        <is>
          <t>S</t>
        </is>
      </c>
      <c r="O38" s="43" t="inlineStr">
        <is>
          <t>PROMOVIDO</t>
        </is>
      </c>
    </row>
    <row r="39" ht="14.25" customHeight="1" s="225">
      <c r="A39" s="29" t="n">
        <v>33</v>
      </c>
      <c r="B39" s="453" t="inlineStr">
        <is>
          <t>SINCHI CRIOLLO JEREMY ANDRES</t>
        </is>
      </c>
      <c r="C39" s="454" t="n">
        <v>7.54</v>
      </c>
      <c r="D39" s="46" t="n">
        <v>7.07</v>
      </c>
      <c r="E39" s="52" t="n">
        <v>7.07</v>
      </c>
      <c r="F39" s="34" t="n">
        <v>7.29</v>
      </c>
      <c r="G39" s="51" t="n">
        <v>7.25</v>
      </c>
      <c r="H39" s="48" t="n">
        <v>8.68</v>
      </c>
      <c r="I39" s="37" t="n">
        <v>8.640000000000001</v>
      </c>
      <c r="J39" s="38" t="inlineStr">
        <is>
          <t>B+</t>
        </is>
      </c>
      <c r="K39" s="121" t="inlineStr">
        <is>
          <t>B+</t>
        </is>
      </c>
      <c r="L39" s="40" t="inlineStr">
        <is>
          <t>B+</t>
        </is>
      </c>
      <c r="M39" s="454">
        <f>TRUNC(AVERAGE(C39:I39),2)</f>
        <v/>
      </c>
      <c r="N39" s="42" t="inlineStr">
        <is>
          <t>S</t>
        </is>
      </c>
      <c r="O39" s="43" t="inlineStr">
        <is>
          <t>PROMOVIDO</t>
        </is>
      </c>
    </row>
    <row r="40" ht="14.25" customHeight="1" s="225">
      <c r="A40" s="29" t="n">
        <v>34</v>
      </c>
      <c r="B40" s="453" t="inlineStr">
        <is>
          <t>TAPIA YANZA DANIELA ALEXANDRA</t>
        </is>
      </c>
      <c r="C40" s="454" t="n">
        <v>7.83</v>
      </c>
      <c r="D40" s="46" t="n">
        <v>8.699999999999999</v>
      </c>
      <c r="E40" s="50" t="n">
        <v>9.140000000000001</v>
      </c>
      <c r="F40" s="34" t="n">
        <v>9.18</v>
      </c>
      <c r="G40" s="51" t="n">
        <v>8.75</v>
      </c>
      <c r="H40" s="48" t="n">
        <v>8.74</v>
      </c>
      <c r="I40" s="37" t="n">
        <v>9.18</v>
      </c>
      <c r="J40" s="38" t="inlineStr">
        <is>
          <t>A-</t>
        </is>
      </c>
      <c r="K40" s="121" t="inlineStr">
        <is>
          <t>A+</t>
        </is>
      </c>
      <c r="L40" s="40" t="inlineStr">
        <is>
          <t>B+</t>
        </is>
      </c>
      <c r="M40" s="454">
        <f>TRUNC(AVERAGE(C40:I40),2)</f>
        <v/>
      </c>
      <c r="N40" s="42" t="inlineStr">
        <is>
          <t>S</t>
        </is>
      </c>
      <c r="O40" s="43" t="inlineStr">
        <is>
          <t>PROMOVIDO</t>
        </is>
      </c>
    </row>
    <row r="41" ht="14.25" customHeight="1" s="225">
      <c r="A41" s="29" t="n">
        <v>35</v>
      </c>
      <c r="B41" s="453" t="inlineStr">
        <is>
          <t>TROYA CUEVA MARIO FABIAN</t>
        </is>
      </c>
      <c r="C41" s="454" t="n">
        <v>9.27</v>
      </c>
      <c r="D41" s="46" t="n">
        <v>7.66</v>
      </c>
      <c r="E41" s="50" t="n">
        <v>7.16</v>
      </c>
      <c r="F41" s="34" t="n">
        <v>8.26</v>
      </c>
      <c r="G41" s="51" t="n">
        <v>7.8</v>
      </c>
      <c r="H41" s="48" t="n">
        <v>9.06</v>
      </c>
      <c r="I41" s="37" t="n">
        <v>7.68</v>
      </c>
      <c r="J41" s="38" t="inlineStr">
        <is>
          <t>B+</t>
        </is>
      </c>
      <c r="K41" s="121" t="inlineStr">
        <is>
          <t>A-</t>
        </is>
      </c>
      <c r="L41" s="40" t="inlineStr">
        <is>
          <t>B+</t>
        </is>
      </c>
      <c r="M41" s="454">
        <f>TRUNC(AVERAGE(C41:I41),2)</f>
        <v/>
      </c>
      <c r="N41" s="42" t="inlineStr">
        <is>
          <t>S</t>
        </is>
      </c>
      <c r="O41" s="43" t="inlineStr">
        <is>
          <t>PROMOVIDO</t>
        </is>
      </c>
    </row>
    <row r="42" ht="15" customHeight="1" s="225">
      <c r="A42" s="29" t="n">
        <v>36</v>
      </c>
      <c r="B42" s="453" t="inlineStr">
        <is>
          <t>ZHINGRI AREVALO KAREN LISSBET</t>
        </is>
      </c>
      <c r="C42" s="454" t="n">
        <v>7.66</v>
      </c>
      <c r="D42" s="456" t="n">
        <v>5.5</v>
      </c>
      <c r="E42" s="50" t="n">
        <v>7</v>
      </c>
      <c r="F42" s="34" t="n">
        <v>7.44</v>
      </c>
      <c r="G42" s="51" t="n">
        <v>7</v>
      </c>
      <c r="H42" s="48" t="n">
        <v>8.81</v>
      </c>
      <c r="I42" s="37" t="n">
        <v>8.18</v>
      </c>
      <c r="J42" s="38" t="inlineStr">
        <is>
          <t>B-</t>
        </is>
      </c>
      <c r="K42" s="121" t="inlineStr">
        <is>
          <t>A-</t>
        </is>
      </c>
      <c r="L42" s="40" t="inlineStr">
        <is>
          <t>B+</t>
        </is>
      </c>
      <c r="M42" s="454">
        <f>TRUNC(AVERAGE(C42:I42),2)</f>
        <v/>
      </c>
      <c r="N42" s="42" t="inlineStr">
        <is>
          <t>S</t>
        </is>
      </c>
      <c r="O42" s="56" t="inlineStr">
        <is>
          <t>NO PROMOVIDO</t>
        </is>
      </c>
    </row>
    <row r="43" ht="15" customHeight="1" s="225">
      <c r="A43" s="29" t="n">
        <v>37</v>
      </c>
      <c r="B43" s="453" t="inlineStr">
        <is>
          <t>ZHININ CORAYZACA ALISON VALENTINA</t>
        </is>
      </c>
      <c r="C43" s="454" t="n">
        <v>7.1</v>
      </c>
      <c r="D43" s="54" t="n">
        <v>7.77</v>
      </c>
      <c r="E43" s="50" t="n">
        <v>8.56</v>
      </c>
      <c r="F43" s="34" t="n">
        <v>7.43</v>
      </c>
      <c r="G43" s="51" t="n">
        <v>7.38</v>
      </c>
      <c r="H43" s="48" t="n">
        <v>8.56</v>
      </c>
      <c r="I43" s="37" t="n">
        <v>8.369999999999999</v>
      </c>
      <c r="J43" s="38" t="inlineStr">
        <is>
          <t>A-</t>
        </is>
      </c>
      <c r="K43" s="49" t="inlineStr">
        <is>
          <t>A+</t>
        </is>
      </c>
      <c r="L43" s="40" t="inlineStr">
        <is>
          <t>B+</t>
        </is>
      </c>
      <c r="M43" s="454">
        <f>TRUNC(AVERAGE(C43:I43),2)</f>
        <v/>
      </c>
      <c r="N43" s="42" t="inlineStr">
        <is>
          <t>S</t>
        </is>
      </c>
      <c r="O43" s="43" t="inlineStr">
        <is>
          <t>PROMOVIDO</t>
        </is>
      </c>
    </row>
    <row r="44" ht="14.25" customHeight="1" s="225">
      <c r="B44" s="10" t="inlineStr">
        <is>
          <t>Promedio</t>
        </is>
      </c>
      <c r="C44" s="106" t="n">
        <v>8.43</v>
      </c>
      <c r="D44" s="86">
        <f>AVERAGE(D6:D43)</f>
        <v/>
      </c>
      <c r="E44" s="61">
        <f>AVERAGE(E6:E43)</f>
        <v/>
      </c>
      <c r="F44" s="88">
        <f>AVERAGE(F6:F43)</f>
        <v/>
      </c>
      <c r="G44" s="209">
        <f>AVERAGE(G6:G43)</f>
        <v/>
      </c>
      <c r="H44" s="48" t="n">
        <v>9</v>
      </c>
      <c r="I44" s="64">
        <f>AVERAGE(I6:I43)</f>
        <v/>
      </c>
      <c r="J44" s="156" t="n"/>
      <c r="K44" s="156" t="n"/>
      <c r="L44" s="156" t="n"/>
      <c r="M44" s="66">
        <f>AVERAGE(M6:M43)</f>
        <v/>
      </c>
      <c r="N44" s="156" t="n"/>
      <c r="O44" s="11" t="n"/>
    </row>
    <row r="45" ht="14.25" customHeight="1" s="225"/>
    <row r="46" ht="14.25" customHeight="1" s="225"/>
    <row r="47" ht="14.25" customHeight="1" s="225">
      <c r="B47" s="247" t="inlineStr">
        <is>
          <t xml:space="preserve">Ing. Sonia Chicaiza Mgtr. </t>
        </is>
      </c>
      <c r="D47" s="248" t="inlineStr">
        <is>
          <t xml:space="preserve">Lcda. Lucia Uzhca Mgtr. </t>
        </is>
      </c>
      <c r="E47" s="249" t="n"/>
      <c r="F47" s="249" t="n"/>
      <c r="G47" s="250" t="n"/>
      <c r="H47" s="72" t="n"/>
      <c r="K47" s="248" t="inlineStr">
        <is>
          <t>Lic. Katherine Nugra Mgtr.</t>
        </is>
      </c>
      <c r="L47" s="249" t="n"/>
      <c r="M47" s="249" t="n"/>
      <c r="N47" s="249" t="n"/>
      <c r="O47" s="250" t="n"/>
    </row>
    <row r="48" ht="14.25" customHeight="1" s="225">
      <c r="B48" s="247" t="inlineStr">
        <is>
          <t>Rectora (e)</t>
        </is>
      </c>
      <c r="D48" s="248" t="inlineStr">
        <is>
          <t>Vicerrectora (e) Vespertina</t>
        </is>
      </c>
      <c r="E48" s="249" t="n"/>
      <c r="F48" s="249" t="n"/>
      <c r="G48" s="249" t="n"/>
      <c r="H48" s="250" t="n"/>
      <c r="K48" s="248" t="inlineStr">
        <is>
          <t>Docente Tutor</t>
        </is>
      </c>
      <c r="L48" s="249" t="n"/>
      <c r="M48" s="249" t="n"/>
      <c r="N48" s="250" t="n"/>
      <c r="O48" s="10" t="n"/>
    </row>
    <row r="49" ht="14.25" customHeight="1" s="225"/>
    <row r="50" ht="14.25" customHeight="1" s="225"/>
    <row r="51" ht="14.25" customHeight="1" s="225"/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4.25" customHeight="1" s="225"/>
    <row r="222" ht="14.25" customHeight="1" s="225"/>
    <row r="223" ht="14.25" customHeight="1" s="225"/>
    <row r="224" ht="14.25" customHeight="1" s="225"/>
    <row r="225" ht="14.25" customHeight="1" s="225"/>
    <row r="226" ht="14.25" customHeight="1" s="225"/>
    <row r="227" ht="14.25" customHeight="1" s="225"/>
    <row r="228" ht="14.25" customHeight="1" s="225"/>
    <row r="229" ht="14.25" customHeight="1" s="225"/>
    <row r="230" ht="14.25" customHeight="1" s="225"/>
    <row r="231" ht="14.25" customHeight="1" s="225"/>
    <row r="232" ht="14.25" customHeight="1" s="225"/>
    <row r="233" ht="14.25" customHeight="1" s="225"/>
    <row r="234" ht="14.25" customHeight="1" s="225"/>
    <row r="235" ht="14.25" customHeight="1" s="225"/>
    <row r="236" ht="14.25" customHeight="1" s="225"/>
    <row r="237" ht="14.25" customHeight="1" s="225"/>
    <row r="238" ht="14.25" customHeight="1" s="225"/>
    <row r="239" ht="14.25" customHeight="1" s="225"/>
    <row r="240" ht="14.25" customHeight="1" s="225"/>
    <row r="241" ht="14.25" customHeight="1" s="225"/>
    <row r="242" ht="14.25" customHeight="1" s="225"/>
    <row r="243" ht="14.2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</sheetData>
  <mergeCells count="11">
    <mergeCell ref="B47:C47"/>
    <mergeCell ref="B48:C48"/>
    <mergeCell ref="K48:N48"/>
    <mergeCell ref="B2:O2"/>
    <mergeCell ref="J3:M3"/>
    <mergeCell ref="D47:G47"/>
    <mergeCell ref="K47:O47"/>
    <mergeCell ref="A1:O1"/>
    <mergeCell ref="H4:I4"/>
    <mergeCell ref="D48:H48"/>
    <mergeCell ref="H3:I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4.86" customWidth="1" style="225" min="1" max="1"/>
    <col width="20.43" customWidth="1" style="225" min="2" max="2"/>
    <col width="21.57" customWidth="1" style="225" min="3" max="3"/>
    <col width="6.29" customWidth="1" style="225" min="4" max="4"/>
    <col width="8.140000000000001" customWidth="1" style="225" min="14" max="14"/>
    <col width="7.57" customWidth="1" style="225" min="15" max="15"/>
    <col width="18.71" customWidth="1" style="225" min="16" max="16"/>
    <col width="10.71" customWidth="1" style="225" min="17" max="17"/>
    <col width="14" customWidth="1" style="225" min="18" max="18"/>
  </cols>
  <sheetData>
    <row r="1" ht="72.75" customHeight="1" s="225">
      <c r="A1" s="11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5">
      <c r="A2" s="2" t="n"/>
      <c r="B2" s="3" t="inlineStr">
        <is>
          <t>AÑO LECTIVO: 2025-2026</t>
        </is>
      </c>
    </row>
    <row r="3" ht="14.25" customHeight="1" s="225">
      <c r="B3" s="75" t="inlineStr">
        <is>
          <t xml:space="preserve">DOCENTE:             </t>
        </is>
      </c>
      <c r="C3" s="5" t="inlineStr">
        <is>
          <t>LIC. DORA ARGUDO</t>
        </is>
      </c>
      <c r="F3" s="6" t="n"/>
      <c r="G3" s="6" t="n"/>
      <c r="H3" s="6" t="n"/>
      <c r="I3" s="7" t="inlineStr">
        <is>
          <t xml:space="preserve">JORNADA: </t>
        </is>
      </c>
      <c r="K3" s="8" t="inlineStr">
        <is>
          <t>VESPERTINA</t>
        </is>
      </c>
    </row>
    <row r="4" ht="14.25" customHeight="1" s="225">
      <c r="B4" s="9" t="inlineStr">
        <is>
          <t xml:space="preserve">AÑO DE EGB:        </t>
        </is>
      </c>
      <c r="C4" s="76" t="inlineStr">
        <is>
          <t>OCTAVO B</t>
        </is>
      </c>
      <c r="E4" s="6" t="n"/>
      <c r="F4" s="6" t="n"/>
      <c r="G4" s="6" t="n"/>
      <c r="H4" s="6" t="n"/>
      <c r="I4" s="7" t="inlineStr">
        <is>
          <t>TRIMESTRE:</t>
        </is>
      </c>
      <c r="K4" s="11" t="inlineStr">
        <is>
          <t>PRIMERO, SEGUNDO, TERCERO</t>
        </is>
      </c>
      <c r="M4" s="6" t="n"/>
    </row>
    <row r="5" ht="6" customHeight="1" s="225">
      <c r="B5" s="12" t="n"/>
      <c r="C5" s="12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47.75" customHeight="1" s="225">
      <c r="A6" s="77" t="inlineStr">
        <is>
          <t>No</t>
        </is>
      </c>
      <c r="B6" s="15" t="inlineStr">
        <is>
          <t>NOMINA</t>
        </is>
      </c>
      <c r="C6" s="78" t="n"/>
      <c r="D6" s="16" t="inlineStr">
        <is>
          <t>LENGUA Y LITERATURA</t>
        </is>
      </c>
      <c r="E6" s="17" t="inlineStr">
        <is>
          <t>MATEMÁTICA</t>
        </is>
      </c>
      <c r="F6" s="18" t="inlineStr">
        <is>
          <t>CIENCIAS NATURALES</t>
        </is>
      </c>
      <c r="G6" s="19" t="inlineStr">
        <is>
          <t>ESTUDIOS SOCIALES</t>
        </is>
      </c>
      <c r="H6" s="20" t="inlineStr">
        <is>
          <t>INGLÉS</t>
        </is>
      </c>
      <c r="I6" s="79" t="inlineStr">
        <is>
          <t>EDUCACIÓN CULTURAL Y ARTISTICA</t>
        </is>
      </c>
      <c r="J6" s="22" t="inlineStr">
        <is>
          <t>EDUCACIÓN FÍSICA</t>
        </is>
      </c>
      <c r="K6" s="80" t="inlineStr">
        <is>
          <t>ANIMACIÓN A LA LECTURA</t>
        </is>
      </c>
      <c r="L6" s="24" t="inlineStr">
        <is>
          <t>ACOMPAÑAMIENTO INTEGRAL EN EL AULA</t>
        </is>
      </c>
      <c r="M6" s="25" t="inlineStr">
        <is>
          <t>ORIENTACIÓN VOCACIONAL</t>
        </is>
      </c>
      <c r="N6" s="81" t="inlineStr">
        <is>
          <t>PROMEDIO FINAL</t>
        </is>
      </c>
      <c r="O6" s="82" t="inlineStr">
        <is>
          <t>CCOMPORTAMIENTO</t>
        </is>
      </c>
      <c r="P6" s="83" t="inlineStr">
        <is>
          <t>OBSERVACIONES</t>
        </is>
      </c>
    </row>
    <row r="7" ht="14.25" customHeight="1" s="225">
      <c r="A7" s="84" t="n">
        <v>1</v>
      </c>
      <c r="B7" s="457" t="inlineStr">
        <is>
          <t>BERNAL JARA MATIUS NICOLAS</t>
        </is>
      </c>
      <c r="C7" s="85" t="n"/>
      <c r="D7" s="40" t="n">
        <v>9.220000000000001</v>
      </c>
      <c r="E7" s="86" t="n">
        <v>9.52</v>
      </c>
      <c r="F7" s="87" t="n">
        <v>8.199999999999999</v>
      </c>
      <c r="G7" s="458" t="n">
        <v>8.460000000000001</v>
      </c>
      <c r="H7" s="89" t="n">
        <v>8.84</v>
      </c>
      <c r="I7" s="90" t="n">
        <v>9.130000000000001</v>
      </c>
      <c r="J7" s="91" t="n">
        <v>9.58</v>
      </c>
      <c r="K7" s="92" t="inlineStr">
        <is>
          <t>A-</t>
        </is>
      </c>
      <c r="L7" s="39" t="inlineStr">
        <is>
          <t>A-</t>
        </is>
      </c>
      <c r="M7" s="40" t="inlineStr">
        <is>
          <t>A-</t>
        </is>
      </c>
      <c r="N7" s="458">
        <f>TRUNC(AVERAGE(D7:J7),2)</f>
        <v/>
      </c>
      <c r="O7" s="93" t="inlineStr">
        <is>
          <t>S</t>
        </is>
      </c>
      <c r="P7" s="94" t="inlineStr">
        <is>
          <t>PROMOVIDO</t>
        </is>
      </c>
    </row>
    <row r="8" ht="15" customHeight="1" s="225">
      <c r="A8" s="84" t="n">
        <v>2</v>
      </c>
      <c r="B8" s="457" t="inlineStr">
        <is>
          <t>BUENO GUALLPA MARÍA FERNANDA</t>
        </is>
      </c>
      <c r="C8" s="85" t="n"/>
      <c r="D8" s="95" t="n">
        <v>8.08</v>
      </c>
      <c r="E8" s="86" t="n">
        <v>8.210000000000001</v>
      </c>
      <c r="F8" s="459" t="n">
        <v>7.12</v>
      </c>
      <c r="G8" s="458" t="n">
        <v>8.890000000000001</v>
      </c>
      <c r="H8" s="89" t="n">
        <v>7.74</v>
      </c>
      <c r="I8" s="90" t="n">
        <v>8.98</v>
      </c>
      <c r="J8" s="91" t="n">
        <v>8.369999999999999</v>
      </c>
      <c r="K8" s="92" t="inlineStr">
        <is>
          <t>B+</t>
        </is>
      </c>
      <c r="L8" s="49" t="inlineStr">
        <is>
          <t>A-</t>
        </is>
      </c>
      <c r="M8" s="40" t="inlineStr">
        <is>
          <t>A-</t>
        </is>
      </c>
      <c r="N8" s="458">
        <f>TRUNC(AVERAGE(D8:J8),2)</f>
        <v/>
      </c>
      <c r="O8" s="93" t="inlineStr">
        <is>
          <t>S</t>
        </is>
      </c>
      <c r="P8" s="94" t="inlineStr">
        <is>
          <t>PROMOVIDO</t>
        </is>
      </c>
    </row>
    <row r="9" ht="15" customHeight="1" s="225">
      <c r="A9" s="84" t="n">
        <v>3</v>
      </c>
      <c r="B9" s="457" t="inlineStr">
        <is>
          <t>CALLE HEREDIA JHANDY ROBERTO</t>
        </is>
      </c>
      <c r="C9" s="85" t="n"/>
      <c r="D9" s="95" t="n">
        <v>8.199999999999999</v>
      </c>
      <c r="E9" s="86" t="n">
        <v>7.96</v>
      </c>
      <c r="F9" s="96" t="n">
        <v>7.34</v>
      </c>
      <c r="G9" s="458" t="n">
        <v>8.41</v>
      </c>
      <c r="H9" s="89" t="n">
        <v>7.72</v>
      </c>
      <c r="I9" s="90" t="n">
        <v>9.16</v>
      </c>
      <c r="J9" s="97" t="n">
        <v>9.06</v>
      </c>
      <c r="K9" s="92" t="inlineStr">
        <is>
          <t>A-</t>
        </is>
      </c>
      <c r="L9" s="49" t="inlineStr">
        <is>
          <t>A+</t>
        </is>
      </c>
      <c r="M9" s="40" t="inlineStr">
        <is>
          <t>A-</t>
        </is>
      </c>
      <c r="N9" s="458">
        <f>TRUNC(AVERAGE(D9:J9),2)</f>
        <v/>
      </c>
      <c r="O9" s="93" t="inlineStr">
        <is>
          <t>S</t>
        </is>
      </c>
      <c r="P9" s="94" t="inlineStr">
        <is>
          <t>PROMOVIDO</t>
        </is>
      </c>
      <c r="Q9" s="45" t="inlineStr">
        <is>
          <t>MEJOR PUNTUADOS</t>
        </is>
      </c>
    </row>
    <row r="10" ht="15" customHeight="1" s="225">
      <c r="A10" s="84" t="n">
        <v>4</v>
      </c>
      <c r="B10" s="457" t="inlineStr">
        <is>
          <t>CAMPOS PANDO FRANCISCO ANDRES</t>
        </is>
      </c>
      <c r="C10" s="85" t="n"/>
      <c r="D10" s="95" t="n">
        <v>9.699999999999999</v>
      </c>
      <c r="E10" s="86" t="n">
        <v>9.970000000000001</v>
      </c>
      <c r="F10" s="98" t="n">
        <v>9.85</v>
      </c>
      <c r="G10" s="458" t="n">
        <v>10</v>
      </c>
      <c r="H10" s="89" t="n">
        <v>9.9</v>
      </c>
      <c r="I10" s="99" t="n">
        <v>9.52</v>
      </c>
      <c r="J10" s="91" t="n">
        <v>10</v>
      </c>
      <c r="K10" s="92" t="inlineStr">
        <is>
          <t>A+</t>
        </is>
      </c>
      <c r="L10" s="121" t="inlineStr">
        <is>
          <t>A+</t>
        </is>
      </c>
      <c r="M10" s="40" t="inlineStr">
        <is>
          <t>A-</t>
        </is>
      </c>
      <c r="N10" s="66">
        <f>TRUNC(AVERAGE(D10:J10),2)</f>
        <v/>
      </c>
      <c r="O10" s="93" t="inlineStr">
        <is>
          <t>S</t>
        </is>
      </c>
      <c r="P10" s="94" t="inlineStr">
        <is>
          <t>PROMOVIDO</t>
        </is>
      </c>
    </row>
    <row r="11" ht="15" customHeight="1" s="225">
      <c r="A11" s="84" t="n">
        <v>5</v>
      </c>
      <c r="B11" s="457" t="inlineStr">
        <is>
          <t>CANDELARIO CARRERA JONATHAN JOSUE</t>
        </is>
      </c>
      <c r="C11" s="85" t="n"/>
      <c r="D11" s="460" t="n">
        <v>7.62</v>
      </c>
      <c r="E11" s="86" t="n">
        <v>8.58</v>
      </c>
      <c r="F11" s="98" t="n">
        <v>8.67</v>
      </c>
      <c r="G11" s="458" t="n">
        <v>8.609999999999999</v>
      </c>
      <c r="H11" s="89" t="n">
        <v>8.75</v>
      </c>
      <c r="I11" s="100" t="n">
        <v>8.69</v>
      </c>
      <c r="J11" s="458" t="n">
        <v>9.01</v>
      </c>
      <c r="K11" s="92" t="inlineStr">
        <is>
          <t>A+</t>
        </is>
      </c>
      <c r="L11" s="49" t="inlineStr">
        <is>
          <t>A+</t>
        </is>
      </c>
      <c r="M11" s="40" t="inlineStr">
        <is>
          <t>A-</t>
        </is>
      </c>
      <c r="N11" s="458">
        <f>TRUNC(AVERAGE(D11:J11),2)</f>
        <v/>
      </c>
      <c r="O11" s="93" t="inlineStr">
        <is>
          <t>S</t>
        </is>
      </c>
      <c r="P11" s="94" t="inlineStr">
        <is>
          <t>PROMOVIDO</t>
        </is>
      </c>
      <c r="Q11" s="45" t="inlineStr">
        <is>
          <t>Campos Francisco 9,84</t>
        </is>
      </c>
    </row>
    <row r="12" ht="15" customHeight="1" s="225">
      <c r="A12" s="84" t="n">
        <v>6</v>
      </c>
      <c r="B12" s="457" t="inlineStr">
        <is>
          <t>DIAZ ESPINOZA BRITANY NICOL</t>
        </is>
      </c>
      <c r="C12" s="85" t="n"/>
      <c r="D12" s="460" t="n">
        <v>8.06</v>
      </c>
      <c r="E12" s="86" t="n">
        <v>7.24</v>
      </c>
      <c r="F12" s="96" t="n">
        <v>7</v>
      </c>
      <c r="G12" s="458" t="n">
        <v>8.57</v>
      </c>
      <c r="H12" s="89" t="n">
        <v>7.35</v>
      </c>
      <c r="I12" s="99" t="n">
        <v>8.890000000000001</v>
      </c>
      <c r="J12" s="91" t="n">
        <v>7.81</v>
      </c>
      <c r="K12" s="92" t="inlineStr">
        <is>
          <t>B+</t>
        </is>
      </c>
      <c r="L12" s="121" t="inlineStr">
        <is>
          <t>A-</t>
        </is>
      </c>
      <c r="M12" s="40" t="inlineStr">
        <is>
          <t>A-</t>
        </is>
      </c>
      <c r="N12" s="458">
        <f>TRUNC(AVERAGE(D12:J12),2)</f>
        <v/>
      </c>
      <c r="O12" s="93" t="inlineStr">
        <is>
          <t>S</t>
        </is>
      </c>
      <c r="P12" s="94" t="inlineStr">
        <is>
          <t>PROMOVIDO</t>
        </is>
      </c>
      <c r="Q12" s="45" t="inlineStr">
        <is>
          <t>Ñauta Andrea 9,38</t>
        </is>
      </c>
    </row>
    <row r="13" ht="15" customHeight="1" s="225">
      <c r="A13" s="84" t="n">
        <v>7</v>
      </c>
      <c r="B13" s="457" t="inlineStr">
        <is>
          <t>DURAN QUINTUÑA MILAN RAFAEL</t>
        </is>
      </c>
      <c r="C13" s="85" t="n"/>
      <c r="D13" s="460" t="n">
        <v>8.779999999999999</v>
      </c>
      <c r="E13" s="86" t="n">
        <v>8.09</v>
      </c>
      <c r="F13" s="96" t="n">
        <v>7.01</v>
      </c>
      <c r="G13" s="458" t="n">
        <v>8.48</v>
      </c>
      <c r="H13" s="89" t="n">
        <v>7.79</v>
      </c>
      <c r="I13" s="90" t="n">
        <v>8.800000000000001</v>
      </c>
      <c r="J13" s="91" t="n">
        <v>8.58</v>
      </c>
      <c r="K13" s="92" t="inlineStr">
        <is>
          <t>B+</t>
        </is>
      </c>
      <c r="L13" s="121" t="inlineStr">
        <is>
          <t>A-</t>
        </is>
      </c>
      <c r="M13" s="40" t="inlineStr">
        <is>
          <t>A-</t>
        </is>
      </c>
      <c r="N13" s="458">
        <f>TRUNC(AVERAGE(D13:J13),2)</f>
        <v/>
      </c>
      <c r="O13" s="93" t="inlineStr">
        <is>
          <t>S</t>
        </is>
      </c>
      <c r="P13" s="94" t="inlineStr">
        <is>
          <t>PROMOVIDO</t>
        </is>
      </c>
      <c r="Q13" s="45" t="inlineStr">
        <is>
          <t>Guzmán Mirella 9,24</t>
        </is>
      </c>
    </row>
    <row r="14" ht="15" customHeight="1" s="225">
      <c r="A14" s="84" t="n">
        <v>8</v>
      </c>
      <c r="B14" s="461" t="inlineStr">
        <is>
          <t>DUTAN CALLE GAEL MARTIN</t>
        </is>
      </c>
      <c r="C14" s="102" t="n"/>
      <c r="D14" s="460" t="n">
        <v>8.279999999999999</v>
      </c>
      <c r="E14" s="86" t="n">
        <v>9.130000000000001</v>
      </c>
      <c r="F14" s="462" t="n">
        <v>7.54</v>
      </c>
      <c r="G14" s="458" t="n">
        <v>8.57</v>
      </c>
      <c r="H14" s="89" t="n">
        <v>8.44</v>
      </c>
      <c r="I14" s="90" t="n">
        <v>9.02</v>
      </c>
      <c r="J14" s="91" t="n">
        <v>9.109999999999999</v>
      </c>
      <c r="K14" s="92" t="inlineStr">
        <is>
          <t>A-</t>
        </is>
      </c>
      <c r="L14" s="121" t="inlineStr">
        <is>
          <t>A-</t>
        </is>
      </c>
      <c r="M14" s="40" t="inlineStr">
        <is>
          <t>A-</t>
        </is>
      </c>
      <c r="N14" s="458">
        <f>TRUNC(AVERAGE(D14:J14),2)</f>
        <v/>
      </c>
      <c r="O14" s="93" t="inlineStr">
        <is>
          <t>S</t>
        </is>
      </c>
      <c r="P14" s="94" t="inlineStr">
        <is>
          <t>PROMOVIDO</t>
        </is>
      </c>
    </row>
    <row r="15" ht="15" customHeight="1" s="225">
      <c r="A15" s="84" t="n">
        <v>9</v>
      </c>
      <c r="B15" s="457" t="inlineStr">
        <is>
          <t>FAJARDO CARDENAS EDWIN ALEXANDER</t>
        </is>
      </c>
      <c r="C15" s="85" t="n"/>
      <c r="D15" s="460" t="n">
        <v>8.34</v>
      </c>
      <c r="E15" s="86" t="n">
        <v>8.08</v>
      </c>
      <c r="F15" s="462" t="n">
        <v>7.19</v>
      </c>
      <c r="G15" s="458" t="n">
        <v>8.710000000000001</v>
      </c>
      <c r="H15" s="89" t="n">
        <v>7.93</v>
      </c>
      <c r="I15" s="90" t="n">
        <v>9.06</v>
      </c>
      <c r="J15" s="91" t="n">
        <v>8.77</v>
      </c>
      <c r="K15" s="92" t="inlineStr">
        <is>
          <t>A-</t>
        </is>
      </c>
      <c r="L15" s="121" t="inlineStr">
        <is>
          <t>A-</t>
        </is>
      </c>
      <c r="M15" s="40" t="inlineStr">
        <is>
          <t>A-</t>
        </is>
      </c>
      <c r="N15" s="66">
        <f>TRUNC(AVERAGE(D15:J15),2)</f>
        <v/>
      </c>
      <c r="O15" s="93" t="inlineStr">
        <is>
          <t>S</t>
        </is>
      </c>
      <c r="P15" s="94" t="inlineStr">
        <is>
          <t>PROMOVIDO</t>
        </is>
      </c>
    </row>
    <row r="16" ht="15" customHeight="1" s="225">
      <c r="A16" s="84" t="n">
        <v>10</v>
      </c>
      <c r="B16" s="457" t="inlineStr">
        <is>
          <t>FARFAN MOROCHO DAMARIS ABIGAIL</t>
        </is>
      </c>
      <c r="C16" s="85" t="n"/>
      <c r="D16" s="460" t="n">
        <v>8.52</v>
      </c>
      <c r="E16" s="86" t="n">
        <v>8.34</v>
      </c>
      <c r="F16" s="459" t="n">
        <v>7.62</v>
      </c>
      <c r="G16" s="458" t="n">
        <v>8.83</v>
      </c>
      <c r="H16" s="89" t="n">
        <v>7.96</v>
      </c>
      <c r="I16" s="90" t="n">
        <v>8.279999999999999</v>
      </c>
      <c r="J16" s="91" t="n">
        <v>8.300000000000001</v>
      </c>
      <c r="K16" s="92" t="inlineStr">
        <is>
          <t>A-</t>
        </is>
      </c>
      <c r="L16" s="121" t="inlineStr">
        <is>
          <t>A-</t>
        </is>
      </c>
      <c r="M16" s="40" t="inlineStr">
        <is>
          <t>A-</t>
        </is>
      </c>
      <c r="N16" s="458">
        <f>TRUNC(AVERAGE(D16:J16),2)</f>
        <v/>
      </c>
      <c r="O16" s="93" t="inlineStr">
        <is>
          <t>S</t>
        </is>
      </c>
      <c r="P16" s="94" t="inlineStr">
        <is>
          <t>PROMOVIDO</t>
        </is>
      </c>
    </row>
    <row r="17" ht="15" customHeight="1" s="225">
      <c r="A17" s="84" t="n">
        <v>11</v>
      </c>
      <c r="B17" s="85" t="inlineStr">
        <is>
          <t>FIGUEROA PACHAR JUAN DIEGO</t>
        </is>
      </c>
      <c r="C17" s="85" t="n"/>
      <c r="D17" s="95" t="n">
        <v>7.78</v>
      </c>
      <c r="E17" s="86" t="n">
        <v>7.72</v>
      </c>
      <c r="F17" s="96" t="n">
        <v>7.06</v>
      </c>
      <c r="G17" s="88" t="n">
        <v>8.25</v>
      </c>
      <c r="H17" s="89" t="n">
        <v>7.57</v>
      </c>
      <c r="I17" s="90" t="n">
        <v>9.06</v>
      </c>
      <c r="J17" s="91" t="n">
        <v>8</v>
      </c>
      <c r="K17" s="92" t="inlineStr">
        <is>
          <t>A-</t>
        </is>
      </c>
      <c r="L17" s="121" t="inlineStr">
        <is>
          <t>A+</t>
        </is>
      </c>
      <c r="M17" s="40" t="inlineStr">
        <is>
          <t>A-</t>
        </is>
      </c>
      <c r="N17" s="66">
        <f>TRUNC(AVERAGE(D17:J17),2)</f>
        <v/>
      </c>
      <c r="O17" s="93" t="inlineStr">
        <is>
          <t>S</t>
        </is>
      </c>
      <c r="P17" s="94" t="inlineStr">
        <is>
          <t>PROMOVIDO</t>
        </is>
      </c>
    </row>
    <row r="18" ht="15" customHeight="1" s="225">
      <c r="A18" s="84" t="n">
        <v>12</v>
      </c>
      <c r="B18" s="457" t="inlineStr">
        <is>
          <t>GUARTASACA BUENO JORGE LUIS</t>
        </is>
      </c>
      <c r="C18" s="85" t="n"/>
      <c r="D18" s="460" t="n">
        <v>9.68</v>
      </c>
      <c r="E18" s="86" t="n">
        <v>7.37</v>
      </c>
      <c r="F18" s="96" t="n">
        <v>7.02</v>
      </c>
      <c r="G18" s="458" t="n">
        <v>8.640000000000001</v>
      </c>
      <c r="H18" s="89" t="n">
        <v>7.17</v>
      </c>
      <c r="I18" s="90" t="n">
        <v>8.73</v>
      </c>
      <c r="J18" s="91" t="n">
        <v>7.79</v>
      </c>
      <c r="K18" s="92" t="inlineStr">
        <is>
          <t>A-</t>
        </is>
      </c>
      <c r="L18" s="121" t="inlineStr">
        <is>
          <t>A-</t>
        </is>
      </c>
      <c r="M18" s="40" t="inlineStr">
        <is>
          <t>A-</t>
        </is>
      </c>
      <c r="N18" s="458">
        <f>TRUNC(AVERAGE(D18:J18),2)</f>
        <v/>
      </c>
      <c r="O18" s="93" t="inlineStr">
        <is>
          <t>S</t>
        </is>
      </c>
      <c r="P18" s="94" t="inlineStr">
        <is>
          <t>PROMOVIDO</t>
        </is>
      </c>
    </row>
    <row r="19" ht="15" customHeight="1" s="225">
      <c r="A19" s="84" t="n">
        <v>13</v>
      </c>
      <c r="B19" s="457" t="inlineStr">
        <is>
          <t>GUZMAN CORDOVA MIRELLA FERNANDA</t>
        </is>
      </c>
      <c r="C19" s="85" t="n"/>
      <c r="D19" s="460" t="n">
        <v>9.4</v>
      </c>
      <c r="E19" s="86" t="n">
        <v>9.69</v>
      </c>
      <c r="F19" s="98" t="n">
        <v>9.140000000000001</v>
      </c>
      <c r="G19" s="458" t="n">
        <v>8.56</v>
      </c>
      <c r="H19" s="89" t="n">
        <v>9.369999999999999</v>
      </c>
      <c r="I19" s="90" t="n">
        <v>8.710000000000001</v>
      </c>
      <c r="J19" s="91" t="n">
        <v>9.859999999999999</v>
      </c>
      <c r="K19" s="92" t="inlineStr">
        <is>
          <t>A+</t>
        </is>
      </c>
      <c r="L19" s="121" t="inlineStr">
        <is>
          <t>A+</t>
        </is>
      </c>
      <c r="M19" s="40" t="inlineStr">
        <is>
          <t>A-</t>
        </is>
      </c>
      <c r="N19" s="458">
        <f>TRUNC(AVERAGE(D19:J19),2)</f>
        <v/>
      </c>
      <c r="O19" s="93" t="inlineStr">
        <is>
          <t>S</t>
        </is>
      </c>
      <c r="P19" s="94" t="inlineStr">
        <is>
          <t>PROMOVIDO</t>
        </is>
      </c>
    </row>
    <row r="20" ht="15" customHeight="1" s="225">
      <c r="A20" s="84" t="n">
        <v>14</v>
      </c>
      <c r="B20" s="457" t="inlineStr">
        <is>
          <t>LEMA CUNUHAY GABRIELA ELIZABETH</t>
        </is>
      </c>
      <c r="C20" s="85" t="n"/>
      <c r="D20" s="460" t="n">
        <v>7.19</v>
      </c>
      <c r="E20" s="86" t="n">
        <v>9.57</v>
      </c>
      <c r="F20" s="98" t="n">
        <v>9.470000000000001</v>
      </c>
      <c r="G20" s="458" t="n">
        <v>8.56</v>
      </c>
      <c r="H20" s="89" t="n">
        <v>9.029999999999999</v>
      </c>
      <c r="I20" s="90" t="n">
        <v>8.880000000000001</v>
      </c>
      <c r="J20" s="91" t="n">
        <v>9.470000000000001</v>
      </c>
      <c r="K20" s="92" t="inlineStr">
        <is>
          <t>A-</t>
        </is>
      </c>
      <c r="L20" s="121" t="inlineStr">
        <is>
          <t>A+</t>
        </is>
      </c>
      <c r="M20" s="40" t="inlineStr">
        <is>
          <t>A-</t>
        </is>
      </c>
      <c r="N20" s="458">
        <f>TRUNC(AVERAGE(D20:J20),2)</f>
        <v/>
      </c>
      <c r="O20" s="93" t="inlineStr">
        <is>
          <t>S</t>
        </is>
      </c>
      <c r="P20" s="94" t="inlineStr">
        <is>
          <t>PROMOVIDO</t>
        </is>
      </c>
    </row>
    <row r="21" ht="15" customHeight="1" s="225">
      <c r="A21" s="84" t="n">
        <v>15</v>
      </c>
      <c r="B21" s="457" t="inlineStr">
        <is>
          <t>MOROCHO CABRERA DANIELA ALEJANDRA</t>
        </is>
      </c>
      <c r="C21" s="85" t="n"/>
      <c r="D21" s="460" t="n">
        <v>7.45</v>
      </c>
      <c r="E21" s="86" t="n">
        <v>7.09</v>
      </c>
      <c r="F21" s="98" t="n">
        <v>7.14</v>
      </c>
      <c r="G21" s="458" t="n">
        <v>8.31</v>
      </c>
      <c r="H21" s="89" t="n">
        <v>7</v>
      </c>
      <c r="I21" s="90" t="n">
        <v>8.470000000000001</v>
      </c>
      <c r="J21" s="91" t="n">
        <v>7.93</v>
      </c>
      <c r="K21" s="92" t="inlineStr">
        <is>
          <t>A-</t>
        </is>
      </c>
      <c r="L21" s="121" t="inlineStr">
        <is>
          <t>B+</t>
        </is>
      </c>
      <c r="M21" s="40" t="inlineStr">
        <is>
          <t>A-</t>
        </is>
      </c>
      <c r="N21" s="458">
        <f>TRUNC(AVERAGE(D21:J21),2)</f>
        <v/>
      </c>
      <c r="O21" s="93" t="inlineStr">
        <is>
          <t>S</t>
        </is>
      </c>
      <c r="P21" s="94" t="inlineStr">
        <is>
          <t>PROMOVIDO</t>
        </is>
      </c>
    </row>
    <row r="22" ht="15" customHeight="1" s="225">
      <c r="A22" s="84" t="n">
        <v>16</v>
      </c>
      <c r="B22" s="85" t="inlineStr">
        <is>
          <t>ORTIZ GUARACA ERICK ALEXANDER</t>
        </is>
      </c>
      <c r="C22" s="85" t="n"/>
      <c r="D22" s="95" t="n">
        <v>7.21</v>
      </c>
      <c r="E22" s="86" t="n">
        <v>7.25</v>
      </c>
      <c r="F22" s="103" t="n">
        <v>4.28</v>
      </c>
      <c r="G22" s="88" t="n">
        <v>8.91</v>
      </c>
      <c r="H22" s="89" t="n">
        <v>7.72</v>
      </c>
      <c r="I22" s="90" t="n">
        <v>8.52</v>
      </c>
      <c r="J22" s="91" t="n">
        <v>8.779999999999999</v>
      </c>
      <c r="K22" s="92" t="inlineStr">
        <is>
          <t>B+</t>
        </is>
      </c>
      <c r="L22" s="121" t="inlineStr">
        <is>
          <t>A+</t>
        </is>
      </c>
      <c r="M22" s="40" t="inlineStr">
        <is>
          <t>A-</t>
        </is>
      </c>
      <c r="N22" s="66">
        <f>TRUNC(AVERAGE(D22:J22),2)</f>
        <v/>
      </c>
      <c r="O22" s="93" t="inlineStr">
        <is>
          <t>S</t>
        </is>
      </c>
      <c r="P22" s="104" t="inlineStr">
        <is>
          <t>NO PROMOVIDO</t>
        </is>
      </c>
    </row>
    <row r="23" ht="15" customHeight="1" s="225">
      <c r="A23" s="84" t="n">
        <v>17</v>
      </c>
      <c r="B23" s="457" t="inlineStr">
        <is>
          <t>ORTIZ SAMANIEGO NAYLA PAMELA</t>
        </is>
      </c>
      <c r="C23" s="85" t="n"/>
      <c r="D23" s="460" t="n">
        <v>9.550000000000001</v>
      </c>
      <c r="E23" s="86" t="n">
        <v>7.64</v>
      </c>
      <c r="F23" s="462" t="n">
        <v>5.14</v>
      </c>
      <c r="G23" s="458" t="n">
        <v>9.01</v>
      </c>
      <c r="H23" s="89" t="n">
        <v>7.03</v>
      </c>
      <c r="I23" s="90" t="n">
        <v>8.92</v>
      </c>
      <c r="J23" s="91" t="n">
        <v>8.19</v>
      </c>
      <c r="K23" s="92" t="inlineStr">
        <is>
          <t>A-</t>
        </is>
      </c>
      <c r="L23" s="121" t="inlineStr">
        <is>
          <t>B+</t>
        </is>
      </c>
      <c r="M23" s="40" t="inlineStr">
        <is>
          <t>A-</t>
        </is>
      </c>
      <c r="N23" s="458">
        <f>TRUNC(AVERAGE(D23:J23),2)</f>
        <v/>
      </c>
      <c r="O23" s="93" t="inlineStr">
        <is>
          <t>S</t>
        </is>
      </c>
      <c r="P23" s="104" t="inlineStr">
        <is>
          <t>NO PROMOVIDO</t>
        </is>
      </c>
    </row>
    <row r="24" ht="15" customHeight="1" s="225">
      <c r="A24" s="84" t="n">
        <v>18</v>
      </c>
      <c r="B24" s="457" t="inlineStr">
        <is>
          <t>PAIDA CARVAJAL MARIEL SHANELA</t>
        </is>
      </c>
      <c r="C24" s="85" t="n"/>
      <c r="D24" s="460" t="n">
        <v>7.45</v>
      </c>
      <c r="E24" s="86" t="n">
        <v>9.57</v>
      </c>
      <c r="F24" s="459" t="n">
        <v>8.119999999999999</v>
      </c>
      <c r="G24" s="458" t="n">
        <v>8.73</v>
      </c>
      <c r="H24" s="89" t="n">
        <v>9.449999999999999</v>
      </c>
      <c r="I24" s="90" t="n">
        <v>9.99</v>
      </c>
      <c r="J24" s="91" t="n">
        <v>9.890000000000001</v>
      </c>
      <c r="K24" s="92" t="inlineStr">
        <is>
          <t>A-</t>
        </is>
      </c>
      <c r="L24" s="121" t="inlineStr">
        <is>
          <t>A-</t>
        </is>
      </c>
      <c r="M24" s="40" t="inlineStr">
        <is>
          <t>A-</t>
        </is>
      </c>
      <c r="N24" s="458">
        <f>TRUNC(AVERAGE(D24:J24),2)</f>
        <v/>
      </c>
      <c r="O24" s="93" t="inlineStr">
        <is>
          <t>S</t>
        </is>
      </c>
      <c r="P24" s="94" t="inlineStr">
        <is>
          <t>PROMOVIDO</t>
        </is>
      </c>
    </row>
    <row r="25" ht="15" customHeight="1" s="225">
      <c r="A25" s="84" t="n">
        <v>19</v>
      </c>
      <c r="B25" s="457" t="inlineStr">
        <is>
          <t>PALACIOS GUTIERREZ GUSTAVO ALEJANDRO</t>
        </is>
      </c>
      <c r="C25" s="85" t="n"/>
      <c r="D25" s="460" t="n">
        <v>7.01</v>
      </c>
      <c r="E25" s="86" t="n">
        <v>8.75</v>
      </c>
      <c r="F25" s="96" t="n">
        <v>7</v>
      </c>
      <c r="G25" s="458" t="n">
        <v>9.039999999999999</v>
      </c>
      <c r="H25" s="89" t="n">
        <v>7.67</v>
      </c>
      <c r="I25" s="90" t="n">
        <v>8.800000000000001</v>
      </c>
      <c r="J25" s="97" t="n">
        <v>7.89</v>
      </c>
      <c r="K25" s="92" t="inlineStr">
        <is>
          <t>A-</t>
        </is>
      </c>
      <c r="L25" s="121" t="inlineStr">
        <is>
          <t>A-</t>
        </is>
      </c>
      <c r="M25" s="40" t="inlineStr">
        <is>
          <t>A-</t>
        </is>
      </c>
      <c r="N25" s="458">
        <f>TRUNC(AVERAGE(D25:J25),2)</f>
        <v/>
      </c>
      <c r="O25" s="93" t="inlineStr">
        <is>
          <t>S</t>
        </is>
      </c>
      <c r="P25" s="94" t="inlineStr">
        <is>
          <t>PROMOVIDO</t>
        </is>
      </c>
    </row>
    <row r="26" ht="15" customHeight="1" s="225">
      <c r="A26" s="84" t="n">
        <v>20</v>
      </c>
      <c r="B26" s="457" t="inlineStr">
        <is>
          <t>PALLAZHCO CAMPOVERDE QUEVIN ALEXANDER</t>
        </is>
      </c>
      <c r="C26" s="85" t="n"/>
      <c r="D26" s="95" t="n">
        <v>7</v>
      </c>
      <c r="E26" s="105" t="n">
        <v>7.29</v>
      </c>
      <c r="F26" s="98" t="n">
        <v>7</v>
      </c>
      <c r="G26" s="458" t="n">
        <v>8.789999999999999</v>
      </c>
      <c r="H26" s="89" t="n">
        <v>7.19</v>
      </c>
      <c r="I26" s="90" t="n">
        <v>8.779999999999999</v>
      </c>
      <c r="J26" s="91" t="n">
        <v>7.72</v>
      </c>
      <c r="K26" s="92" t="inlineStr">
        <is>
          <t>A-</t>
        </is>
      </c>
      <c r="L26" s="121" t="inlineStr">
        <is>
          <t>A-</t>
        </is>
      </c>
      <c r="M26" s="40" t="inlineStr">
        <is>
          <t>A-</t>
        </is>
      </c>
      <c r="N26" s="458">
        <f>TRUNC(AVERAGE(D26:J26),2)</f>
        <v/>
      </c>
      <c r="O26" s="93" t="inlineStr">
        <is>
          <t>S</t>
        </is>
      </c>
      <c r="P26" s="94" t="inlineStr">
        <is>
          <t>PROMOVIDO</t>
        </is>
      </c>
    </row>
    <row r="27" ht="15" customHeight="1" s="225">
      <c r="A27" s="84" t="n">
        <v>21</v>
      </c>
      <c r="B27" s="85" t="inlineStr">
        <is>
          <t>PERES PERALTA CARLOS GEOVANN</t>
        </is>
      </c>
      <c r="C27" s="85" t="n"/>
      <c r="D27" s="95" t="n">
        <v>8.890000000000001</v>
      </c>
      <c r="E27" s="86" t="n">
        <v>7</v>
      </c>
      <c r="F27" s="96" t="n">
        <v>7.07</v>
      </c>
      <c r="G27" s="88" t="n">
        <v>8.779999999999999</v>
      </c>
      <c r="H27" s="89" t="n">
        <v>7.14</v>
      </c>
      <c r="I27" s="90" t="n">
        <v>8.44</v>
      </c>
      <c r="J27" s="97" t="n">
        <v>7.02</v>
      </c>
      <c r="K27" s="92" t="inlineStr">
        <is>
          <t>B+</t>
        </is>
      </c>
      <c r="L27" s="121" t="inlineStr">
        <is>
          <t>A-</t>
        </is>
      </c>
      <c r="M27" s="40" t="inlineStr">
        <is>
          <t>A-</t>
        </is>
      </c>
      <c r="N27" s="66">
        <f>TRUNC(AVERAGE(D27:J27),2)</f>
        <v/>
      </c>
      <c r="O27" s="93" t="inlineStr">
        <is>
          <t>S</t>
        </is>
      </c>
      <c r="P27" s="94" t="inlineStr">
        <is>
          <t>PROMOVIDO</t>
        </is>
      </c>
    </row>
    <row r="28" ht="15" customHeight="1" s="225">
      <c r="A28" s="84" t="n">
        <v>22</v>
      </c>
      <c r="B28" s="457" t="inlineStr">
        <is>
          <t>PUMA NAULA LUIS FERNANDO</t>
        </is>
      </c>
      <c r="C28" s="85" t="n"/>
      <c r="D28" s="460" t="n">
        <v>8.550000000000001</v>
      </c>
      <c r="E28" s="86" t="n">
        <v>8.08</v>
      </c>
      <c r="F28" s="96" t="n">
        <v>7.86</v>
      </c>
      <c r="G28" s="458" t="n">
        <v>8.6</v>
      </c>
      <c r="H28" s="89" t="n">
        <v>7.86</v>
      </c>
      <c r="I28" s="90" t="n">
        <v>8.81</v>
      </c>
      <c r="J28" s="91" t="n">
        <v>8.789999999999999</v>
      </c>
      <c r="K28" s="92" t="inlineStr">
        <is>
          <t>A-</t>
        </is>
      </c>
      <c r="L28" s="121" t="inlineStr">
        <is>
          <t>B+</t>
        </is>
      </c>
      <c r="M28" s="40" t="inlineStr">
        <is>
          <t>A-</t>
        </is>
      </c>
      <c r="N28" s="458">
        <f>TRUNC(AVERAGE(D28:J28),2)</f>
        <v/>
      </c>
      <c r="O28" s="93" t="inlineStr">
        <is>
          <t>S</t>
        </is>
      </c>
      <c r="P28" s="94" t="inlineStr">
        <is>
          <t>PROMOVIDO</t>
        </is>
      </c>
    </row>
    <row r="29" ht="15" customHeight="1" s="225">
      <c r="A29" s="84" t="n">
        <v>23</v>
      </c>
      <c r="B29" s="457" t="inlineStr">
        <is>
          <t>PUMA ZHAGUI JORDAN STALIN</t>
        </is>
      </c>
      <c r="C29" s="85" t="n"/>
      <c r="D29" s="460" t="n">
        <v>8.83</v>
      </c>
      <c r="E29" s="86" t="n">
        <v>9.289999999999999</v>
      </c>
      <c r="F29" s="98" t="n">
        <v>7.86</v>
      </c>
      <c r="G29" s="458" t="n">
        <v>8.43</v>
      </c>
      <c r="H29" s="89" t="n">
        <v>8.73</v>
      </c>
      <c r="I29" s="90" t="n">
        <v>8.43</v>
      </c>
      <c r="J29" s="91" t="n">
        <v>8.380000000000001</v>
      </c>
      <c r="K29" s="92" t="inlineStr">
        <is>
          <t>A-</t>
        </is>
      </c>
      <c r="L29" s="121" t="inlineStr">
        <is>
          <t>A-</t>
        </is>
      </c>
      <c r="M29" s="40" t="inlineStr">
        <is>
          <t>A-</t>
        </is>
      </c>
      <c r="N29" s="458">
        <f>TRUNC(AVERAGE(D29:J29),2)</f>
        <v/>
      </c>
      <c r="O29" s="93" t="inlineStr">
        <is>
          <t>S</t>
        </is>
      </c>
      <c r="P29" s="94" t="inlineStr">
        <is>
          <t>PROMOVIDO</t>
        </is>
      </c>
    </row>
    <row r="30" ht="18" customHeight="1" s="225">
      <c r="A30" s="84" t="n">
        <v>24</v>
      </c>
      <c r="B30" s="461" t="inlineStr">
        <is>
          <t>QUIROGA CHACA LESLIE NICOLE</t>
        </is>
      </c>
      <c r="C30" s="102" t="n"/>
      <c r="D30" s="460" t="n">
        <v>8.68</v>
      </c>
      <c r="E30" s="86" t="n">
        <v>8.18</v>
      </c>
      <c r="F30" s="98" t="n">
        <v>7.86</v>
      </c>
      <c r="G30" s="458" t="n">
        <v>8.43</v>
      </c>
      <c r="H30" s="89" t="n">
        <v>8.25</v>
      </c>
      <c r="I30" s="90" t="n">
        <v>9.02</v>
      </c>
      <c r="J30" s="91" t="n">
        <v>9.199999999999999</v>
      </c>
      <c r="K30" s="92" t="inlineStr">
        <is>
          <t>A-</t>
        </is>
      </c>
      <c r="L30" s="121" t="inlineStr">
        <is>
          <t>A+</t>
        </is>
      </c>
      <c r="M30" s="40" t="inlineStr">
        <is>
          <t>A-</t>
        </is>
      </c>
      <c r="N30" s="458">
        <f>TRUNC(AVERAGE(D30:J30),2)</f>
        <v/>
      </c>
      <c r="O30" s="93" t="inlineStr">
        <is>
          <t>S</t>
        </is>
      </c>
      <c r="P30" s="94" t="inlineStr">
        <is>
          <t>PROMOVIDO</t>
        </is>
      </c>
    </row>
    <row r="31" ht="18" customHeight="1" s="225">
      <c r="A31" s="84" t="n">
        <v>25</v>
      </c>
      <c r="B31" s="461" t="inlineStr">
        <is>
          <t>QUIZHPI ZUÑIGA MARIA PAZ</t>
        </is>
      </c>
      <c r="C31" s="102" t="n"/>
      <c r="D31" s="460" t="n">
        <v>8.75</v>
      </c>
      <c r="E31" s="105" t="n">
        <v>8.800000000000001</v>
      </c>
      <c r="F31" s="98" t="n">
        <v>8.109999999999999</v>
      </c>
      <c r="G31" s="458" t="n">
        <v>8.67</v>
      </c>
      <c r="H31" s="89" t="n">
        <v>8.42</v>
      </c>
      <c r="I31" s="90" t="n">
        <v>8.84</v>
      </c>
      <c r="J31" s="91" t="n">
        <v>8.85</v>
      </c>
      <c r="K31" s="92" t="inlineStr">
        <is>
          <t>A-</t>
        </is>
      </c>
      <c r="L31" s="121" t="inlineStr">
        <is>
          <t>A+</t>
        </is>
      </c>
      <c r="M31" s="40" t="inlineStr">
        <is>
          <t>A-</t>
        </is>
      </c>
      <c r="N31" s="458">
        <f>TRUNC(AVERAGE(D31:J31),2)</f>
        <v/>
      </c>
      <c r="O31" s="93" t="inlineStr">
        <is>
          <t>y</t>
        </is>
      </c>
      <c r="P31" s="94" t="inlineStr">
        <is>
          <t>PROMOVIDO</t>
        </is>
      </c>
    </row>
    <row r="32" ht="15" customHeight="1" s="225">
      <c r="A32" s="84" t="n">
        <v>26</v>
      </c>
      <c r="B32" s="461" t="inlineStr">
        <is>
          <t>REA VERA ERIKA DANIELA</t>
        </is>
      </c>
      <c r="C32" s="102" t="n"/>
      <c r="D32" s="460" t="n">
        <v>7.67</v>
      </c>
      <c r="E32" s="86" t="n">
        <v>8.06</v>
      </c>
      <c r="F32" s="96" t="n">
        <v>7.48</v>
      </c>
      <c r="G32" s="458" t="n">
        <v>9.4</v>
      </c>
      <c r="H32" s="89" t="n">
        <v>8.630000000000001</v>
      </c>
      <c r="I32" s="90" t="n">
        <v>8.91</v>
      </c>
      <c r="J32" s="91" t="n">
        <v>9.130000000000001</v>
      </c>
      <c r="K32" s="92" t="inlineStr">
        <is>
          <t>A-</t>
        </is>
      </c>
      <c r="L32" s="121" t="inlineStr">
        <is>
          <t>A+</t>
        </is>
      </c>
      <c r="M32" s="40" t="inlineStr">
        <is>
          <t>A-</t>
        </is>
      </c>
      <c r="N32" s="458">
        <f>TRUNC(AVERAGE(D32:J32),2)</f>
        <v/>
      </c>
      <c r="O32" s="93" t="inlineStr">
        <is>
          <t>S</t>
        </is>
      </c>
      <c r="P32" s="94" t="inlineStr">
        <is>
          <t>PROMOVIDO</t>
        </is>
      </c>
    </row>
    <row r="33" ht="15" customHeight="1" s="225">
      <c r="A33" s="84" t="n">
        <v>27</v>
      </c>
      <c r="B33" s="457" t="inlineStr">
        <is>
          <t>RUIZ ARIAS MAGALY SALOME</t>
        </is>
      </c>
      <c r="C33" s="85" t="n"/>
      <c r="D33" s="460" t="n">
        <v>9.67</v>
      </c>
      <c r="E33" s="86" t="n">
        <v>8.06</v>
      </c>
      <c r="F33" s="96" t="n">
        <v>7</v>
      </c>
      <c r="G33" s="458" t="n">
        <v>8.449999999999999</v>
      </c>
      <c r="H33" s="89" t="n">
        <v>7.28</v>
      </c>
      <c r="I33" s="90" t="n">
        <v>8.98</v>
      </c>
      <c r="J33" s="91" t="n">
        <v>8.210000000000001</v>
      </c>
      <c r="K33" s="92" t="inlineStr">
        <is>
          <t>A-</t>
        </is>
      </c>
      <c r="L33" s="121" t="inlineStr">
        <is>
          <t>A-</t>
        </is>
      </c>
      <c r="M33" s="40" t="inlineStr">
        <is>
          <t>A-</t>
        </is>
      </c>
      <c r="N33" s="458">
        <f>TRUNC(AVERAGE(D33:J33),2)</f>
        <v/>
      </c>
      <c r="O33" s="93" t="inlineStr">
        <is>
          <t>S</t>
        </is>
      </c>
      <c r="P33" s="94" t="inlineStr">
        <is>
          <t>PROMOVIDO</t>
        </is>
      </c>
    </row>
    <row r="34" ht="15" customHeight="1" s="225">
      <c r="A34" s="84" t="n">
        <v>28</v>
      </c>
      <c r="B34" s="457" t="inlineStr">
        <is>
          <t>SANCHO TADAY DAYANA MICHELLE</t>
        </is>
      </c>
      <c r="C34" s="85" t="n"/>
      <c r="D34" s="460" t="n">
        <v>7.54</v>
      </c>
      <c r="E34" s="86" t="n">
        <v>9.43</v>
      </c>
      <c r="F34" s="462" t="n">
        <v>8.58</v>
      </c>
      <c r="G34" s="458" t="n">
        <v>8.640000000000001</v>
      </c>
      <c r="H34" s="89" t="n">
        <v>9.09</v>
      </c>
      <c r="I34" s="90" t="n">
        <v>8.960000000000001</v>
      </c>
      <c r="J34" s="91" t="n">
        <v>9.69</v>
      </c>
      <c r="K34" s="92" t="inlineStr">
        <is>
          <t>A-</t>
        </is>
      </c>
      <c r="L34" s="121" t="inlineStr">
        <is>
          <t>A+</t>
        </is>
      </c>
      <c r="M34" s="40" t="inlineStr">
        <is>
          <t>A-</t>
        </is>
      </c>
      <c r="N34" s="458">
        <f>TRUNC(AVERAGE(D34:J34),2)</f>
        <v/>
      </c>
      <c r="O34" s="93" t="inlineStr">
        <is>
          <t>S</t>
        </is>
      </c>
      <c r="P34" s="94" t="inlineStr">
        <is>
          <t>PROMOVIDO</t>
        </is>
      </c>
    </row>
    <row r="35" ht="15" customHeight="1" s="225">
      <c r="A35" s="84" t="n">
        <v>29</v>
      </c>
      <c r="B35" s="457" t="inlineStr">
        <is>
          <t>SARANGO AVILA JOSTIN ALEXANDER</t>
        </is>
      </c>
      <c r="C35" s="85" t="n"/>
      <c r="D35" s="460" t="n">
        <v>8.109999999999999</v>
      </c>
      <c r="E35" s="86" t="n">
        <v>7.5</v>
      </c>
      <c r="F35" s="98" t="n">
        <v>7.04</v>
      </c>
      <c r="G35" s="458" t="n">
        <v>7.98</v>
      </c>
      <c r="H35" s="89" t="n">
        <v>7.84</v>
      </c>
      <c r="I35" s="90" t="n">
        <v>8.74</v>
      </c>
      <c r="J35" s="458" t="n">
        <v>7.89</v>
      </c>
      <c r="K35" s="92" t="inlineStr">
        <is>
          <t>B+</t>
        </is>
      </c>
      <c r="L35" s="121" t="inlineStr">
        <is>
          <t>B+</t>
        </is>
      </c>
      <c r="M35" s="40" t="inlineStr">
        <is>
          <t>A-</t>
        </is>
      </c>
      <c r="N35" s="458">
        <f>TRUNC(AVERAGE(D35:J35),2)</f>
        <v/>
      </c>
      <c r="O35" s="93" t="inlineStr">
        <is>
          <t>S</t>
        </is>
      </c>
      <c r="P35" s="94" t="inlineStr">
        <is>
          <t>PROMOVIDO</t>
        </is>
      </c>
    </row>
    <row r="36" ht="15" customHeight="1" s="225">
      <c r="A36" s="84" t="n">
        <v>30</v>
      </c>
      <c r="B36" s="457" t="inlineStr">
        <is>
          <t>SIAVICHAY CANDO MARCO SEBASTIAN</t>
        </is>
      </c>
      <c r="C36" s="85" t="n"/>
      <c r="D36" s="460" t="n">
        <v>9.699999999999999</v>
      </c>
      <c r="E36" s="86" t="n">
        <v>8.69</v>
      </c>
      <c r="F36" s="96" t="n">
        <v>7</v>
      </c>
      <c r="G36" s="458" t="n">
        <v>8.44</v>
      </c>
      <c r="H36" s="89" t="n">
        <v>8.039999999999999</v>
      </c>
      <c r="I36" s="90" t="n">
        <v>8.789999999999999</v>
      </c>
      <c r="J36" s="91" t="n">
        <v>8.880000000000001</v>
      </c>
      <c r="K36" s="92" t="inlineStr">
        <is>
          <t>A-</t>
        </is>
      </c>
      <c r="L36" s="121" t="inlineStr">
        <is>
          <t>A+</t>
        </is>
      </c>
      <c r="M36" s="40" t="inlineStr">
        <is>
          <t>A-</t>
        </is>
      </c>
      <c r="N36" s="458">
        <f>TRUNC(AVERAGE(D36:J36),2)</f>
        <v/>
      </c>
      <c r="O36" s="93" t="inlineStr">
        <is>
          <t>S</t>
        </is>
      </c>
      <c r="P36" s="94" t="inlineStr">
        <is>
          <t>PROMOVIDO</t>
        </is>
      </c>
    </row>
    <row r="37" ht="15" customHeight="1" s="225">
      <c r="A37" s="84" t="n">
        <v>31</v>
      </c>
      <c r="B37" s="457" t="inlineStr">
        <is>
          <t>SINCHI LEMA VALERIA GUADALUPE</t>
        </is>
      </c>
      <c r="C37" s="85" t="n"/>
      <c r="D37" s="460" t="n">
        <v>7.19</v>
      </c>
      <c r="E37" s="86" t="n">
        <v>9.34</v>
      </c>
      <c r="F37" s="98" t="n">
        <v>9.210000000000001</v>
      </c>
      <c r="G37" s="458" t="n">
        <v>9.06</v>
      </c>
      <c r="H37" s="89" t="n">
        <v>9.109999999999999</v>
      </c>
      <c r="I37" s="90" t="n">
        <v>8.67</v>
      </c>
      <c r="J37" s="91" t="n">
        <v>9.359999999999999</v>
      </c>
      <c r="K37" s="92" t="inlineStr">
        <is>
          <t>A+</t>
        </is>
      </c>
      <c r="L37" s="121" t="inlineStr">
        <is>
          <t>A+</t>
        </is>
      </c>
      <c r="M37" s="40" t="inlineStr">
        <is>
          <t>A-</t>
        </is>
      </c>
      <c r="N37" s="458">
        <f>TRUNC(AVERAGE(D37:J37),2)</f>
        <v/>
      </c>
      <c r="O37" s="93" t="inlineStr">
        <is>
          <t>S</t>
        </is>
      </c>
      <c r="P37" s="94" t="inlineStr">
        <is>
          <t>PROMOVIDO</t>
        </is>
      </c>
    </row>
    <row r="38" ht="15" customHeight="1" s="225">
      <c r="A38" s="84" t="n">
        <v>32</v>
      </c>
      <c r="B38" s="85" t="inlineStr">
        <is>
          <t>SISALIMA MALLA HENRI DANIEL</t>
        </is>
      </c>
      <c r="C38" s="85" t="n"/>
      <c r="D38" s="95" t="n">
        <v>7.89</v>
      </c>
      <c r="E38" s="86" t="n">
        <v>7.05</v>
      </c>
      <c r="F38" s="96" t="n">
        <v>7.02</v>
      </c>
      <c r="G38" s="88" t="n">
        <v>9.220000000000001</v>
      </c>
      <c r="H38" s="89" t="n">
        <v>7</v>
      </c>
      <c r="I38" s="90" t="n">
        <v>8.529999999999999</v>
      </c>
      <c r="J38" s="91" t="n">
        <v>7.03</v>
      </c>
      <c r="K38" s="92" t="inlineStr">
        <is>
          <t>B+</t>
        </is>
      </c>
      <c r="L38" s="121" t="inlineStr">
        <is>
          <t>A-</t>
        </is>
      </c>
      <c r="M38" s="40" t="inlineStr">
        <is>
          <t>A-</t>
        </is>
      </c>
      <c r="N38" s="66">
        <f>TRUNC(AVERAGE(D38:J38),2)</f>
        <v/>
      </c>
      <c r="O38" s="93" t="inlineStr">
        <is>
          <t>S</t>
        </is>
      </c>
      <c r="P38" s="94" t="inlineStr">
        <is>
          <t>PROMOVIDO</t>
        </is>
      </c>
    </row>
    <row r="39" ht="15" customHeight="1" s="225">
      <c r="A39" s="84" t="n">
        <v>33</v>
      </c>
      <c r="B39" s="461" t="inlineStr">
        <is>
          <t>TONGOMBOL CARCHIPULLA VERONICA ALEXANDRA</t>
        </is>
      </c>
      <c r="C39" s="102" t="n"/>
      <c r="D39" s="460" t="n">
        <v>7</v>
      </c>
      <c r="E39" s="86" t="n">
        <v>7</v>
      </c>
      <c r="F39" s="96" t="n">
        <v>7</v>
      </c>
      <c r="G39" s="458" t="n">
        <v>8.52</v>
      </c>
      <c r="H39" s="89" t="n">
        <v>7</v>
      </c>
      <c r="I39" s="90" t="n">
        <v>8.35</v>
      </c>
      <c r="J39" s="91" t="n">
        <v>7.57</v>
      </c>
      <c r="K39" s="92" t="inlineStr">
        <is>
          <t>A-</t>
        </is>
      </c>
      <c r="L39" s="121" t="inlineStr">
        <is>
          <t>A-</t>
        </is>
      </c>
      <c r="M39" s="40" t="inlineStr">
        <is>
          <t>A-</t>
        </is>
      </c>
      <c r="N39" s="458">
        <f>TRUNC(AVERAGE(D39:J39),2)</f>
        <v/>
      </c>
      <c r="O39" s="93" t="inlineStr">
        <is>
          <t>S</t>
        </is>
      </c>
      <c r="P39" s="94" t="inlineStr">
        <is>
          <t>PROMOVIDO</t>
        </is>
      </c>
    </row>
    <row r="40" ht="15" customHeight="1" s="225">
      <c r="A40" s="84" t="n">
        <v>34</v>
      </c>
      <c r="B40" s="457" t="inlineStr">
        <is>
          <t>UZHCA JUELA EDWIN FABIAN</t>
        </is>
      </c>
      <c r="C40" s="85" t="n"/>
      <c r="D40" s="460" t="n">
        <v>8.93</v>
      </c>
      <c r="E40" s="86" t="n">
        <v>7</v>
      </c>
      <c r="F40" s="98" t="n">
        <v>7</v>
      </c>
      <c r="G40" s="458" t="n">
        <v>9.619999999999999</v>
      </c>
      <c r="H40" s="89" t="n">
        <v>7.02</v>
      </c>
      <c r="I40" s="90" t="n">
        <v>8.619999999999999</v>
      </c>
      <c r="J40" s="91" t="n">
        <v>7.19</v>
      </c>
      <c r="K40" s="92" t="inlineStr">
        <is>
          <t>B+</t>
        </is>
      </c>
      <c r="L40" s="121" t="inlineStr">
        <is>
          <t>A-</t>
        </is>
      </c>
      <c r="M40" s="40" t="inlineStr">
        <is>
          <t>A-</t>
        </is>
      </c>
      <c r="N40" s="458">
        <f>TRUNC(AVERAGE(D40:J40),2)</f>
        <v/>
      </c>
      <c r="O40" s="93" t="inlineStr">
        <is>
          <t>S</t>
        </is>
      </c>
      <c r="P40" s="94" t="inlineStr">
        <is>
          <t>PROMOVIDO</t>
        </is>
      </c>
    </row>
    <row r="41" ht="15" customHeight="1" s="225">
      <c r="A41" s="84" t="n">
        <v>35</v>
      </c>
      <c r="B41" s="457" t="inlineStr">
        <is>
          <t>VALDEZ BENAVIDES DENISE CAROLINA</t>
        </is>
      </c>
      <c r="C41" s="85" t="n"/>
      <c r="D41" s="460" t="n">
        <v>9.84</v>
      </c>
      <c r="E41" s="105" t="n">
        <v>7.72</v>
      </c>
      <c r="F41" s="98" t="n">
        <v>8.07</v>
      </c>
      <c r="G41" s="458" t="n">
        <v>8.76</v>
      </c>
      <c r="H41" s="89" t="n">
        <v>7.86</v>
      </c>
      <c r="I41" s="90" t="n">
        <v>8.949999999999999</v>
      </c>
      <c r="J41" s="91" t="n">
        <v>9.1</v>
      </c>
      <c r="K41" s="92" t="inlineStr">
        <is>
          <t>A-</t>
        </is>
      </c>
      <c r="L41" s="121" t="inlineStr">
        <is>
          <t>A+</t>
        </is>
      </c>
      <c r="M41" s="40" t="inlineStr">
        <is>
          <t>A-</t>
        </is>
      </c>
      <c r="N41" s="458">
        <f>TRUNC(AVERAGE(D41:J41),2)</f>
        <v/>
      </c>
      <c r="O41" s="93" t="inlineStr">
        <is>
          <t>S</t>
        </is>
      </c>
      <c r="P41" s="94" t="inlineStr">
        <is>
          <t>PROMOVIDO</t>
        </is>
      </c>
    </row>
    <row r="42" ht="14.25" customHeight="1" s="225">
      <c r="A42" s="10" t="n">
        <v>36</v>
      </c>
      <c r="B42" s="457" t="inlineStr">
        <is>
          <t>ÑAUTA BARRETO ANDREA MICHELLE</t>
        </is>
      </c>
      <c r="C42" s="85" t="n"/>
      <c r="D42" s="460" t="n">
        <v>9.550000000000001</v>
      </c>
      <c r="E42" s="105" t="n">
        <v>9.56</v>
      </c>
      <c r="F42" s="96" t="n">
        <v>9.42</v>
      </c>
      <c r="G42" s="88" t="n">
        <v>9.699999999999999</v>
      </c>
      <c r="H42" s="89" t="n">
        <v>8.970000000000001</v>
      </c>
      <c r="I42" s="90" t="n">
        <v>9.08</v>
      </c>
      <c r="J42" s="91" t="inlineStr">
        <is>
          <t>9.67</t>
        </is>
      </c>
      <c r="K42" s="92" t="inlineStr">
        <is>
          <t>A+</t>
        </is>
      </c>
      <c r="L42" s="121" t="inlineStr">
        <is>
          <t>A+</t>
        </is>
      </c>
      <c r="M42" s="40" t="inlineStr">
        <is>
          <t>A-</t>
        </is>
      </c>
      <c r="N42" s="458">
        <f>TRUNC(AVERAGE(D42:J42),2)</f>
        <v/>
      </c>
      <c r="O42" s="93" t="inlineStr">
        <is>
          <t>S</t>
        </is>
      </c>
      <c r="P42" s="94" t="inlineStr">
        <is>
          <t>PROMOVIDO</t>
        </is>
      </c>
    </row>
    <row r="43" ht="14.25" customHeight="1" s="225">
      <c r="B43" s="10" t="inlineStr">
        <is>
          <t>Promedio</t>
        </is>
      </c>
      <c r="D43" s="106">
        <f>AVERAGE(D6:D42)</f>
        <v/>
      </c>
      <c r="E43" s="86">
        <f>AVERAGE(E6:E42)</f>
        <v/>
      </c>
      <c r="F43" s="215">
        <f>AVERAGE(F6:F42)</f>
        <v/>
      </c>
      <c r="G43" s="108">
        <f>AVERAGE(G6:G42)</f>
        <v/>
      </c>
      <c r="H43" s="111">
        <f>AVERAGE(H6:H42)</f>
        <v/>
      </c>
      <c r="I43" s="110">
        <f>AVERAGE(I6:I42)</f>
        <v/>
      </c>
      <c r="J43" s="111" t="n">
        <v>9.67</v>
      </c>
      <c r="K43" s="156" t="n"/>
      <c r="L43" s="112" t="n"/>
      <c r="M43" s="156" t="n"/>
      <c r="N43" s="111">
        <f>AVERAGE(N6:N42)</f>
        <v/>
      </c>
      <c r="O43" s="156" t="n"/>
    </row>
    <row r="44" ht="14.25" customHeight="1" s="225"/>
    <row r="45" ht="14.25" customHeight="1" s="225">
      <c r="B45" s="247" t="inlineStr">
        <is>
          <t xml:space="preserve">Ing. Sonia Chicaiza Mgtr. </t>
        </is>
      </c>
      <c r="D45" s="248" t="inlineStr">
        <is>
          <t xml:space="preserve">Lcda. Lucia Uzhca Mgtr. </t>
        </is>
      </c>
      <c r="E45" s="249" t="n"/>
      <c r="F45" s="249" t="n"/>
      <c r="G45" s="250" t="n"/>
      <c r="H45" s="72" t="n"/>
      <c r="I45" s="248" t="inlineStr">
        <is>
          <t>Lcda. Dora Argudo</t>
        </is>
      </c>
      <c r="J45" s="249" t="n"/>
      <c r="K45" s="249" t="n"/>
      <c r="L45" s="249" t="n"/>
      <c r="M45" s="250" t="n"/>
    </row>
    <row r="46" ht="14.25" customHeight="1" s="225">
      <c r="B46" s="247" t="inlineStr">
        <is>
          <t>Rectora (e)</t>
        </is>
      </c>
      <c r="D46" s="248" t="inlineStr">
        <is>
          <t>Vicerrectora (e) Vespertina</t>
        </is>
      </c>
      <c r="E46" s="249" t="n"/>
      <c r="F46" s="249" t="n"/>
      <c r="G46" s="249" t="n"/>
      <c r="H46" s="250" t="n"/>
      <c r="I46" s="248" t="inlineStr">
        <is>
          <t>Docente Tutora</t>
        </is>
      </c>
      <c r="J46" s="249" t="n"/>
      <c r="K46" s="249" t="n"/>
      <c r="L46" s="250" t="n"/>
      <c r="M46" s="10" t="n"/>
    </row>
    <row r="47" ht="14.25" customHeight="1" s="225"/>
    <row r="48" ht="14.25" customHeight="1" s="225"/>
    <row r="49" ht="14.25" customHeight="1" s="225"/>
    <row r="50" ht="14.25" customHeight="1" s="225"/>
    <row r="51" ht="14.25" customHeight="1" s="225"/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4.25" customHeight="1" s="225"/>
    <row r="222" ht="14.25" customHeight="1" s="225"/>
    <row r="223" ht="14.25" customHeight="1" s="225"/>
    <row r="224" ht="14.25" customHeight="1" s="225"/>
    <row r="225" ht="14.25" customHeight="1" s="225"/>
    <row r="226" ht="14.25" customHeight="1" s="225"/>
    <row r="227" ht="14.25" customHeight="1" s="225"/>
    <row r="228" ht="14.25" customHeight="1" s="225"/>
    <row r="229" ht="14.25" customHeight="1" s="225"/>
    <row r="230" ht="14.25" customHeight="1" s="225"/>
    <row r="231" ht="14.25" customHeight="1" s="225"/>
    <row r="232" ht="14.25" customHeight="1" s="225"/>
    <row r="233" ht="14.25" customHeight="1" s="225"/>
    <row r="234" ht="14.25" customHeight="1" s="225"/>
    <row r="235" ht="14.25" customHeight="1" s="225"/>
    <row r="236" ht="14.25" customHeight="1" s="225"/>
    <row r="237" ht="14.25" customHeight="1" s="225"/>
    <row r="238" ht="14.25" customHeight="1" s="225"/>
    <row r="239" ht="14.25" customHeight="1" s="225"/>
    <row r="240" ht="14.25" customHeight="1" s="225"/>
    <row r="241" ht="14.2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</sheetData>
  <mergeCells count="12">
    <mergeCell ref="I4:J4"/>
    <mergeCell ref="B2:P2"/>
    <mergeCell ref="D45:G45"/>
    <mergeCell ref="K3:N3"/>
    <mergeCell ref="A1:P1"/>
    <mergeCell ref="B45:C45"/>
    <mergeCell ref="B46:C46"/>
    <mergeCell ref="C3:E3"/>
    <mergeCell ref="I46:L46"/>
    <mergeCell ref="D46:H46"/>
    <mergeCell ref="I45:M45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4.86" customWidth="1" style="225" min="1" max="1"/>
    <col width="20.43" customWidth="1" style="225" min="2" max="2"/>
    <col width="19.29" customWidth="1" style="225" min="3" max="3"/>
    <col width="6.29" customWidth="1" style="225" min="4" max="4"/>
    <col width="8.140000000000001" customWidth="1" style="225" min="14" max="14"/>
    <col width="7.57" customWidth="1" style="225" min="15" max="15"/>
    <col width="18.71" customWidth="1" style="225" min="16" max="16"/>
    <col width="10.71" customWidth="1" style="225" min="17" max="17"/>
    <col width="14" customWidth="1" style="225" min="18" max="18"/>
  </cols>
  <sheetData>
    <row r="1" ht="72.75" customHeight="1" s="225">
      <c r="A1" s="11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5">
      <c r="A2" s="2" t="n"/>
      <c r="B2" s="3" t="inlineStr">
        <is>
          <t>AÑO LECTIVO: 2025-2026</t>
        </is>
      </c>
    </row>
    <row r="3" ht="14.25" customHeight="1" s="225">
      <c r="B3" s="75" t="inlineStr">
        <is>
          <t xml:space="preserve">DOCENTE:             </t>
        </is>
      </c>
      <c r="C3" s="5" t="inlineStr">
        <is>
          <t>MGTR. WALTER GUAMAN</t>
        </is>
      </c>
      <c r="F3" s="6" t="n"/>
      <c r="G3" s="6" t="n"/>
      <c r="H3" s="6" t="n"/>
      <c r="I3" s="7" t="inlineStr">
        <is>
          <t xml:space="preserve">JORNADA: </t>
        </is>
      </c>
      <c r="K3" s="8" t="inlineStr">
        <is>
          <t>VESPERTINA</t>
        </is>
      </c>
    </row>
    <row r="4" ht="14.25" customHeight="1" s="225">
      <c r="B4" s="9" t="inlineStr">
        <is>
          <t xml:space="preserve">AÑO DE EGB:        </t>
        </is>
      </c>
      <c r="C4" s="76" t="inlineStr">
        <is>
          <t>NOVENO A</t>
        </is>
      </c>
      <c r="E4" s="6" t="n"/>
      <c r="F4" s="6" t="n"/>
      <c r="G4" s="6" t="n"/>
      <c r="H4" s="6" t="n"/>
      <c r="I4" s="7" t="inlineStr">
        <is>
          <t>TRIMESTRE:</t>
        </is>
      </c>
      <c r="K4" s="11" t="inlineStr">
        <is>
          <t>PRIMERO, SEGUNDO, TERCERO</t>
        </is>
      </c>
      <c r="M4" s="6" t="n"/>
    </row>
    <row r="5" ht="10.5" customHeight="1" s="225">
      <c r="B5" s="12" t="n"/>
      <c r="C5" s="12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57.5" customHeight="1" s="225">
      <c r="A6" s="77" t="inlineStr">
        <is>
          <t>No</t>
        </is>
      </c>
      <c r="B6" s="15" t="inlineStr">
        <is>
          <t>NOMINA</t>
        </is>
      </c>
      <c r="C6" s="78" t="n"/>
      <c r="D6" s="16" t="inlineStr">
        <is>
          <t>LENGUA Y LITERATURA</t>
        </is>
      </c>
      <c r="E6" s="17" t="inlineStr">
        <is>
          <t>MATEMÁTICA</t>
        </is>
      </c>
      <c r="F6" s="18" t="inlineStr">
        <is>
          <t>CIENCIAS NATURALES</t>
        </is>
      </c>
      <c r="G6" s="114" t="inlineStr">
        <is>
          <t>ESTUDIOS SOCIALES</t>
        </is>
      </c>
      <c r="H6" s="20" t="inlineStr">
        <is>
          <t>INGLÉS</t>
        </is>
      </c>
      <c r="I6" s="79" t="inlineStr">
        <is>
          <t>EDUCACIÓN CULTURAL Y ARTISTICA</t>
        </is>
      </c>
      <c r="J6" s="22" t="inlineStr">
        <is>
          <t>EDUCACIÓN FÍSICA</t>
        </is>
      </c>
      <c r="K6" s="80" t="inlineStr">
        <is>
          <t>ANIMACIÓN A LA LECTURA</t>
        </is>
      </c>
      <c r="L6" s="24" t="inlineStr">
        <is>
          <t>ACOMPAÑAMIENTO INTEGRAL EN EL AULA</t>
        </is>
      </c>
      <c r="M6" s="115" t="inlineStr">
        <is>
          <t>ORIENTACIÓN VOCACIONAL</t>
        </is>
      </c>
      <c r="N6" s="81" t="inlineStr">
        <is>
          <t>PROMEDIO FINAL</t>
        </is>
      </c>
      <c r="O6" s="82" t="inlineStr">
        <is>
          <t>CCOMPORTAMIENTO</t>
        </is>
      </c>
      <c r="P6" s="83" t="inlineStr">
        <is>
          <t>OBSERVACIONES</t>
        </is>
      </c>
    </row>
    <row r="7" ht="14.25" customHeight="1" s="225">
      <c r="A7" s="84" t="n">
        <v>1</v>
      </c>
      <c r="B7" s="85" t="inlineStr">
        <is>
          <t>ABAD CUZCO ALEJANDRO GERARD</t>
        </is>
      </c>
      <c r="C7" s="85" t="n"/>
      <c r="D7" s="116" t="n">
        <v>8.76</v>
      </c>
      <c r="E7" s="86" t="n">
        <v>8.449999999999999</v>
      </c>
      <c r="F7" s="117" t="n">
        <v>8.92</v>
      </c>
      <c r="G7" s="118" t="n">
        <v>9.359999999999999</v>
      </c>
      <c r="H7" s="119" t="n">
        <v>8.6</v>
      </c>
      <c r="I7" s="120" t="n">
        <v>9.369999999999999</v>
      </c>
      <c r="J7" s="91" t="n">
        <v>8.859999999999999</v>
      </c>
      <c r="K7" s="92" t="inlineStr">
        <is>
          <t>B+</t>
        </is>
      </c>
      <c r="L7" s="121" t="inlineStr">
        <is>
          <t>A-</t>
        </is>
      </c>
      <c r="M7" s="122" t="inlineStr">
        <is>
          <t>A-</t>
        </is>
      </c>
      <c r="N7" s="66">
        <f>TRUNC(AVERAGE(D7:J7),2)</f>
        <v/>
      </c>
      <c r="O7" s="93" t="inlineStr">
        <is>
          <t>S</t>
        </is>
      </c>
      <c r="P7" s="43" t="inlineStr">
        <is>
          <t>PROMOVIDO</t>
        </is>
      </c>
    </row>
    <row r="8" ht="15" customHeight="1" s="225">
      <c r="A8" s="84" t="n">
        <v>2</v>
      </c>
      <c r="B8" s="85" t="inlineStr">
        <is>
          <t>AUCAPIÑA CAGUANA JHONEL MATEO</t>
        </is>
      </c>
      <c r="C8" s="85" t="n"/>
      <c r="D8" s="116" t="n">
        <v>8.94</v>
      </c>
      <c r="E8" s="86" t="n">
        <v>8.58</v>
      </c>
      <c r="F8" s="123" t="n">
        <v>8.17</v>
      </c>
      <c r="G8" s="118" t="n">
        <v>8.67</v>
      </c>
      <c r="H8" s="124" t="n">
        <v>8.640000000000001</v>
      </c>
      <c r="I8" s="120" t="n">
        <v>8.51</v>
      </c>
      <c r="J8" s="91" t="n">
        <v>8.720000000000001</v>
      </c>
      <c r="K8" s="92" t="inlineStr">
        <is>
          <t>B+</t>
        </is>
      </c>
      <c r="L8" s="121" t="inlineStr">
        <is>
          <t>A-</t>
        </is>
      </c>
      <c r="M8" s="122" t="inlineStr">
        <is>
          <t>A-</t>
        </is>
      </c>
      <c r="N8" s="66">
        <f>TRUNC(AVERAGE(D8:J8),2)</f>
        <v/>
      </c>
      <c r="O8" s="93" t="inlineStr">
        <is>
          <t>S</t>
        </is>
      </c>
      <c r="P8" s="43" t="inlineStr">
        <is>
          <t>PROMOVIDO</t>
        </is>
      </c>
    </row>
    <row r="9" ht="15" customHeight="1" s="225">
      <c r="A9" s="84" t="n">
        <v>3</v>
      </c>
      <c r="B9" s="457" t="inlineStr">
        <is>
          <t>AUCAPIÑA PINEDA LUIS ALEJANDRO</t>
        </is>
      </c>
      <c r="C9" s="85" t="n"/>
      <c r="D9" s="463" t="n">
        <v>8.33</v>
      </c>
      <c r="E9" s="86" t="n">
        <v>7.22</v>
      </c>
      <c r="F9" s="117" t="n">
        <v>7.21</v>
      </c>
      <c r="G9" s="118" t="n">
        <v>8.359999999999999</v>
      </c>
      <c r="H9" s="124" t="n">
        <v>8.779999999999999</v>
      </c>
      <c r="I9" s="120" t="n">
        <v>8.26</v>
      </c>
      <c r="J9" s="91" t="n">
        <v>8.48</v>
      </c>
      <c r="K9" s="92" t="inlineStr">
        <is>
          <t>B+</t>
        </is>
      </c>
      <c r="L9" s="121" t="inlineStr">
        <is>
          <t>B+</t>
        </is>
      </c>
      <c r="M9" s="122" t="inlineStr">
        <is>
          <t>B+</t>
        </is>
      </c>
      <c r="N9" s="458">
        <f>TRUNC(AVERAGE(D9:J9),2)</f>
        <v/>
      </c>
      <c r="O9" s="93" t="inlineStr">
        <is>
          <t>F</t>
        </is>
      </c>
      <c r="P9" s="43" t="inlineStr">
        <is>
          <t>PROMOVIDO</t>
        </is>
      </c>
    </row>
    <row r="10" ht="15" customHeight="1" s="225">
      <c r="A10" s="84" t="n">
        <v>4</v>
      </c>
      <c r="B10" s="85" t="inlineStr">
        <is>
          <t>AUQUILLA PATIÑO AMANDA BELEN</t>
        </is>
      </c>
      <c r="C10" s="85" t="n"/>
      <c r="D10" s="116" t="n">
        <v>8.82</v>
      </c>
      <c r="E10" s="105" t="n">
        <v>8.6</v>
      </c>
      <c r="F10" s="117" t="n">
        <v>8.220000000000001</v>
      </c>
      <c r="G10" s="118" t="n">
        <v>8.43</v>
      </c>
      <c r="H10" s="124" t="n">
        <v>8.68</v>
      </c>
      <c r="I10" s="120" t="n">
        <v>8.65</v>
      </c>
      <c r="J10" s="91" t="n">
        <v>8.5</v>
      </c>
      <c r="K10" s="92" t="inlineStr">
        <is>
          <t>B+</t>
        </is>
      </c>
      <c r="L10" s="121" t="inlineStr">
        <is>
          <t>A-</t>
        </is>
      </c>
      <c r="M10" s="122" t="inlineStr">
        <is>
          <t>A-</t>
        </is>
      </c>
      <c r="N10" s="66">
        <f>TRUNC(AVERAGE(D10:J10),2)</f>
        <v/>
      </c>
      <c r="O10" s="93" t="inlineStr">
        <is>
          <t>S</t>
        </is>
      </c>
      <c r="P10" s="43" t="inlineStr">
        <is>
          <t>PROMOVIDO</t>
        </is>
      </c>
    </row>
    <row r="11" ht="15" customHeight="1" s="225">
      <c r="A11" s="84" t="n">
        <v>5</v>
      </c>
      <c r="B11" s="85" t="inlineStr">
        <is>
          <t>AVILA BENAVIDES MICHAEL ALEXANDER</t>
        </is>
      </c>
      <c r="C11" s="85" t="n"/>
      <c r="D11" s="116" t="n">
        <v>7.41</v>
      </c>
      <c r="E11" s="86" t="n">
        <v>7</v>
      </c>
      <c r="F11" s="117" t="n">
        <v>7</v>
      </c>
      <c r="G11" s="118" t="n">
        <v>8.029999999999999</v>
      </c>
      <c r="H11" s="124" t="n">
        <v>7.24</v>
      </c>
      <c r="I11" s="120" t="n">
        <v>7.73</v>
      </c>
      <c r="J11" s="91" t="n">
        <v>7.79</v>
      </c>
      <c r="K11" s="92" t="inlineStr">
        <is>
          <t>B+</t>
        </is>
      </c>
      <c r="L11" s="121" t="inlineStr">
        <is>
          <t>B+</t>
        </is>
      </c>
      <c r="M11" s="122" t="inlineStr">
        <is>
          <t>B+</t>
        </is>
      </c>
      <c r="N11" s="66">
        <f>TRUNC(AVERAGE(D11:J11),2)</f>
        <v/>
      </c>
      <c r="O11" s="93" t="inlineStr">
        <is>
          <t>S</t>
        </is>
      </c>
      <c r="P11" s="43" t="inlineStr">
        <is>
          <t>PROMOVIDO</t>
        </is>
      </c>
    </row>
    <row r="12" ht="15" customHeight="1" s="225">
      <c r="A12" s="84" t="n">
        <v>6</v>
      </c>
      <c r="B12" s="457" t="inlineStr">
        <is>
          <t>BONILLA CANDO PAULA GABRIELA</t>
        </is>
      </c>
      <c r="C12" s="85" t="n"/>
      <c r="D12" s="463" t="n">
        <v>9.279999999999999</v>
      </c>
      <c r="E12" s="86" t="n">
        <v>8.279999999999999</v>
      </c>
      <c r="F12" s="117" t="n">
        <v>8.83</v>
      </c>
      <c r="G12" s="458" t="n">
        <v>8.880000000000001</v>
      </c>
      <c r="H12" s="464" t="n">
        <v>9.25</v>
      </c>
      <c r="I12" s="120" t="n">
        <v>9.02</v>
      </c>
      <c r="J12" s="91" t="n">
        <v>9.26</v>
      </c>
      <c r="K12" s="92" t="inlineStr">
        <is>
          <t>A-</t>
        </is>
      </c>
      <c r="L12" s="121" t="inlineStr">
        <is>
          <t>A+</t>
        </is>
      </c>
      <c r="M12" s="122" t="inlineStr">
        <is>
          <t>A+</t>
        </is>
      </c>
      <c r="N12" s="458">
        <f>TRUNC(AVERAGE(D12:J12),2)</f>
        <v/>
      </c>
      <c r="O12" s="93" t="inlineStr">
        <is>
          <t>S</t>
        </is>
      </c>
      <c r="P12" s="43" t="inlineStr">
        <is>
          <t>PROMOVIDO</t>
        </is>
      </c>
    </row>
    <row r="13" ht="15" customHeight="1" s="225">
      <c r="A13" s="84" t="n">
        <v>7</v>
      </c>
      <c r="B13" s="457" t="inlineStr">
        <is>
          <t>CACHIGUANGO PINEDA JOSTYN DIDIER</t>
        </is>
      </c>
      <c r="C13" s="85" t="n"/>
      <c r="D13" s="463" t="n">
        <v>7.96</v>
      </c>
      <c r="E13" s="105" t="n">
        <v>7.09</v>
      </c>
      <c r="F13" s="117" t="n">
        <v>7.06</v>
      </c>
      <c r="G13" s="458" t="n">
        <v>8.35</v>
      </c>
      <c r="H13" s="464" t="n">
        <v>8.17</v>
      </c>
      <c r="I13" s="120" t="n">
        <v>7.53</v>
      </c>
      <c r="J13" s="91" t="n">
        <v>7.57</v>
      </c>
      <c r="K13" s="92" t="inlineStr">
        <is>
          <t>B+</t>
        </is>
      </c>
      <c r="L13" s="121" t="inlineStr">
        <is>
          <t>A-</t>
        </is>
      </c>
      <c r="M13" s="122" t="inlineStr">
        <is>
          <t>A-</t>
        </is>
      </c>
      <c r="N13" s="458">
        <f>TRUNC(AVERAGE(D13:J13),2)</f>
        <v/>
      </c>
      <c r="O13" s="93" t="inlineStr">
        <is>
          <t>S</t>
        </is>
      </c>
      <c r="P13" s="43" t="inlineStr">
        <is>
          <t>PROMOVIDO</t>
        </is>
      </c>
    </row>
    <row r="14" ht="15" customHeight="1" s="225">
      <c r="A14" s="84" t="n">
        <v>8</v>
      </c>
      <c r="B14" s="457" t="inlineStr">
        <is>
          <t>CALLE HURTADO CRISTOBAL SEBASTIAN</t>
        </is>
      </c>
      <c r="C14" s="85" t="n"/>
      <c r="D14" s="116" t="n">
        <v>7.32</v>
      </c>
      <c r="E14" s="86" t="n">
        <v>7.59</v>
      </c>
      <c r="F14" s="123" t="n">
        <v>7.01</v>
      </c>
      <c r="G14" s="458" t="n">
        <v>7.65</v>
      </c>
      <c r="H14" s="464" t="n">
        <v>7.78</v>
      </c>
      <c r="I14" s="458" t="n">
        <v>7.86</v>
      </c>
      <c r="J14" s="91" t="n">
        <v>8.07</v>
      </c>
      <c r="K14" s="92" t="inlineStr">
        <is>
          <t>A-</t>
        </is>
      </c>
      <c r="L14" s="121" t="inlineStr">
        <is>
          <t>B-</t>
        </is>
      </c>
      <c r="M14" s="122" t="inlineStr">
        <is>
          <t>A-</t>
        </is>
      </c>
      <c r="N14" s="458">
        <f>TRUNC(AVERAGE(D14:J14),2)</f>
        <v/>
      </c>
      <c r="O14" s="93" t="inlineStr">
        <is>
          <t>F</t>
        </is>
      </c>
      <c r="P14" s="43" t="inlineStr">
        <is>
          <t>PROMOVIDO</t>
        </is>
      </c>
    </row>
    <row r="15" ht="15" customHeight="1" s="225">
      <c r="A15" s="84" t="n">
        <v>9</v>
      </c>
      <c r="B15" s="457" t="inlineStr">
        <is>
          <t>CALLE SALTO MONICA ALEXANDRA</t>
        </is>
      </c>
      <c r="C15" s="85" t="n"/>
      <c r="D15" s="463" t="n">
        <v>7.84</v>
      </c>
      <c r="E15" s="86" t="n">
        <v>7.8</v>
      </c>
      <c r="F15" s="117" t="n">
        <v>7.58</v>
      </c>
      <c r="G15" s="458" t="n">
        <v>8.85</v>
      </c>
      <c r="H15" s="124" t="n">
        <v>7.92</v>
      </c>
      <c r="I15" s="120" t="n">
        <v>8.220000000000001</v>
      </c>
      <c r="J15" s="91" t="n">
        <v>8.58</v>
      </c>
      <c r="K15" s="92" t="inlineStr">
        <is>
          <t>A-</t>
        </is>
      </c>
      <c r="L15" s="121" t="inlineStr">
        <is>
          <t>A-</t>
        </is>
      </c>
      <c r="M15" s="122" t="inlineStr">
        <is>
          <t>A-</t>
        </is>
      </c>
      <c r="N15" s="458">
        <f>TRUNC(AVERAGE(D15:J15),2)</f>
        <v/>
      </c>
      <c r="O15" s="93" t="inlineStr">
        <is>
          <t>S</t>
        </is>
      </c>
      <c r="P15" s="43" t="inlineStr">
        <is>
          <t>PROMOVIDO</t>
        </is>
      </c>
    </row>
    <row r="16" ht="15" customHeight="1" s="225">
      <c r="A16" s="84" t="n">
        <v>10</v>
      </c>
      <c r="B16" s="457" t="inlineStr">
        <is>
          <t>CAMPOVERDE CARDENAS JOSUE ISRAEL</t>
        </is>
      </c>
      <c r="C16" s="85" t="n"/>
      <c r="D16" s="463" t="n">
        <v>7.62</v>
      </c>
      <c r="E16" s="86" t="n">
        <v>7.39</v>
      </c>
      <c r="F16" s="117" t="n">
        <v>7.02</v>
      </c>
      <c r="G16" s="458" t="n">
        <v>8.630000000000001</v>
      </c>
      <c r="H16" s="124" t="n">
        <v>7.34</v>
      </c>
      <c r="I16" s="120" t="n">
        <v>7.14</v>
      </c>
      <c r="J16" s="91" t="n">
        <v>7.31</v>
      </c>
      <c r="K16" s="92" t="inlineStr">
        <is>
          <t>B+</t>
        </is>
      </c>
      <c r="L16" s="121" t="inlineStr">
        <is>
          <t>B-</t>
        </is>
      </c>
      <c r="M16" s="122" t="inlineStr">
        <is>
          <t>A-</t>
        </is>
      </c>
      <c r="N16" s="66">
        <f>TRUNC(AVERAGE(D16:J16),2)</f>
        <v/>
      </c>
      <c r="O16" s="93" t="inlineStr">
        <is>
          <t>F</t>
        </is>
      </c>
      <c r="P16" s="43" t="inlineStr">
        <is>
          <t>PROMOVIDO</t>
        </is>
      </c>
    </row>
    <row r="17" ht="15" customHeight="1" s="225">
      <c r="A17" s="84" t="n">
        <v>11</v>
      </c>
      <c r="B17" s="457" t="inlineStr">
        <is>
          <t>CARDENAS ZARATE AMY DAMARIS</t>
        </is>
      </c>
      <c r="C17" s="85" t="n"/>
      <c r="D17" s="463" t="n">
        <v>8.59</v>
      </c>
      <c r="E17" s="105" t="n">
        <v>8.109999999999999</v>
      </c>
      <c r="F17" s="117" t="n">
        <v>8.58</v>
      </c>
      <c r="G17" s="458" t="n">
        <v>8.15</v>
      </c>
      <c r="H17" s="124" t="n">
        <v>8.76</v>
      </c>
      <c r="I17" s="120" t="n">
        <v>8.74</v>
      </c>
      <c r="J17" s="91" t="n">
        <v>8.94</v>
      </c>
      <c r="K17" s="92" t="inlineStr">
        <is>
          <t>A-</t>
        </is>
      </c>
      <c r="L17" s="121" t="inlineStr">
        <is>
          <t>A-</t>
        </is>
      </c>
      <c r="M17" s="122" t="inlineStr">
        <is>
          <t>A-</t>
        </is>
      </c>
      <c r="N17" s="458">
        <f>TRUNC(AVERAGE(D17:J17),2)</f>
        <v/>
      </c>
      <c r="O17" s="93" t="inlineStr">
        <is>
          <t>S</t>
        </is>
      </c>
      <c r="P17" s="43" t="inlineStr">
        <is>
          <t>PROMOVIDO</t>
        </is>
      </c>
    </row>
    <row r="18" ht="15" customHeight="1" s="225">
      <c r="A18" s="84" t="n">
        <v>12</v>
      </c>
      <c r="B18" s="457" t="inlineStr">
        <is>
          <t>CRUZ LALVAY CRISTOPHER MATIAS</t>
        </is>
      </c>
      <c r="C18" s="85" t="n"/>
      <c r="D18" s="463" t="n">
        <v>8.289999999999999</v>
      </c>
      <c r="E18" s="105" t="n">
        <v>7</v>
      </c>
      <c r="F18" s="123" t="n">
        <v>7</v>
      </c>
      <c r="G18" s="458" t="n">
        <v>7.32</v>
      </c>
      <c r="H18" s="124" t="n">
        <v>7.36</v>
      </c>
      <c r="I18" s="120" t="n">
        <v>7.66</v>
      </c>
      <c r="J18" s="91" t="n">
        <v>7.29</v>
      </c>
      <c r="K18" s="92" t="inlineStr">
        <is>
          <t>A-</t>
        </is>
      </c>
      <c r="L18" s="121" t="inlineStr">
        <is>
          <t>B+</t>
        </is>
      </c>
      <c r="M18" s="122" t="inlineStr">
        <is>
          <t>B+</t>
        </is>
      </c>
      <c r="N18" s="458">
        <f>TRUNC(AVERAGE(D18:J18),2)</f>
        <v/>
      </c>
      <c r="O18" s="93" t="inlineStr">
        <is>
          <t>S</t>
        </is>
      </c>
      <c r="P18" s="43" t="inlineStr">
        <is>
          <t>PROMOVIDO</t>
        </is>
      </c>
    </row>
    <row r="19" ht="15" customHeight="1" s="225">
      <c r="A19" s="84" t="n">
        <v>13</v>
      </c>
      <c r="B19" s="457" t="inlineStr">
        <is>
          <t>CRUZ TORRES MELANIE NICOLE</t>
        </is>
      </c>
      <c r="C19" s="85" t="n"/>
      <c r="D19" s="463" t="n">
        <v>8.09</v>
      </c>
      <c r="E19" s="86" t="n">
        <v>7.92</v>
      </c>
      <c r="F19" s="123" t="n">
        <v>7.3</v>
      </c>
      <c r="G19" s="458" t="n">
        <v>9.26</v>
      </c>
      <c r="H19" s="124" t="n">
        <v>9.27</v>
      </c>
      <c r="I19" s="120" t="n">
        <v>8.74</v>
      </c>
      <c r="J19" s="91" t="n">
        <v>8.4</v>
      </c>
      <c r="K19" s="92" t="inlineStr">
        <is>
          <t>B+</t>
        </is>
      </c>
      <c r="L19" s="121" t="inlineStr">
        <is>
          <t>B+</t>
        </is>
      </c>
      <c r="M19" s="122" t="inlineStr">
        <is>
          <t>A+</t>
        </is>
      </c>
      <c r="N19" s="458">
        <f>TRUNC(AVERAGE(D19:J19),2)</f>
        <v/>
      </c>
      <c r="O19" s="93" t="inlineStr">
        <is>
          <t>S</t>
        </is>
      </c>
      <c r="P19" s="43" t="inlineStr">
        <is>
          <t>PROMOVIDO</t>
        </is>
      </c>
    </row>
    <row r="20" ht="15" customHeight="1" s="225">
      <c r="A20" s="84" t="n">
        <v>14</v>
      </c>
      <c r="B20" s="457" t="inlineStr">
        <is>
          <t>ENRIQUEZ CAJAMARCA ELVIS LEONARDO</t>
        </is>
      </c>
      <c r="C20" s="85" t="n"/>
      <c r="D20" s="463" t="n">
        <v>8.789999999999999</v>
      </c>
      <c r="E20" s="86" t="n">
        <v>9.32</v>
      </c>
      <c r="F20" s="117" t="n">
        <v>8.460000000000001</v>
      </c>
      <c r="G20" s="458" t="n">
        <v>8.859999999999999</v>
      </c>
      <c r="H20" s="124" t="n">
        <v>8.81</v>
      </c>
      <c r="I20" s="120" t="n">
        <v>9.130000000000001</v>
      </c>
      <c r="J20" s="91" t="n">
        <v>9.029999999999999</v>
      </c>
      <c r="K20" s="92" t="inlineStr">
        <is>
          <t>A-</t>
        </is>
      </c>
      <c r="L20" s="121" t="inlineStr">
        <is>
          <t>A+</t>
        </is>
      </c>
      <c r="M20" s="122" t="inlineStr">
        <is>
          <t>A+</t>
        </is>
      </c>
      <c r="N20" s="458">
        <f>TRUNC(AVERAGE(D20:J20),2)</f>
        <v/>
      </c>
      <c r="O20" s="93" t="inlineStr">
        <is>
          <t>F</t>
        </is>
      </c>
      <c r="P20" s="43" t="inlineStr">
        <is>
          <t>PROMOVIDO</t>
        </is>
      </c>
    </row>
    <row r="21" ht="15" customHeight="1" s="225">
      <c r="A21" s="84" t="n">
        <v>15</v>
      </c>
      <c r="B21" s="457" t="inlineStr">
        <is>
          <t>FAJARDO SALINAS PAULA ALEJANDRA</t>
        </is>
      </c>
      <c r="C21" s="85" t="n"/>
      <c r="D21" s="463" t="n">
        <v>9.19</v>
      </c>
      <c r="E21" s="86" t="n">
        <v>8.17</v>
      </c>
      <c r="F21" s="117" t="n">
        <v>8.01</v>
      </c>
      <c r="G21" s="458" t="n">
        <v>7.82</v>
      </c>
      <c r="H21" s="124" t="n">
        <v>9.17</v>
      </c>
      <c r="I21" s="120" t="n">
        <v>8.800000000000001</v>
      </c>
      <c r="J21" s="91" t="n">
        <v>8.74</v>
      </c>
      <c r="K21" s="92" t="inlineStr">
        <is>
          <t>A-</t>
        </is>
      </c>
      <c r="L21" s="121" t="inlineStr">
        <is>
          <t>A+</t>
        </is>
      </c>
      <c r="M21" s="122" t="inlineStr">
        <is>
          <t>A+</t>
        </is>
      </c>
      <c r="N21" s="458">
        <f>TRUNC(AVERAGE(D21:J21),2)</f>
        <v/>
      </c>
      <c r="O21" s="93" t="inlineStr">
        <is>
          <t>S</t>
        </is>
      </c>
      <c r="P21" s="43" t="inlineStr">
        <is>
          <t>PROMOVIDO</t>
        </is>
      </c>
    </row>
    <row r="22" ht="15" customHeight="1" s="225">
      <c r="A22" s="84" t="n">
        <v>16</v>
      </c>
      <c r="B22" s="457" t="inlineStr">
        <is>
          <t>FLORES QUINTUÑA ANDERSON JOEL</t>
        </is>
      </c>
      <c r="C22" s="85" t="n"/>
      <c r="D22" s="463" t="n">
        <v>7.85</v>
      </c>
      <c r="E22" s="465" t="n">
        <v>7.06</v>
      </c>
      <c r="F22" s="117" t="n">
        <v>7.2</v>
      </c>
      <c r="G22" s="458" t="n">
        <v>8.25</v>
      </c>
      <c r="H22" s="124" t="n">
        <v>8.31</v>
      </c>
      <c r="I22" s="120" t="n">
        <v>7.29</v>
      </c>
      <c r="J22" s="91" t="n">
        <v>7.61</v>
      </c>
      <c r="K22" s="92" t="inlineStr">
        <is>
          <t>B+</t>
        </is>
      </c>
      <c r="L22" s="121" t="inlineStr">
        <is>
          <t>B+</t>
        </is>
      </c>
      <c r="M22" s="122" t="inlineStr">
        <is>
          <t>B+</t>
        </is>
      </c>
      <c r="N22" s="458">
        <f>TRUNC(AVERAGE(D22:J22),2)</f>
        <v/>
      </c>
      <c r="O22" s="93" t="inlineStr">
        <is>
          <t>F</t>
        </is>
      </c>
      <c r="P22" s="43" t="inlineStr">
        <is>
          <t>PROMOVIDO</t>
        </is>
      </c>
    </row>
    <row r="23" ht="15" customHeight="1" s="225">
      <c r="A23" s="84" t="n">
        <v>17</v>
      </c>
      <c r="B23" s="457" t="inlineStr">
        <is>
          <t>GUANUQUIZA PERALTA ARIEL SANTIAGO</t>
        </is>
      </c>
      <c r="C23" s="85" t="n"/>
      <c r="D23" s="463" t="n">
        <v>7.9</v>
      </c>
      <c r="E23" s="86" t="n">
        <v>8.66</v>
      </c>
      <c r="F23" s="117" t="n">
        <v>7.3</v>
      </c>
      <c r="G23" s="118" t="n">
        <v>9</v>
      </c>
      <c r="H23" s="124" t="n">
        <v>9.33</v>
      </c>
      <c r="I23" s="120" t="n">
        <v>8.43</v>
      </c>
      <c r="J23" s="91" t="n">
        <v>8.76</v>
      </c>
      <c r="K23" s="92" t="inlineStr">
        <is>
          <t>A-</t>
        </is>
      </c>
      <c r="L23" s="121" t="inlineStr">
        <is>
          <t>A+</t>
        </is>
      </c>
      <c r="M23" s="122" t="inlineStr">
        <is>
          <t>A+</t>
        </is>
      </c>
      <c r="N23" s="458">
        <f>TRUNC(AVERAGE(D23:J23),2)</f>
        <v/>
      </c>
      <c r="O23" s="93" t="inlineStr">
        <is>
          <t>S</t>
        </is>
      </c>
      <c r="P23" s="43" t="inlineStr">
        <is>
          <t>PROMOVIDO</t>
        </is>
      </c>
    </row>
    <row r="24" ht="15" customHeight="1" s="225">
      <c r="A24" s="84" t="n">
        <v>18</v>
      </c>
      <c r="B24" s="457" t="inlineStr">
        <is>
          <t>GUERRERO CUN YAMILETH DE LOS ANGELES</t>
        </is>
      </c>
      <c r="C24" s="85" t="n"/>
      <c r="D24" s="463" t="n">
        <v>8.08</v>
      </c>
      <c r="E24" s="86" t="n">
        <v>7.91</v>
      </c>
      <c r="F24" s="123" t="n">
        <v>7.48</v>
      </c>
      <c r="G24" s="458" t="n">
        <v>8.140000000000001</v>
      </c>
      <c r="H24" s="124" t="n">
        <v>7.96</v>
      </c>
      <c r="I24" s="120" t="n">
        <v>8.449999999999999</v>
      </c>
      <c r="J24" s="91" t="n">
        <v>8.550000000000001</v>
      </c>
      <c r="K24" s="92" t="inlineStr">
        <is>
          <t>A-</t>
        </is>
      </c>
      <c r="L24" s="121" t="inlineStr">
        <is>
          <t>A-</t>
        </is>
      </c>
      <c r="M24" s="122" t="inlineStr">
        <is>
          <t>A-</t>
        </is>
      </c>
      <c r="N24" s="66">
        <f>TRUNC(AVERAGE(D24:J24),2)</f>
        <v/>
      </c>
      <c r="O24" s="93" t="inlineStr">
        <is>
          <t>S</t>
        </is>
      </c>
      <c r="P24" s="43" t="inlineStr">
        <is>
          <t>PROMOVIDO</t>
        </is>
      </c>
    </row>
    <row r="25" ht="15" customHeight="1" s="225">
      <c r="A25" s="84" t="n">
        <v>19</v>
      </c>
      <c r="B25" s="457" t="inlineStr">
        <is>
          <t>ILLESCAS CAÑAR DANNY ISMAEL</t>
        </is>
      </c>
      <c r="C25" s="85" t="n"/>
      <c r="D25" s="463" t="n">
        <v>7.35</v>
      </c>
      <c r="E25" s="105" t="n">
        <v>7.08</v>
      </c>
      <c r="F25" s="117" t="n">
        <v>7.05</v>
      </c>
      <c r="G25" s="458" t="n">
        <v>7.29</v>
      </c>
      <c r="H25" s="124" t="n">
        <v>7.35</v>
      </c>
      <c r="I25" s="120" t="n">
        <v>7.39</v>
      </c>
      <c r="J25" s="91" t="n">
        <v>7.46</v>
      </c>
      <c r="K25" s="92" t="inlineStr">
        <is>
          <t>A-</t>
        </is>
      </c>
      <c r="L25" s="121" t="inlineStr">
        <is>
          <t>B-</t>
        </is>
      </c>
      <c r="M25" s="122" t="inlineStr">
        <is>
          <t>B+</t>
        </is>
      </c>
      <c r="N25" s="458">
        <f>TRUNC(AVERAGE(D25:J25),2)</f>
        <v/>
      </c>
      <c r="O25" s="93" t="inlineStr">
        <is>
          <t>O</t>
        </is>
      </c>
      <c r="P25" s="43" t="inlineStr">
        <is>
          <t>PROMOVIDO</t>
        </is>
      </c>
    </row>
    <row r="26" ht="15" customHeight="1" s="225">
      <c r="A26" s="84" t="n">
        <v>20</v>
      </c>
      <c r="B26" s="457" t="inlineStr">
        <is>
          <t>JIMENEZ CUMBE ELVIS ARIEL</t>
        </is>
      </c>
      <c r="C26" s="85" t="n"/>
      <c r="D26" s="463" t="n">
        <v>7.2</v>
      </c>
      <c r="E26" s="105" t="n">
        <v>7</v>
      </c>
      <c r="F26" s="117" t="n">
        <v>7</v>
      </c>
      <c r="G26" s="458" t="n">
        <v>7.32</v>
      </c>
      <c r="H26" s="124" t="n">
        <v>7</v>
      </c>
      <c r="I26" s="120" t="n">
        <v>7.02</v>
      </c>
      <c r="J26" s="91" t="n">
        <v>7.01</v>
      </c>
      <c r="K26" s="92" t="inlineStr">
        <is>
          <t>B-</t>
        </is>
      </c>
      <c r="L26" s="121" t="inlineStr">
        <is>
          <t>B-</t>
        </is>
      </c>
      <c r="M26" s="122" t="inlineStr">
        <is>
          <t>B+</t>
        </is>
      </c>
      <c r="N26" s="66">
        <f>TRUNC(AVERAGE(D26:J26),2)</f>
        <v/>
      </c>
      <c r="O26" s="93" t="inlineStr">
        <is>
          <t>F</t>
        </is>
      </c>
      <c r="P26" s="43" t="inlineStr">
        <is>
          <t>PROMOVIDO</t>
        </is>
      </c>
    </row>
    <row r="27" ht="18" customHeight="1" s="225">
      <c r="A27" s="84" t="n">
        <v>21</v>
      </c>
      <c r="B27" s="457" t="inlineStr">
        <is>
          <t>LEMA SANISACA MATIAS SEBASTIAN</t>
        </is>
      </c>
      <c r="C27" s="85" t="n"/>
      <c r="D27" s="463" t="n">
        <v>7.5</v>
      </c>
      <c r="E27" s="105" t="n">
        <v>7.29</v>
      </c>
      <c r="F27" s="123" t="n">
        <v>7.57</v>
      </c>
      <c r="G27" s="458" t="n">
        <v>8.91</v>
      </c>
      <c r="H27" s="124" t="n">
        <v>8.01</v>
      </c>
      <c r="I27" s="120" t="n">
        <v>7.42</v>
      </c>
      <c r="J27" s="91" t="n">
        <v>7.95</v>
      </c>
      <c r="K27" s="92" t="inlineStr">
        <is>
          <t>B+</t>
        </is>
      </c>
      <c r="L27" s="121" t="inlineStr">
        <is>
          <t>B+</t>
        </is>
      </c>
      <c r="M27" s="122" t="inlineStr">
        <is>
          <t>A-</t>
        </is>
      </c>
      <c r="N27" s="458">
        <f>TRUNC(AVERAGE(D27:J27),2)</f>
        <v/>
      </c>
      <c r="O27" s="93" t="inlineStr">
        <is>
          <t>F</t>
        </is>
      </c>
      <c r="P27" s="43" t="inlineStr">
        <is>
          <t>PROMOVIDO</t>
        </is>
      </c>
    </row>
    <row r="28" ht="15" customHeight="1" s="225">
      <c r="A28" s="84" t="n">
        <v>22</v>
      </c>
      <c r="B28" s="457" t="inlineStr">
        <is>
          <t>LLIVICHUZHCA MENDOZA JORGE LUIS</t>
        </is>
      </c>
      <c r="C28" s="85" t="n"/>
      <c r="D28" s="463" t="n">
        <v>8.029999999999999</v>
      </c>
      <c r="E28" s="86" t="n">
        <v>7.14</v>
      </c>
      <c r="F28" s="117" t="n">
        <v>7.38</v>
      </c>
      <c r="G28" s="118" t="n">
        <v>9.01</v>
      </c>
      <c r="H28" s="124" t="n">
        <v>8.16</v>
      </c>
      <c r="I28" s="120" t="n">
        <v>8.4</v>
      </c>
      <c r="J28" s="91" t="n">
        <v>8.24</v>
      </c>
      <c r="K28" s="92" t="inlineStr">
        <is>
          <t>A-</t>
        </is>
      </c>
      <c r="L28" s="121" t="inlineStr">
        <is>
          <t>A-</t>
        </is>
      </c>
      <c r="M28" s="122" t="inlineStr">
        <is>
          <t>A-</t>
        </is>
      </c>
      <c r="N28" s="458">
        <f>TRUNC(AVERAGE(D28:J28),2)</f>
        <v/>
      </c>
      <c r="O28" s="93" t="inlineStr">
        <is>
          <t>S</t>
        </is>
      </c>
      <c r="P28" s="43" t="inlineStr">
        <is>
          <t>PROMOVIDO</t>
        </is>
      </c>
    </row>
    <row r="29" ht="18" customHeight="1" s="225">
      <c r="A29" s="84" t="n">
        <v>23</v>
      </c>
      <c r="B29" s="457" t="inlineStr">
        <is>
          <t>MATUTE GUTAMA ANTONI MATEO</t>
        </is>
      </c>
      <c r="C29" s="85" t="n"/>
      <c r="D29" s="463" t="n">
        <v>8.800000000000001</v>
      </c>
      <c r="E29" s="86" t="n">
        <v>7.87</v>
      </c>
      <c r="F29" s="123" t="n">
        <v>7.67</v>
      </c>
      <c r="G29" s="458" t="n">
        <v>8.24</v>
      </c>
      <c r="H29" s="124" t="n">
        <v>8.67</v>
      </c>
      <c r="I29" s="120" t="n">
        <v>8.460000000000001</v>
      </c>
      <c r="J29" s="91" t="n">
        <v>8.18</v>
      </c>
      <c r="K29" s="92" t="inlineStr">
        <is>
          <t>A-</t>
        </is>
      </c>
      <c r="L29" s="121" t="inlineStr">
        <is>
          <t>A-</t>
        </is>
      </c>
      <c r="M29" s="122" t="inlineStr">
        <is>
          <t>A-</t>
        </is>
      </c>
      <c r="N29" s="458">
        <f>TRUNC(AVERAGE(D29:J29),2)</f>
        <v/>
      </c>
      <c r="O29" s="93" t="inlineStr">
        <is>
          <t>S</t>
        </is>
      </c>
      <c r="P29" s="43" t="inlineStr">
        <is>
          <t>PROMOVIDO</t>
        </is>
      </c>
    </row>
    <row r="30" ht="15" customHeight="1" s="225">
      <c r="A30" s="84" t="n">
        <v>24</v>
      </c>
      <c r="B30" s="457" t="inlineStr">
        <is>
          <t>MEJIA VALDEZ JOSELINE NATHALY</t>
        </is>
      </c>
      <c r="C30" s="85" t="n"/>
      <c r="D30" s="463" t="n">
        <v>8.17</v>
      </c>
      <c r="E30" s="86" t="n">
        <v>7.17</v>
      </c>
      <c r="F30" s="117" t="n">
        <v>7</v>
      </c>
      <c r="G30" s="458" t="n">
        <v>8.98</v>
      </c>
      <c r="H30" s="124" t="n">
        <v>7.16</v>
      </c>
      <c r="I30" s="120" t="n">
        <v>7.35</v>
      </c>
      <c r="J30" s="91" t="n">
        <v>7.4</v>
      </c>
      <c r="K30" s="92" t="inlineStr">
        <is>
          <t>A-</t>
        </is>
      </c>
      <c r="L30" s="121" t="inlineStr">
        <is>
          <t>A-</t>
        </is>
      </c>
      <c r="M30" s="122" t="inlineStr">
        <is>
          <t>A-</t>
        </is>
      </c>
      <c r="N30" s="458">
        <f>TRUNC(AVERAGE(D30:J30),2)</f>
        <v/>
      </c>
      <c r="O30" s="93" t="inlineStr">
        <is>
          <t>S</t>
        </is>
      </c>
      <c r="P30" s="43" t="inlineStr">
        <is>
          <t>PROMOVIDO</t>
        </is>
      </c>
    </row>
    <row r="31" ht="15" customHeight="1" s="225">
      <c r="A31" s="84" t="n">
        <v>25</v>
      </c>
      <c r="B31" s="457" t="inlineStr">
        <is>
          <t>MENDEZ ORDOÑEZ EMILY JAYLIN</t>
        </is>
      </c>
      <c r="C31" s="85" t="n"/>
      <c r="D31" s="463" t="n">
        <v>8.710000000000001</v>
      </c>
      <c r="E31" s="86" t="n">
        <v>8.35</v>
      </c>
      <c r="F31" s="117" t="n">
        <v>8.460000000000001</v>
      </c>
      <c r="G31" s="118" t="n">
        <v>9.17</v>
      </c>
      <c r="H31" s="124" t="n">
        <v>8.84</v>
      </c>
      <c r="I31" s="120" t="n">
        <v>8.619999999999999</v>
      </c>
      <c r="J31" s="91" t="n">
        <v>9.119999999999999</v>
      </c>
      <c r="K31" s="92" t="inlineStr">
        <is>
          <t>A-</t>
        </is>
      </c>
      <c r="L31" s="121" t="inlineStr">
        <is>
          <t>A+</t>
        </is>
      </c>
      <c r="M31" s="122" t="inlineStr">
        <is>
          <t>A+</t>
        </is>
      </c>
      <c r="N31" s="458">
        <f>TRUNC(AVERAGE(D31:J31),2)</f>
        <v/>
      </c>
      <c r="O31" s="93" t="inlineStr">
        <is>
          <t>S</t>
        </is>
      </c>
      <c r="P31" s="43" t="inlineStr">
        <is>
          <t>PROMOVIDO</t>
        </is>
      </c>
    </row>
    <row r="32" ht="15" customHeight="1" s="225">
      <c r="A32" s="84" t="n">
        <v>26</v>
      </c>
      <c r="B32" s="457" t="inlineStr">
        <is>
          <t>MICHAY AVILA DAYANA NICOL</t>
        </is>
      </c>
      <c r="C32" s="85" t="n"/>
      <c r="D32" s="463" t="n">
        <v>9.460000000000001</v>
      </c>
      <c r="E32" s="105" t="n">
        <v>9.07</v>
      </c>
      <c r="F32" s="466" t="n">
        <v>9.48</v>
      </c>
      <c r="G32" s="458" t="n">
        <v>9.359999999999999</v>
      </c>
      <c r="H32" s="124" t="n">
        <v>9.92</v>
      </c>
      <c r="I32" s="120" t="n">
        <v>9.82</v>
      </c>
      <c r="J32" s="91" t="n">
        <v>9.52</v>
      </c>
      <c r="K32" s="92" t="inlineStr">
        <is>
          <t>A+</t>
        </is>
      </c>
      <c r="L32" s="121" t="inlineStr">
        <is>
          <t>A+</t>
        </is>
      </c>
      <c r="M32" s="122" t="inlineStr">
        <is>
          <t>A+</t>
        </is>
      </c>
      <c r="N32" s="66">
        <f>TRUNC(AVERAGE(D32:J32),2)</f>
        <v/>
      </c>
      <c r="O32" s="93" t="inlineStr">
        <is>
          <t>S</t>
        </is>
      </c>
      <c r="P32" s="43" t="inlineStr">
        <is>
          <t>PROMOVIDO</t>
        </is>
      </c>
    </row>
    <row r="33" ht="15" customHeight="1" s="225">
      <c r="A33" s="84" t="n">
        <v>27</v>
      </c>
      <c r="B33" s="457" t="inlineStr">
        <is>
          <t>MICHAY AVILA JAIME ENRIQUE</t>
        </is>
      </c>
      <c r="C33" s="85" t="n"/>
      <c r="D33" s="463" t="n">
        <v>9.050000000000001</v>
      </c>
      <c r="E33" s="86" t="n">
        <v>7.84</v>
      </c>
      <c r="F33" s="123" t="n">
        <v>8.93</v>
      </c>
      <c r="G33" s="458" t="n">
        <v>7.89</v>
      </c>
      <c r="H33" s="124" t="n">
        <v>8.289999999999999</v>
      </c>
      <c r="I33" s="120" t="n">
        <v>8.890000000000001</v>
      </c>
      <c r="J33" s="91" t="n">
        <v>9.26</v>
      </c>
      <c r="K33" s="92" t="inlineStr">
        <is>
          <t>A-</t>
        </is>
      </c>
      <c r="L33" s="121" t="inlineStr">
        <is>
          <t>A+</t>
        </is>
      </c>
      <c r="M33" s="122" t="inlineStr">
        <is>
          <t>A+</t>
        </is>
      </c>
      <c r="N33" s="458">
        <f>TRUNC(AVERAGE(D33:J33),2)</f>
        <v/>
      </c>
      <c r="O33" s="93" t="inlineStr">
        <is>
          <t>S</t>
        </is>
      </c>
      <c r="P33" s="43" t="inlineStr">
        <is>
          <t>PROMOVIDO</t>
        </is>
      </c>
    </row>
    <row r="34" ht="15" customHeight="1" s="225">
      <c r="A34" s="84" t="n">
        <v>28</v>
      </c>
      <c r="B34" s="457" t="inlineStr">
        <is>
          <t>NIOLA ALBANCANDO ESTRELLA ESTEFANIA</t>
        </is>
      </c>
      <c r="C34" s="85" t="n"/>
      <c r="D34" s="116" t="n">
        <v>8.51</v>
      </c>
      <c r="E34" s="54" t="n">
        <v>7.65</v>
      </c>
      <c r="F34" s="463" t="n">
        <v>7.05</v>
      </c>
      <c r="G34" s="458" t="n">
        <v>7.92</v>
      </c>
      <c r="H34" s="464" t="n">
        <v>8.470000000000001</v>
      </c>
      <c r="I34" s="120" t="n">
        <v>8.880000000000001</v>
      </c>
      <c r="J34" s="91" t="n">
        <v>8.390000000000001</v>
      </c>
      <c r="K34" s="92" t="inlineStr">
        <is>
          <t>A+</t>
        </is>
      </c>
      <c r="L34" s="121" t="inlineStr">
        <is>
          <t>A-</t>
        </is>
      </c>
      <c r="M34" s="122" t="inlineStr">
        <is>
          <t>A-</t>
        </is>
      </c>
      <c r="N34" s="458">
        <f>TRUNC(AVERAGE(D34:J34),2)</f>
        <v/>
      </c>
      <c r="O34" s="93" t="inlineStr">
        <is>
          <t>S</t>
        </is>
      </c>
      <c r="P34" s="43" t="inlineStr">
        <is>
          <t>PROMOVIDO</t>
        </is>
      </c>
    </row>
    <row r="35" ht="15" customHeight="1" s="225">
      <c r="A35" s="84" t="n">
        <v>29</v>
      </c>
      <c r="B35" s="457" t="inlineStr">
        <is>
          <t>OCHOA ARMIJOS STEEVEN ADRIEL</t>
        </is>
      </c>
      <c r="C35" s="85" t="n"/>
      <c r="D35" s="116" t="n">
        <v>7.18</v>
      </c>
      <c r="E35" s="86" t="n">
        <v>7</v>
      </c>
      <c r="F35" s="117" t="n">
        <v>7.2</v>
      </c>
      <c r="G35" s="458" t="n">
        <v>7.53</v>
      </c>
      <c r="H35" s="464" t="n">
        <v>7.4</v>
      </c>
      <c r="I35" s="120" t="n">
        <v>7.29</v>
      </c>
      <c r="J35" s="91" t="n">
        <v>7.25</v>
      </c>
      <c r="K35" s="92" t="inlineStr">
        <is>
          <t>B-</t>
        </is>
      </c>
      <c r="L35" s="121" t="inlineStr">
        <is>
          <t>B-</t>
        </is>
      </c>
      <c r="M35" s="122" t="inlineStr">
        <is>
          <t>B+</t>
        </is>
      </c>
      <c r="N35" s="458">
        <f>TRUNC(AVERAGE(D35:J35),2)</f>
        <v/>
      </c>
      <c r="O35" s="93" t="inlineStr">
        <is>
          <t>S</t>
        </is>
      </c>
      <c r="P35" s="43" t="inlineStr">
        <is>
          <t>PROMOVIDO</t>
        </is>
      </c>
    </row>
    <row r="36" ht="15" customHeight="1" s="225">
      <c r="A36" s="84" t="n">
        <v>30</v>
      </c>
      <c r="B36" s="457" t="inlineStr">
        <is>
          <t>ORTIZ JAMI KIMBERLY ALEXANDRA</t>
        </is>
      </c>
      <c r="C36" s="85" t="n"/>
      <c r="D36" s="116" t="n">
        <v>7.61</v>
      </c>
      <c r="E36" s="86" t="n">
        <v>7.67</v>
      </c>
      <c r="F36" s="117" t="n">
        <v>7.05</v>
      </c>
      <c r="G36" s="458" t="n">
        <v>8.18</v>
      </c>
      <c r="H36" s="464" t="n">
        <v>8.039999999999999</v>
      </c>
      <c r="I36" s="120" t="n">
        <v>7.7</v>
      </c>
      <c r="J36" s="91" t="n">
        <v>7.81</v>
      </c>
      <c r="K36" s="92" t="inlineStr">
        <is>
          <t>A-</t>
        </is>
      </c>
      <c r="L36" s="121" t="inlineStr">
        <is>
          <t>A+</t>
        </is>
      </c>
      <c r="M36" s="122" t="inlineStr">
        <is>
          <t>A+</t>
        </is>
      </c>
      <c r="N36" s="458">
        <f>TRUNC(AVERAGE(D36:J36),2)</f>
        <v/>
      </c>
      <c r="O36" s="93" t="inlineStr">
        <is>
          <t>S</t>
        </is>
      </c>
      <c r="P36" s="43" t="inlineStr">
        <is>
          <t>PROMOVIDO</t>
        </is>
      </c>
    </row>
    <row r="37" ht="15" customHeight="1" s="225">
      <c r="A37" s="84" t="n">
        <v>31</v>
      </c>
      <c r="B37" s="457" t="inlineStr">
        <is>
          <t>ORTIZ SAMANIEGO LIS FERNANDA</t>
        </is>
      </c>
      <c r="C37" s="85" t="n"/>
      <c r="D37" s="116" t="n">
        <v>8</v>
      </c>
      <c r="E37" s="86" t="n">
        <v>7.74</v>
      </c>
      <c r="F37" s="117" t="n">
        <v>7.01</v>
      </c>
      <c r="G37" s="458" t="n">
        <v>8.08</v>
      </c>
      <c r="H37" s="464" t="n">
        <v>7.72</v>
      </c>
      <c r="I37" s="120" t="n">
        <v>8.550000000000001</v>
      </c>
      <c r="J37" s="91" t="n">
        <v>8.26</v>
      </c>
      <c r="K37" s="92" t="inlineStr">
        <is>
          <t>A-</t>
        </is>
      </c>
      <c r="L37" s="121" t="inlineStr">
        <is>
          <t>A-</t>
        </is>
      </c>
      <c r="M37" s="122" t="inlineStr">
        <is>
          <t>A-</t>
        </is>
      </c>
      <c r="N37" s="66">
        <f>TRUNC(AVERAGE(D37:J37),2)</f>
        <v/>
      </c>
      <c r="O37" s="93" t="inlineStr">
        <is>
          <t>S</t>
        </is>
      </c>
      <c r="P37" s="43" t="inlineStr">
        <is>
          <t>PROMOVIDO</t>
        </is>
      </c>
    </row>
    <row r="38" ht="15" customHeight="1" s="225">
      <c r="A38" s="84" t="n">
        <v>32</v>
      </c>
      <c r="B38" s="457" t="inlineStr">
        <is>
          <t>PAÑEGA UZHCA JUSTIN ALEXANDER</t>
        </is>
      </c>
      <c r="C38" s="85" t="n"/>
      <c r="D38" s="116" t="n">
        <v>7.8</v>
      </c>
      <c r="E38" s="105" t="n">
        <v>7.03</v>
      </c>
      <c r="F38" s="123" t="n">
        <v>7.43</v>
      </c>
      <c r="G38" s="458" t="n">
        <v>8.869999999999999</v>
      </c>
      <c r="H38" s="464" t="n">
        <v>7.72</v>
      </c>
      <c r="I38" s="120" t="n">
        <v>7.66</v>
      </c>
      <c r="J38" s="91" t="n">
        <v>7.9</v>
      </c>
      <c r="K38" s="92" t="inlineStr">
        <is>
          <t>A-</t>
        </is>
      </c>
      <c r="L38" s="121" t="inlineStr">
        <is>
          <t>A-</t>
        </is>
      </c>
      <c r="M38" s="122" t="inlineStr">
        <is>
          <t>A-</t>
        </is>
      </c>
      <c r="N38" s="458">
        <f>TRUNC(AVERAGE(D38:J38),2)</f>
        <v/>
      </c>
      <c r="O38" s="93" t="inlineStr">
        <is>
          <t>S</t>
        </is>
      </c>
      <c r="P38" s="43" t="inlineStr">
        <is>
          <t>PROMOVIDO</t>
        </is>
      </c>
    </row>
    <row r="39" ht="15" customHeight="1" s="225">
      <c r="A39" s="84" t="n">
        <v>33</v>
      </c>
      <c r="B39" s="457" t="inlineStr">
        <is>
          <t>PUMA RAMON BRYAN ANTHONY</t>
        </is>
      </c>
      <c r="C39" s="85" t="n"/>
      <c r="D39" s="116" t="n">
        <v>7.46</v>
      </c>
      <c r="E39" s="458" t="n">
        <v>7</v>
      </c>
      <c r="F39" s="117" t="n">
        <v>7</v>
      </c>
      <c r="G39" s="458" t="n">
        <v>8.859999999999999</v>
      </c>
      <c r="H39" s="464" t="n">
        <v>8.640000000000001</v>
      </c>
      <c r="I39" s="120" t="n">
        <v>7.35</v>
      </c>
      <c r="J39" s="91" t="n">
        <v>7.04</v>
      </c>
      <c r="K39" s="92" t="inlineStr">
        <is>
          <t>B+</t>
        </is>
      </c>
      <c r="L39" s="121" t="inlineStr">
        <is>
          <t>B+</t>
        </is>
      </c>
      <c r="M39" s="122" t="inlineStr">
        <is>
          <t>B+</t>
        </is>
      </c>
      <c r="N39" s="458">
        <f>TRUNC(AVERAGE(D39:J39),2)</f>
        <v/>
      </c>
      <c r="O39" s="93" t="inlineStr">
        <is>
          <t>F</t>
        </is>
      </c>
      <c r="P39" s="43" t="inlineStr">
        <is>
          <t>PROMOVIDO</t>
        </is>
      </c>
    </row>
    <row r="40" ht="15.75" customHeight="1" s="225">
      <c r="A40" s="84" t="n">
        <v>34</v>
      </c>
      <c r="B40" s="457" t="inlineStr">
        <is>
          <t>QUINDE ZUMBA VALERIA ESTEFANIA</t>
        </is>
      </c>
      <c r="C40" s="85" t="n"/>
      <c r="D40" s="116" t="n">
        <v>9.52</v>
      </c>
      <c r="E40" s="86" t="n">
        <v>8.949999999999999</v>
      </c>
      <c r="F40" s="463" t="n">
        <v>7.93</v>
      </c>
      <c r="G40" s="458" t="n">
        <v>8.119999999999999</v>
      </c>
      <c r="H40" s="464" t="n">
        <v>9.52</v>
      </c>
      <c r="I40" s="120" t="n">
        <v>9.68</v>
      </c>
      <c r="J40" s="91" t="n">
        <v>9.57</v>
      </c>
      <c r="K40" s="92" t="inlineStr">
        <is>
          <t>A-</t>
        </is>
      </c>
      <c r="L40" s="121" t="inlineStr">
        <is>
          <t>A+</t>
        </is>
      </c>
      <c r="M40" s="122" t="inlineStr">
        <is>
          <t>A+</t>
        </is>
      </c>
      <c r="N40" s="458">
        <f>TRUNC(AVERAGE(D40:J40),2)</f>
        <v/>
      </c>
      <c r="O40" s="93" t="inlineStr">
        <is>
          <t>S</t>
        </is>
      </c>
      <c r="P40" s="43" t="inlineStr">
        <is>
          <t>PROMOVIDO</t>
        </is>
      </c>
    </row>
    <row r="41" ht="15" customHeight="1" s="225">
      <c r="A41" s="84" t="n">
        <v>35</v>
      </c>
      <c r="B41" s="457" t="inlineStr">
        <is>
          <t>QUIZHPI GUAMANCELA MELANY NICOLE</t>
        </is>
      </c>
      <c r="C41" s="85" t="n"/>
      <c r="D41" s="116" t="n">
        <v>9.23</v>
      </c>
      <c r="E41" s="86" t="n">
        <v>9.140000000000001</v>
      </c>
      <c r="F41" s="463" t="n">
        <v>9.539999999999999</v>
      </c>
      <c r="G41" s="458" t="n">
        <v>8.31</v>
      </c>
      <c r="H41" s="464" t="n">
        <v>9.210000000000001</v>
      </c>
      <c r="I41" s="120" t="n">
        <v>9.460000000000001</v>
      </c>
      <c r="J41" s="91" t="n">
        <v>9.31</v>
      </c>
      <c r="K41" s="92" t="inlineStr">
        <is>
          <t>A+</t>
        </is>
      </c>
      <c r="L41" s="121" t="inlineStr">
        <is>
          <t>A+</t>
        </is>
      </c>
      <c r="M41" s="122" t="inlineStr">
        <is>
          <t>A-</t>
        </is>
      </c>
      <c r="N41" s="458">
        <f>TRUNC(AVERAGE(D41:J41),2)</f>
        <v/>
      </c>
      <c r="O41" s="93" t="inlineStr">
        <is>
          <t>S</t>
        </is>
      </c>
      <c r="P41" s="43" t="inlineStr">
        <is>
          <t>PROMOVIDO</t>
        </is>
      </c>
    </row>
    <row r="42" ht="14.25" customHeight="1" s="225">
      <c r="A42" s="84" t="n">
        <v>36</v>
      </c>
      <c r="B42" s="457" t="inlineStr">
        <is>
          <t>RIVERA SALDAÑA CAROLINA ESTEFANIA</t>
        </is>
      </c>
      <c r="C42" s="85" t="n"/>
      <c r="D42" s="116" t="n">
        <v>7.6</v>
      </c>
      <c r="E42" s="86" t="n">
        <v>7.66</v>
      </c>
      <c r="F42" s="117" t="n">
        <v>8.07</v>
      </c>
      <c r="G42" s="458" t="n">
        <v>8.77</v>
      </c>
      <c r="H42" s="464" t="n">
        <v>7.86</v>
      </c>
      <c r="I42" s="120" t="n">
        <v>8.1</v>
      </c>
      <c r="J42" s="91" t="n">
        <v>8.380000000000001</v>
      </c>
      <c r="K42" s="92" t="inlineStr">
        <is>
          <t>B+</t>
        </is>
      </c>
      <c r="L42" s="121" t="inlineStr">
        <is>
          <t>B+</t>
        </is>
      </c>
      <c r="M42" s="122" t="inlineStr">
        <is>
          <t>B+</t>
        </is>
      </c>
      <c r="N42" s="458">
        <f>TRUNC(AVERAGE(D42:J42),2)</f>
        <v/>
      </c>
      <c r="O42" s="93" t="inlineStr">
        <is>
          <t>S</t>
        </is>
      </c>
      <c r="P42" s="43" t="inlineStr">
        <is>
          <t>PROMOVIDO</t>
        </is>
      </c>
    </row>
    <row r="43" ht="15" customHeight="1" s="225">
      <c r="A43" s="84" t="n">
        <v>37</v>
      </c>
      <c r="B43" s="457" t="inlineStr">
        <is>
          <t>ROSADO GUZÑAY MISHEL ESTEFANIA</t>
        </is>
      </c>
      <c r="C43" s="85" t="n"/>
      <c r="D43" s="116" t="n">
        <v>7.59</v>
      </c>
      <c r="E43" s="86" t="n">
        <v>7.35</v>
      </c>
      <c r="F43" s="117" t="n">
        <v>7.11</v>
      </c>
      <c r="G43" s="458" t="n">
        <v>8.33</v>
      </c>
      <c r="H43" s="464" t="n">
        <v>8.32</v>
      </c>
      <c r="I43" s="120" t="n">
        <v>8.91</v>
      </c>
      <c r="J43" s="91" t="n">
        <v>8.289999999999999</v>
      </c>
      <c r="K43" s="92" t="inlineStr">
        <is>
          <t>B-</t>
        </is>
      </c>
      <c r="L43" s="121" t="inlineStr">
        <is>
          <t>A-</t>
        </is>
      </c>
      <c r="M43" s="122" t="inlineStr">
        <is>
          <t>A-</t>
        </is>
      </c>
      <c r="N43" s="458">
        <f>TRUNC(AVERAGE(D43:J43),2)</f>
        <v/>
      </c>
      <c r="O43" s="93" t="inlineStr">
        <is>
          <t>S</t>
        </is>
      </c>
      <c r="P43" s="43" t="inlineStr">
        <is>
          <t>PROMOVIDO</t>
        </is>
      </c>
    </row>
    <row r="44" ht="15" customHeight="1" s="225">
      <c r="A44" s="84" t="n">
        <v>38</v>
      </c>
      <c r="B44" s="457" t="inlineStr">
        <is>
          <t>SINCHI MUÑOZ SONIA ALEXANDRA</t>
        </is>
      </c>
      <c r="C44" s="85" t="n"/>
      <c r="D44" s="116" t="n">
        <v>8.99</v>
      </c>
      <c r="E44" s="86" t="n">
        <v>8.49</v>
      </c>
      <c r="F44" s="123" t="n">
        <v>7.6</v>
      </c>
      <c r="G44" s="458" t="n">
        <v>8.33</v>
      </c>
      <c r="H44" s="464" t="n">
        <v>9.449999999999999</v>
      </c>
      <c r="I44" s="120" t="n">
        <v>9.02</v>
      </c>
      <c r="J44" s="91" t="n">
        <v>9.289999999999999</v>
      </c>
      <c r="K44" s="92" t="inlineStr">
        <is>
          <t>A-</t>
        </is>
      </c>
      <c r="L44" s="121" t="inlineStr">
        <is>
          <t>A+</t>
        </is>
      </c>
      <c r="M44" s="122" t="inlineStr">
        <is>
          <t>A+</t>
        </is>
      </c>
      <c r="N44" s="458">
        <f>TRUNC(AVERAGE(D44:J44),2)</f>
        <v/>
      </c>
      <c r="O44" s="93" t="inlineStr">
        <is>
          <t>S</t>
        </is>
      </c>
      <c r="P44" s="43" t="inlineStr">
        <is>
          <t>PROMOVIDO</t>
        </is>
      </c>
    </row>
    <row r="45" ht="15" customHeight="1" s="225">
      <c r="A45" s="84" t="n">
        <v>39</v>
      </c>
      <c r="B45" s="457" t="inlineStr">
        <is>
          <t>SONGOR BARBECHO ANGELICA GUADALUPE</t>
        </is>
      </c>
      <c r="C45" s="85" t="n"/>
      <c r="D45" s="116" t="n">
        <v>8.74</v>
      </c>
      <c r="E45" s="86" t="n">
        <v>7.75</v>
      </c>
      <c r="F45" s="117" t="n">
        <v>7.94</v>
      </c>
      <c r="G45" s="458" t="n">
        <v>9.25</v>
      </c>
      <c r="H45" s="464" t="n">
        <v>8.65</v>
      </c>
      <c r="I45" s="120" t="n">
        <v>8.91</v>
      </c>
      <c r="J45" s="91" t="n">
        <v>8.529999999999999</v>
      </c>
      <c r="K45" s="92" t="inlineStr">
        <is>
          <t>A-</t>
        </is>
      </c>
      <c r="L45" s="121" t="inlineStr">
        <is>
          <t>A-</t>
        </is>
      </c>
      <c r="M45" s="122" t="inlineStr">
        <is>
          <t>A-</t>
        </is>
      </c>
      <c r="N45" s="66">
        <f>TRUNC(AVERAGE(D45:J45),2)</f>
        <v/>
      </c>
      <c r="O45" s="93" t="inlineStr">
        <is>
          <t>S</t>
        </is>
      </c>
      <c r="P45" s="43" t="inlineStr">
        <is>
          <t>PROMOVIDO</t>
        </is>
      </c>
    </row>
    <row r="46" ht="15" customHeight="1" s="225">
      <c r="A46" s="125" t="n">
        <v>40</v>
      </c>
      <c r="B46" s="457" t="inlineStr">
        <is>
          <t>TINOCO MORENO MARCOS STALIN</t>
        </is>
      </c>
      <c r="C46" s="85" t="n"/>
      <c r="D46" s="116" t="n">
        <v>7.38</v>
      </c>
      <c r="E46" s="105" t="n">
        <v>7</v>
      </c>
      <c r="F46" s="123" t="n">
        <v>7.23</v>
      </c>
      <c r="G46" s="118" t="n">
        <v>7.63</v>
      </c>
      <c r="H46" s="464" t="n">
        <v>7.48</v>
      </c>
      <c r="I46" s="120" t="n">
        <v>7.17</v>
      </c>
      <c r="J46" s="91" t="n">
        <v>7.4</v>
      </c>
      <c r="K46" s="92" t="inlineStr">
        <is>
          <t>A-</t>
        </is>
      </c>
      <c r="L46" s="121" t="inlineStr">
        <is>
          <t>B+</t>
        </is>
      </c>
      <c r="M46" s="122" t="inlineStr">
        <is>
          <t>B+</t>
        </is>
      </c>
      <c r="N46" s="66">
        <f>TRUNC(AVERAGE(D46:J46),2)</f>
        <v/>
      </c>
      <c r="O46" s="93" t="inlineStr">
        <is>
          <t>F</t>
        </is>
      </c>
      <c r="P46" s="43" t="inlineStr">
        <is>
          <t>PROMOVIDO</t>
        </is>
      </c>
      <c r="Q46" s="126" t="n"/>
    </row>
    <row r="47" ht="15" customHeight="1" s="225">
      <c r="A47" s="29" t="n">
        <v>41</v>
      </c>
      <c r="B47" s="467" t="inlineStr">
        <is>
          <t>VIVEROS BRITO DYLAN JOSHUE</t>
        </is>
      </c>
      <c r="C47" s="128" t="n"/>
      <c r="D47" s="116" t="n">
        <v>8.529999999999999</v>
      </c>
      <c r="E47" s="86" t="n">
        <v>7.95</v>
      </c>
      <c r="F47" s="466" t="n">
        <v>7.06</v>
      </c>
      <c r="G47" s="458" t="n">
        <v>8.07</v>
      </c>
      <c r="H47" s="124" t="n">
        <v>8.640000000000001</v>
      </c>
      <c r="I47" s="120" t="n">
        <v>8.52</v>
      </c>
      <c r="J47" s="91" t="n">
        <v>8.41</v>
      </c>
      <c r="K47" s="92" t="inlineStr">
        <is>
          <t>A-</t>
        </is>
      </c>
      <c r="L47" s="121" t="inlineStr">
        <is>
          <t>B-</t>
        </is>
      </c>
      <c r="M47" s="122" t="inlineStr">
        <is>
          <t>B+</t>
        </is>
      </c>
      <c r="N47" s="458">
        <f>TRUNC(AVERAGE(D47:J47),2)</f>
        <v/>
      </c>
      <c r="O47" s="93" t="inlineStr">
        <is>
          <t>F</t>
        </is>
      </c>
      <c r="P47" s="43" t="inlineStr">
        <is>
          <t>PROMOVIDO</t>
        </is>
      </c>
      <c r="Q47" s="126" t="n"/>
    </row>
    <row r="48" ht="14.25" customHeight="1" s="225">
      <c r="B48" s="10" t="inlineStr">
        <is>
          <t>Promedio</t>
        </is>
      </c>
      <c r="D48" s="106">
        <f>AVERAGE(D10:D47)</f>
        <v/>
      </c>
      <c r="E48" s="86">
        <f>AVERAGE(E10:E47)</f>
        <v/>
      </c>
      <c r="F48" s="111">
        <f>AVERAGE(F10:F47)</f>
        <v/>
      </c>
      <c r="G48" s="111">
        <f>AVERAGE(G10:G47)</f>
        <v/>
      </c>
      <c r="H48" s="111">
        <f>AVERAGE(H10:H47)</f>
        <v/>
      </c>
      <c r="I48" s="111">
        <f>AVERAGE(I10:I47)</f>
        <v/>
      </c>
      <c r="J48" s="111">
        <f>AVERAGE(J10:J47)</f>
        <v/>
      </c>
      <c r="K48" s="111" t="n"/>
      <c r="L48" s="156" t="n"/>
      <c r="M48" s="156" t="n"/>
      <c r="N48" s="111">
        <f>AVERAGE(N10:N47)</f>
        <v/>
      </c>
      <c r="O48" s="156" t="n"/>
      <c r="P48" s="129" t="n"/>
    </row>
    <row r="49" ht="14.25" customHeight="1" s="225"/>
    <row r="50" ht="14.25" customHeight="1" s="225">
      <c r="C50" s="247" t="inlineStr">
        <is>
          <t xml:space="preserve">Ing. Sonia Chicaiza Mgtr. </t>
        </is>
      </c>
      <c r="F50" s="248" t="inlineStr">
        <is>
          <t xml:space="preserve">Lcda. Lucia Uzhca Mgtr. </t>
        </is>
      </c>
      <c r="G50" s="249" t="n"/>
      <c r="H50" s="249" t="n"/>
      <c r="I50" s="250" t="n"/>
      <c r="J50" s="72" t="n"/>
      <c r="K50" s="248" t="inlineStr">
        <is>
          <t xml:space="preserve">Lcdo. Walter Guaman  Mgtr. </t>
        </is>
      </c>
      <c r="L50" s="249" t="n"/>
      <c r="M50" s="249" t="n"/>
      <c r="N50" s="249" t="n"/>
      <c r="O50" s="250" t="n"/>
    </row>
    <row r="51" ht="14.25" customHeight="1" s="225">
      <c r="C51" s="247" t="inlineStr">
        <is>
          <t>Rectora (e)</t>
        </is>
      </c>
      <c r="F51" s="248" t="inlineStr">
        <is>
          <t>Vicerrectora (e) Vespertina</t>
        </is>
      </c>
      <c r="G51" s="249" t="n"/>
      <c r="H51" s="249" t="n"/>
      <c r="I51" s="249" t="n"/>
      <c r="J51" s="250" t="n"/>
      <c r="K51" s="248" t="inlineStr">
        <is>
          <t>Docente Tutor</t>
        </is>
      </c>
      <c r="L51" s="249" t="n"/>
      <c r="M51" s="249" t="n"/>
      <c r="N51" s="250" t="n"/>
      <c r="O51" s="10" t="n"/>
    </row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4.25" customHeight="1" s="225"/>
    <row r="222" ht="14.25" customHeight="1" s="225"/>
    <row r="223" ht="14.25" customHeight="1" s="225"/>
    <row r="224" ht="14.25" customHeight="1" s="225"/>
    <row r="225" ht="14.25" customHeight="1" s="225"/>
    <row r="226" ht="14.25" customHeight="1" s="225"/>
    <row r="227" ht="14.25" customHeight="1" s="225"/>
    <row r="228" ht="14.25" customHeight="1" s="225"/>
    <row r="229" ht="14.25" customHeight="1" s="225"/>
    <row r="230" ht="14.25" customHeight="1" s="225"/>
    <row r="231" ht="14.25" customHeight="1" s="225"/>
    <row r="232" ht="14.25" customHeight="1" s="225"/>
    <row r="233" ht="14.25" customHeight="1" s="225"/>
    <row r="234" ht="14.25" customHeight="1" s="225"/>
    <row r="235" ht="14.25" customHeight="1" s="225"/>
    <row r="236" ht="14.25" customHeight="1" s="225"/>
    <row r="237" ht="14.25" customHeight="1" s="225"/>
    <row r="238" ht="14.25" customHeight="1" s="225"/>
    <row r="239" ht="14.25" customHeight="1" s="225"/>
    <row r="240" ht="14.25" customHeight="1" s="225"/>
    <row r="241" ht="14.25" customHeight="1" s="225"/>
    <row r="242" ht="14.25" customHeight="1" s="225"/>
    <row r="243" ht="14.25" customHeight="1" s="225"/>
    <row r="244" ht="14.25" customHeight="1" s="225"/>
    <row r="245" ht="14.25" customHeight="1" s="225"/>
    <row r="246" ht="14.25" customHeight="1" s="225"/>
    <row r="247" ht="14.2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</sheetData>
  <mergeCells count="12">
    <mergeCell ref="F50:I50"/>
    <mergeCell ref="I4:J4"/>
    <mergeCell ref="B2:P2"/>
    <mergeCell ref="K3:N3"/>
    <mergeCell ref="F51:J51"/>
    <mergeCell ref="C51:D51"/>
    <mergeCell ref="A1:P1"/>
    <mergeCell ref="K51:N51"/>
    <mergeCell ref="C50:D50"/>
    <mergeCell ref="K50:O50"/>
    <mergeCell ref="C3:E3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4.86" customWidth="1" style="225" min="1" max="1"/>
    <col width="20.43" customWidth="1" style="225" min="2" max="2"/>
    <col width="23" customWidth="1" style="225" min="3" max="3"/>
    <col width="6.29" customWidth="1" style="225" min="4" max="4"/>
    <col width="8.140000000000001" customWidth="1" style="225" min="14" max="14"/>
    <col width="7.57" customWidth="1" style="225" min="15" max="15"/>
    <col width="18.71" customWidth="1" style="225" min="16" max="16"/>
    <col width="10.71" customWidth="1" style="225" min="17" max="17"/>
    <col width="14" customWidth="1" style="225" min="18" max="18"/>
  </cols>
  <sheetData>
    <row r="1" ht="72.75" customHeight="1" s="225">
      <c r="A1" s="11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5">
      <c r="A2" s="2" t="n"/>
      <c r="B2" s="3" t="inlineStr">
        <is>
          <t>AÑO LECTIVO: 2025-2026</t>
        </is>
      </c>
    </row>
    <row r="3" ht="14.25" customHeight="1" s="225">
      <c r="B3" s="75" t="inlineStr">
        <is>
          <t xml:space="preserve">DOCENTE:             </t>
        </is>
      </c>
      <c r="C3" s="5" t="inlineStr">
        <is>
          <t>Lcdo. Juan Pablo González</t>
        </is>
      </c>
      <c r="F3" s="6" t="n"/>
      <c r="G3" s="6" t="n"/>
      <c r="H3" s="6" t="n"/>
      <c r="I3" s="7" t="inlineStr">
        <is>
          <t xml:space="preserve">JORNADA: </t>
        </is>
      </c>
      <c r="K3" s="8" t="inlineStr">
        <is>
          <t>VESPERTINA</t>
        </is>
      </c>
    </row>
    <row r="4" ht="14.25" customHeight="1" s="225">
      <c r="B4" s="9" t="inlineStr">
        <is>
          <t xml:space="preserve">AÑO DE EGB:        </t>
        </is>
      </c>
      <c r="C4" s="76" t="inlineStr">
        <is>
          <t>NOVENO B</t>
        </is>
      </c>
      <c r="E4" s="6" t="n"/>
      <c r="F4" s="6" t="n"/>
      <c r="G4" s="6" t="n"/>
      <c r="H4" s="6" t="n"/>
      <c r="I4" s="7" t="inlineStr">
        <is>
          <t>TRIMESTRE:</t>
        </is>
      </c>
      <c r="K4" s="11" t="inlineStr">
        <is>
          <t>PRIMERO, SEGUNDO, TERCERO</t>
        </is>
      </c>
      <c r="M4" s="6" t="n"/>
    </row>
    <row r="5" ht="6" customHeight="1" s="225">
      <c r="B5" s="12" t="n"/>
      <c r="C5" s="12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57.5" customHeight="1" s="225">
      <c r="A6" s="130" t="inlineStr">
        <is>
          <t>No</t>
        </is>
      </c>
      <c r="B6" s="251" t="inlineStr">
        <is>
          <t>NOMINA</t>
        </is>
      </c>
      <c r="C6" s="252" t="n"/>
      <c r="D6" s="25" t="inlineStr">
        <is>
          <t>LENGUA Y LITERATURA</t>
        </is>
      </c>
      <c r="E6" s="17" t="inlineStr">
        <is>
          <t>MATEMÁTICA</t>
        </is>
      </c>
      <c r="F6" s="133" t="inlineStr">
        <is>
          <t>CIENCIAS NATURALES</t>
        </is>
      </c>
      <c r="G6" s="19" t="inlineStr">
        <is>
          <t>ESTUDIOS SOCIALES</t>
        </is>
      </c>
      <c r="H6" s="134" t="inlineStr">
        <is>
          <t>INGLÉS</t>
        </is>
      </c>
      <c r="I6" s="79" t="inlineStr">
        <is>
          <t>EDUCACIÓN CULTURAL Y ARTISTICA</t>
        </is>
      </c>
      <c r="J6" s="22" t="inlineStr">
        <is>
          <t>EDUCACIÓN FÍSICA</t>
        </is>
      </c>
      <c r="K6" s="80" t="inlineStr">
        <is>
          <t>ANIMACIÓN A LA LECTURA</t>
        </is>
      </c>
      <c r="L6" s="24" t="inlineStr">
        <is>
          <t>ACOMPAÑAMIENTO INTEGRAL EN EL AULA</t>
        </is>
      </c>
      <c r="M6" s="25" t="inlineStr">
        <is>
          <t>ORIENTACIÓN VOCACIONAL</t>
        </is>
      </c>
      <c r="N6" s="81" t="inlineStr">
        <is>
          <t>PROMEDIO FINAL</t>
        </is>
      </c>
      <c r="O6" s="82" t="inlineStr">
        <is>
          <t>CCOMPORTAMIENTO</t>
        </is>
      </c>
      <c r="P6" s="83" t="inlineStr">
        <is>
          <t>OBSERVACIONES</t>
        </is>
      </c>
    </row>
    <row r="7" ht="14.25" customHeight="1" s="225">
      <c r="A7" s="135" t="n">
        <v>1</v>
      </c>
      <c r="B7" s="468" t="inlineStr">
        <is>
          <t>APOLO HERRERA RICHARD SEBASTIAN</t>
        </is>
      </c>
      <c r="C7" s="184" t="n"/>
      <c r="D7" s="116" t="n">
        <v>8.91</v>
      </c>
      <c r="E7" s="105" t="n">
        <v>9.029999999999999</v>
      </c>
      <c r="F7" s="137" t="n">
        <v>8.119999999999999</v>
      </c>
      <c r="G7" s="455" t="n">
        <v>8.890000000000001</v>
      </c>
      <c r="H7" s="139" t="n">
        <v>9.07</v>
      </c>
      <c r="I7" s="120" t="n">
        <v>8.710000000000001</v>
      </c>
      <c r="J7" s="91" t="n">
        <v>9.16</v>
      </c>
      <c r="K7" s="92" t="inlineStr">
        <is>
          <t>B+</t>
        </is>
      </c>
      <c r="L7" s="140" t="inlineStr">
        <is>
          <t>A-</t>
        </is>
      </c>
      <c r="M7" s="141" t="inlineStr">
        <is>
          <t>A+</t>
        </is>
      </c>
      <c r="N7" s="66">
        <f>TRUNC(AVERAGE(D7:J7),2)</f>
        <v/>
      </c>
      <c r="O7" s="93" t="inlineStr">
        <is>
          <t>S</t>
        </is>
      </c>
      <c r="P7" s="43" t="inlineStr">
        <is>
          <t>PROMOVIDO</t>
        </is>
      </c>
      <c r="Q7" s="142" t="n"/>
    </row>
    <row r="8" ht="15" customHeight="1" s="225">
      <c r="A8" s="135" t="n">
        <v>2</v>
      </c>
      <c r="B8" s="184" t="inlineStr">
        <is>
          <t>ARCE VILLAVICENCIO NATALIA ELIZABETH</t>
        </is>
      </c>
      <c r="C8" s="184" t="n"/>
      <c r="D8" s="116" t="n">
        <v>9.01</v>
      </c>
      <c r="E8" s="86" t="n">
        <v>8.35</v>
      </c>
      <c r="F8" s="143" t="n">
        <v>8.58</v>
      </c>
      <c r="G8" s="138" t="n">
        <v>9.15</v>
      </c>
      <c r="H8" s="139" t="n">
        <v>9</v>
      </c>
      <c r="I8" s="120" t="n">
        <v>8.74</v>
      </c>
      <c r="J8" s="91" t="n">
        <v>9.5</v>
      </c>
      <c r="K8" s="92" t="inlineStr">
        <is>
          <t>A-</t>
        </is>
      </c>
      <c r="L8" s="140" t="inlineStr">
        <is>
          <t>A-</t>
        </is>
      </c>
      <c r="M8" s="141" t="inlineStr">
        <is>
          <t>A+</t>
        </is>
      </c>
      <c r="N8" s="66">
        <f>TRUNC(AVERAGE(D8:J8),2)</f>
        <v/>
      </c>
      <c r="O8" s="93" t="inlineStr">
        <is>
          <t>S</t>
        </is>
      </c>
      <c r="P8" s="43" t="inlineStr">
        <is>
          <t>PROMOVIDO</t>
        </is>
      </c>
      <c r="Q8" s="142" t="n"/>
    </row>
    <row r="9" ht="15" customHeight="1" s="225">
      <c r="A9" s="135" t="n">
        <v>3</v>
      </c>
      <c r="B9" s="467" t="inlineStr">
        <is>
          <t>ARPI MOROCHO SOFIA KATHERINE</t>
        </is>
      </c>
      <c r="C9" s="184" t="n"/>
      <c r="D9" s="116" t="n">
        <v>8.210000000000001</v>
      </c>
      <c r="E9" s="105" t="n">
        <v>7.71</v>
      </c>
      <c r="F9" s="469" t="n">
        <v>7.45</v>
      </c>
      <c r="G9" s="455" t="n">
        <v>8.93</v>
      </c>
      <c r="H9" s="139" t="n">
        <v>7.64</v>
      </c>
      <c r="I9" s="120" t="n">
        <v>8.09</v>
      </c>
      <c r="J9" s="91" t="n">
        <v>9</v>
      </c>
      <c r="K9" s="92" t="inlineStr">
        <is>
          <t>A-</t>
        </is>
      </c>
      <c r="L9" s="140" t="inlineStr">
        <is>
          <t>B+</t>
        </is>
      </c>
      <c r="M9" s="141" t="inlineStr">
        <is>
          <t>A+</t>
        </is>
      </c>
      <c r="N9" s="458">
        <f>TRUNC(AVERAGE(D9:J9),2)</f>
        <v/>
      </c>
      <c r="O9" s="93" t="inlineStr">
        <is>
          <t>S</t>
        </is>
      </c>
      <c r="P9" s="43" t="inlineStr">
        <is>
          <t>PROMOVIDO</t>
        </is>
      </c>
      <c r="Q9" s="142" t="n"/>
    </row>
    <row r="10" ht="15" customHeight="1" s="225">
      <c r="A10" s="135" t="n">
        <v>4</v>
      </c>
      <c r="B10" s="468" t="inlineStr">
        <is>
          <t>CAGUANA VILLALTA NATALIA ISABELA</t>
        </is>
      </c>
      <c r="C10" s="184" t="n"/>
      <c r="D10" s="463" t="n">
        <v>7.92</v>
      </c>
      <c r="E10" s="86" t="n">
        <v>7</v>
      </c>
      <c r="F10" s="143" t="n">
        <v>7</v>
      </c>
      <c r="G10" s="455" t="n">
        <v>8.380000000000001</v>
      </c>
      <c r="H10" s="464" t="n">
        <v>7.74</v>
      </c>
      <c r="I10" s="120" t="n">
        <v>7.01</v>
      </c>
      <c r="J10" s="91" t="n">
        <v>7.64</v>
      </c>
      <c r="K10" s="92" t="inlineStr">
        <is>
          <t>B+</t>
        </is>
      </c>
      <c r="L10" s="140" t="inlineStr">
        <is>
          <t>B+</t>
        </is>
      </c>
      <c r="M10" s="141" t="inlineStr">
        <is>
          <t>A+</t>
        </is>
      </c>
      <c r="N10" s="458">
        <f>TRUNC(AVERAGE(D10:J10),2)</f>
        <v/>
      </c>
      <c r="O10" s="93" t="inlineStr">
        <is>
          <t>S</t>
        </is>
      </c>
      <c r="P10" s="43" t="inlineStr">
        <is>
          <t>PROMOVIDO</t>
        </is>
      </c>
      <c r="Q10" s="142" t="n"/>
    </row>
    <row r="11" ht="15" customHeight="1" s="225">
      <c r="A11" s="135" t="n">
        <v>5</v>
      </c>
      <c r="B11" s="468" t="inlineStr">
        <is>
          <t>CALLE CABRERA VICTORIA LORENA</t>
        </is>
      </c>
      <c r="C11" s="184" t="n"/>
      <c r="D11" s="463" t="n">
        <v>9.77</v>
      </c>
      <c r="E11" s="458" t="n">
        <v>9.800000000000001</v>
      </c>
      <c r="F11" s="143" t="n">
        <v>9.76</v>
      </c>
      <c r="G11" s="455" t="n">
        <v>9.630000000000001</v>
      </c>
      <c r="H11" s="139" t="n">
        <v>10</v>
      </c>
      <c r="I11" s="120" t="n">
        <v>9.81</v>
      </c>
      <c r="J11" s="91" t="n">
        <v>9.699999999999999</v>
      </c>
      <c r="K11" s="92" t="inlineStr">
        <is>
          <t>A+</t>
        </is>
      </c>
      <c r="L11" s="140" t="inlineStr">
        <is>
          <t>A+</t>
        </is>
      </c>
      <c r="M11" s="141" t="inlineStr">
        <is>
          <t>A+</t>
        </is>
      </c>
      <c r="N11" s="458">
        <f>TRUNC(AVERAGE(D11:J11),2)</f>
        <v/>
      </c>
      <c r="O11" s="93" t="inlineStr">
        <is>
          <t>S</t>
        </is>
      </c>
      <c r="P11" s="43" t="inlineStr">
        <is>
          <t>PROMOVIDO</t>
        </is>
      </c>
      <c r="Q11" s="142" t="n"/>
    </row>
    <row r="12" ht="15" customHeight="1" s="225">
      <c r="A12" s="135" t="n">
        <v>6</v>
      </c>
      <c r="B12" s="468" t="inlineStr">
        <is>
          <t>CHILLOGALLO NIEVES EVELYN MAGABY</t>
        </is>
      </c>
      <c r="C12" s="184" t="n"/>
      <c r="D12" s="116" t="n">
        <v>7.3</v>
      </c>
      <c r="E12" s="86" t="n">
        <v>7</v>
      </c>
      <c r="F12" s="145" t="n">
        <v>7</v>
      </c>
      <c r="G12" s="455" t="n">
        <v>7.09</v>
      </c>
      <c r="H12" s="464" t="n">
        <v>7.55</v>
      </c>
      <c r="I12" s="120" t="n">
        <v>7</v>
      </c>
      <c r="J12" s="91" t="n">
        <v>7.48</v>
      </c>
      <c r="K12" s="92" t="inlineStr">
        <is>
          <t>B+</t>
        </is>
      </c>
      <c r="L12" s="140" t="inlineStr">
        <is>
          <t>B+</t>
        </is>
      </c>
      <c r="M12" s="141" t="inlineStr">
        <is>
          <t>A+</t>
        </is>
      </c>
      <c r="N12" s="458">
        <f>TRUNC(AVERAGE(D12:J12),2)</f>
        <v/>
      </c>
      <c r="O12" s="93" t="inlineStr">
        <is>
          <t>S</t>
        </is>
      </c>
      <c r="P12" s="43" t="inlineStr">
        <is>
          <t>PROMOVIDO</t>
        </is>
      </c>
      <c r="Q12" s="142" t="n"/>
    </row>
    <row r="13" ht="15" customHeight="1" s="225">
      <c r="A13" s="135" t="n">
        <v>7</v>
      </c>
      <c r="B13" s="468" t="inlineStr">
        <is>
          <t>CRUZ LALVAY JHOSELIN DAYANNA</t>
        </is>
      </c>
      <c r="C13" s="184" t="n"/>
      <c r="D13" s="116" t="n">
        <v>7.31</v>
      </c>
      <c r="E13" s="86" t="n">
        <v>7</v>
      </c>
      <c r="F13" s="146" t="n">
        <v>7</v>
      </c>
      <c r="G13" s="455" t="n">
        <v>7.44</v>
      </c>
      <c r="H13" s="464" t="n">
        <v>7.36</v>
      </c>
      <c r="I13" s="120" t="n">
        <v>7.27</v>
      </c>
      <c r="J13" s="458" t="n">
        <v>8.449999999999999</v>
      </c>
      <c r="K13" s="92" t="inlineStr">
        <is>
          <t>B+</t>
        </is>
      </c>
      <c r="L13" s="140" t="inlineStr">
        <is>
          <t>B+</t>
        </is>
      </c>
      <c r="M13" s="141" t="inlineStr">
        <is>
          <t>A+</t>
        </is>
      </c>
      <c r="N13" s="458">
        <f>TRUNC(AVERAGE(D13:J13),2)</f>
        <v/>
      </c>
      <c r="O13" s="93" t="inlineStr">
        <is>
          <t>S</t>
        </is>
      </c>
      <c r="P13" s="43" t="inlineStr">
        <is>
          <t>PROMOVIDO</t>
        </is>
      </c>
      <c r="Q13" s="142" t="n"/>
    </row>
    <row r="14" ht="15" customHeight="1" s="225">
      <c r="A14" s="135" t="n">
        <v>8</v>
      </c>
      <c r="B14" s="468" t="inlineStr">
        <is>
          <t>ESPINOZA GUTIERREZ KELLY FERNANDA</t>
        </is>
      </c>
      <c r="C14" s="184" t="n"/>
      <c r="D14" s="116" t="n">
        <v>7.6</v>
      </c>
      <c r="E14" s="458" t="n">
        <v>7</v>
      </c>
      <c r="F14" s="137" t="n">
        <v>7</v>
      </c>
      <c r="G14" s="455" t="n">
        <v>7.54</v>
      </c>
      <c r="H14" s="464" t="n">
        <v>7.85</v>
      </c>
      <c r="I14" s="120" t="n">
        <v>7.84</v>
      </c>
      <c r="J14" s="91" t="n">
        <v>8.31</v>
      </c>
      <c r="K14" s="92" t="inlineStr">
        <is>
          <t>B+</t>
        </is>
      </c>
      <c r="L14" s="140" t="inlineStr">
        <is>
          <t>B+</t>
        </is>
      </c>
      <c r="M14" s="141" t="inlineStr">
        <is>
          <t>A+</t>
        </is>
      </c>
      <c r="N14" s="458">
        <f>TRUNC(AVERAGE(D14:J14),2)</f>
        <v/>
      </c>
      <c r="O14" s="93" t="inlineStr">
        <is>
          <t>S</t>
        </is>
      </c>
      <c r="P14" s="43" t="inlineStr">
        <is>
          <t>PROMOVIDO</t>
        </is>
      </c>
      <c r="Q14" s="142" t="n"/>
    </row>
    <row r="15" ht="15" customHeight="1" s="225">
      <c r="A15" s="135" t="n">
        <v>9</v>
      </c>
      <c r="B15" s="468" t="inlineStr">
        <is>
          <t>GONZALEZ CONTENTO YOSELIN FERNANDA</t>
        </is>
      </c>
      <c r="C15" s="184" t="n"/>
      <c r="D15" s="116" t="n">
        <v>9.27</v>
      </c>
      <c r="E15" s="86" t="n">
        <v>8.220000000000001</v>
      </c>
      <c r="F15" s="143" t="n">
        <v>8.66</v>
      </c>
      <c r="G15" s="455" t="n">
        <v>9.31</v>
      </c>
      <c r="H15" s="464" t="n">
        <v>8.98</v>
      </c>
      <c r="I15" s="120" t="n">
        <v>8.66</v>
      </c>
      <c r="J15" s="91" t="n">
        <v>9.119999999999999</v>
      </c>
      <c r="K15" s="92" t="inlineStr">
        <is>
          <t>A-</t>
        </is>
      </c>
      <c r="L15" s="140" t="inlineStr">
        <is>
          <t>A+</t>
        </is>
      </c>
      <c r="M15" s="141" t="inlineStr">
        <is>
          <t>A+</t>
        </is>
      </c>
      <c r="N15" s="458">
        <f>TRUNC(AVERAGE(D15:J15),2)</f>
        <v/>
      </c>
      <c r="O15" s="93" t="inlineStr">
        <is>
          <t>S</t>
        </is>
      </c>
      <c r="P15" s="43" t="inlineStr">
        <is>
          <t>PROMOVIDO</t>
        </is>
      </c>
      <c r="Q15" s="142" t="n"/>
    </row>
    <row r="16" ht="15" customHeight="1" s="225">
      <c r="A16" s="135" t="n">
        <v>10</v>
      </c>
      <c r="B16" s="468" t="inlineStr">
        <is>
          <t>GUAICHA CHUQUIMARCA DOMENICA CAMILA</t>
        </is>
      </c>
      <c r="C16" s="184" t="n"/>
      <c r="D16" s="463" t="n">
        <v>8.369999999999999</v>
      </c>
      <c r="E16" s="86" t="n">
        <v>7.81</v>
      </c>
      <c r="F16" s="143" t="n">
        <v>7.47</v>
      </c>
      <c r="G16" s="455" t="n">
        <v>9.08</v>
      </c>
      <c r="H16" s="464" t="n">
        <v>7.96</v>
      </c>
      <c r="I16" s="120" t="n">
        <v>7.97</v>
      </c>
      <c r="J16" s="91" t="n">
        <v>8.83</v>
      </c>
      <c r="K16" s="92" t="inlineStr">
        <is>
          <t>A-</t>
        </is>
      </c>
      <c r="L16" s="140" t="inlineStr">
        <is>
          <t>B+</t>
        </is>
      </c>
      <c r="M16" s="141" t="inlineStr">
        <is>
          <t>A+</t>
        </is>
      </c>
      <c r="N16" s="458">
        <f>TRUNC(AVERAGE(D16:J16),2)</f>
        <v/>
      </c>
      <c r="O16" s="93" t="inlineStr">
        <is>
          <t>S</t>
        </is>
      </c>
      <c r="P16" s="43" t="inlineStr">
        <is>
          <t>PROMOVIDO</t>
        </is>
      </c>
      <c r="Q16" s="142" t="n"/>
    </row>
    <row r="17" ht="15" customHeight="1" s="225">
      <c r="A17" s="135" t="n">
        <v>11</v>
      </c>
      <c r="B17" s="468" t="inlineStr">
        <is>
          <t>ILLESCAS PUMA DAVID ALEJANDRO</t>
        </is>
      </c>
      <c r="C17" s="184" t="n"/>
      <c r="D17" s="116" t="n">
        <v>9.220000000000001</v>
      </c>
      <c r="E17" s="86" t="n">
        <v>8.76</v>
      </c>
      <c r="F17" s="143" t="n">
        <v>8.43</v>
      </c>
      <c r="G17" s="455" t="n">
        <v>8.960000000000001</v>
      </c>
      <c r="H17" s="464" t="n">
        <v>9.26</v>
      </c>
      <c r="I17" s="120" t="n">
        <v>8.77</v>
      </c>
      <c r="J17" s="91" t="n">
        <v>9.19</v>
      </c>
      <c r="K17" s="92" t="inlineStr">
        <is>
          <t>A-</t>
        </is>
      </c>
      <c r="L17" s="140" t="inlineStr">
        <is>
          <t>A+</t>
        </is>
      </c>
      <c r="M17" s="141" t="inlineStr">
        <is>
          <t>A+</t>
        </is>
      </c>
      <c r="N17" s="66">
        <f>TRUNC(AVERAGE(D17:J17),2)</f>
        <v/>
      </c>
      <c r="O17" s="93" t="inlineStr">
        <is>
          <t>S</t>
        </is>
      </c>
      <c r="P17" s="43" t="inlineStr">
        <is>
          <t>PROMOVIDO</t>
        </is>
      </c>
      <c r="Q17" s="142" t="n"/>
    </row>
    <row r="18" ht="15" customHeight="1" s="225">
      <c r="A18" s="135" t="n">
        <v>12</v>
      </c>
      <c r="B18" s="468" t="inlineStr">
        <is>
          <t>JAIGUA CARDENAS MARIA VALENTINA</t>
        </is>
      </c>
      <c r="C18" s="184" t="n"/>
      <c r="D18" s="116" t="n">
        <v>9.279999999999999</v>
      </c>
      <c r="E18" s="86" t="n">
        <v>9.19</v>
      </c>
      <c r="F18" s="137" t="n">
        <v>9.109999999999999</v>
      </c>
      <c r="G18" s="455" t="n">
        <v>9.470000000000001</v>
      </c>
      <c r="H18" s="464" t="n">
        <v>9.4</v>
      </c>
      <c r="I18" s="120" t="n">
        <v>9.220000000000001</v>
      </c>
      <c r="J18" s="91" t="n">
        <v>9.609999999999999</v>
      </c>
      <c r="K18" s="92" t="inlineStr">
        <is>
          <t>A+</t>
        </is>
      </c>
      <c r="L18" s="140" t="inlineStr">
        <is>
          <t>A+</t>
        </is>
      </c>
      <c r="M18" s="141" t="inlineStr">
        <is>
          <t>A+</t>
        </is>
      </c>
      <c r="N18" s="458">
        <f>TRUNC(AVERAGE(D18:J18),2)</f>
        <v/>
      </c>
      <c r="O18" s="93" t="inlineStr">
        <is>
          <t>S</t>
        </is>
      </c>
      <c r="P18" s="43" t="inlineStr">
        <is>
          <t>PROMOVIDO</t>
        </is>
      </c>
      <c r="Q18" s="142" t="n"/>
    </row>
    <row r="19" ht="15" customHeight="1" s="225">
      <c r="A19" s="135" t="n">
        <v>13</v>
      </c>
      <c r="B19" s="468" t="inlineStr">
        <is>
          <t>MALLA GUARTAN JUAN DAVID</t>
        </is>
      </c>
      <c r="C19" s="184" t="n"/>
      <c r="D19" s="116" t="n">
        <v>8.51</v>
      </c>
      <c r="E19" s="86" t="n">
        <v>7.94</v>
      </c>
      <c r="F19" s="137" t="n">
        <v>7.59</v>
      </c>
      <c r="G19" s="458" t="n">
        <v>9.06</v>
      </c>
      <c r="H19" s="464" t="n">
        <v>9.09</v>
      </c>
      <c r="I19" s="120" t="n">
        <v>8.050000000000001</v>
      </c>
      <c r="J19" s="91" t="n">
        <v>9.17</v>
      </c>
      <c r="K19" s="92" t="inlineStr">
        <is>
          <t>A-</t>
        </is>
      </c>
      <c r="L19" s="140" t="inlineStr">
        <is>
          <t>A-</t>
        </is>
      </c>
      <c r="M19" s="141" t="inlineStr">
        <is>
          <t>A+</t>
        </is>
      </c>
      <c r="N19" s="458">
        <f>TRUNC(AVERAGE(D19:J19),2)</f>
        <v/>
      </c>
      <c r="O19" s="93" t="inlineStr">
        <is>
          <t>F</t>
        </is>
      </c>
      <c r="P19" s="43" t="inlineStr">
        <is>
          <t>PROMOVIDO</t>
        </is>
      </c>
      <c r="Q19" s="142" t="n"/>
    </row>
    <row r="20" ht="15" customHeight="1" s="225">
      <c r="A20" s="135" t="n">
        <v>14</v>
      </c>
      <c r="B20" s="468" t="inlineStr">
        <is>
          <t>MARCA LLANOS DANA VALENTINA</t>
        </is>
      </c>
      <c r="C20" s="184" t="n"/>
      <c r="D20" s="116" t="n">
        <v>9.52</v>
      </c>
      <c r="E20" s="86" t="n">
        <v>8.6</v>
      </c>
      <c r="F20" s="137" t="n">
        <v>9.06</v>
      </c>
      <c r="G20" s="458" t="n">
        <v>9.09</v>
      </c>
      <c r="H20" s="464" t="n">
        <v>8.51</v>
      </c>
      <c r="I20" s="120" t="n">
        <v>9.01</v>
      </c>
      <c r="J20" s="91" t="n">
        <v>9.56</v>
      </c>
      <c r="K20" s="92" t="inlineStr">
        <is>
          <t>A-</t>
        </is>
      </c>
      <c r="L20" s="140" t="inlineStr">
        <is>
          <t>A+</t>
        </is>
      </c>
      <c r="M20" s="141" t="inlineStr">
        <is>
          <t>A+</t>
        </is>
      </c>
      <c r="N20" s="458">
        <f>TRUNC(AVERAGE(D20:J20),2)</f>
        <v/>
      </c>
      <c r="O20" s="93" t="inlineStr">
        <is>
          <t>S</t>
        </is>
      </c>
      <c r="P20" s="43" t="inlineStr">
        <is>
          <t>PROMOVIDO</t>
        </is>
      </c>
      <c r="Q20" s="142" t="n"/>
    </row>
    <row r="21" ht="15" customHeight="1" s="225">
      <c r="A21" s="135" t="n">
        <v>15</v>
      </c>
      <c r="B21" s="468" t="inlineStr">
        <is>
          <t>MENDEZ FAJARDO EMILY YESENIA</t>
        </is>
      </c>
      <c r="C21" s="184" t="n"/>
      <c r="D21" s="116" t="n">
        <v>9.720000000000001</v>
      </c>
      <c r="E21" s="86" t="n">
        <v>9.25</v>
      </c>
      <c r="F21" s="137" t="n">
        <v>8.6</v>
      </c>
      <c r="G21" s="458" t="n">
        <v>8.68</v>
      </c>
      <c r="H21" s="464" t="n">
        <v>9.470000000000001</v>
      </c>
      <c r="I21" s="120" t="n">
        <v>9.470000000000001</v>
      </c>
      <c r="J21" s="91" t="n">
        <v>9.67</v>
      </c>
      <c r="K21" s="92" t="inlineStr">
        <is>
          <t>A+</t>
        </is>
      </c>
      <c r="L21" s="140" t="inlineStr">
        <is>
          <t>A+</t>
        </is>
      </c>
      <c r="M21" s="141" t="inlineStr">
        <is>
          <t>A+</t>
        </is>
      </c>
      <c r="N21" s="458">
        <f>TRUNC(AVERAGE(D21:J21),2)</f>
        <v/>
      </c>
      <c r="O21" s="93" t="inlineStr">
        <is>
          <t>S</t>
        </is>
      </c>
      <c r="P21" s="43" t="inlineStr">
        <is>
          <t>PROMOVIDO</t>
        </is>
      </c>
      <c r="Q21" s="142" t="n"/>
    </row>
    <row r="22" ht="15" customHeight="1" s="225">
      <c r="A22" s="135" t="n">
        <v>16</v>
      </c>
      <c r="B22" s="468" t="inlineStr">
        <is>
          <t>MORA GUACHICHULLCA MICHAEL PAUL</t>
        </is>
      </c>
      <c r="C22" s="184" t="n"/>
      <c r="D22" s="116" t="n">
        <v>8.07</v>
      </c>
      <c r="E22" s="86" t="n">
        <v>7.62</v>
      </c>
      <c r="F22" s="147" t="n">
        <v>7</v>
      </c>
      <c r="G22" s="458" t="n">
        <v>8.59</v>
      </c>
      <c r="H22" s="464" t="n">
        <v>8.6</v>
      </c>
      <c r="I22" s="120" t="n">
        <v>7.07</v>
      </c>
      <c r="J22" s="91" t="n">
        <v>7.58</v>
      </c>
      <c r="K22" s="92" t="inlineStr">
        <is>
          <t>B+</t>
        </is>
      </c>
      <c r="L22" s="140" t="inlineStr">
        <is>
          <t>B+</t>
        </is>
      </c>
      <c r="M22" s="141" t="inlineStr">
        <is>
          <t>A+</t>
        </is>
      </c>
      <c r="N22" s="458">
        <f>TRUNC(AVERAGE(D22:J22),2)</f>
        <v/>
      </c>
      <c r="O22" s="93" t="inlineStr">
        <is>
          <t>S</t>
        </is>
      </c>
      <c r="P22" s="43" t="inlineStr">
        <is>
          <t>PROMOVIDO</t>
        </is>
      </c>
      <c r="Q22" s="142" t="n"/>
    </row>
    <row r="23" ht="15" customHeight="1" s="225">
      <c r="A23" s="135" t="n">
        <v>17</v>
      </c>
      <c r="B23" s="468" t="inlineStr">
        <is>
          <t>MUÑOZ TUALOMBO KEYLA ROBERTA</t>
        </is>
      </c>
      <c r="C23" s="184" t="n"/>
      <c r="D23" s="116" t="n">
        <v>7.99</v>
      </c>
      <c r="E23" s="86" t="n">
        <v>7.73</v>
      </c>
      <c r="F23" s="143" t="n">
        <v>7</v>
      </c>
      <c r="G23" s="458" t="n">
        <v>7.66</v>
      </c>
      <c r="H23" s="464" t="n">
        <v>8.59</v>
      </c>
      <c r="I23" s="120" t="n">
        <v>7.38</v>
      </c>
      <c r="J23" s="91" t="n">
        <v>8.1</v>
      </c>
      <c r="K23" s="92" t="inlineStr">
        <is>
          <t>B+</t>
        </is>
      </c>
      <c r="L23" s="140" t="inlineStr">
        <is>
          <t>B+</t>
        </is>
      </c>
      <c r="M23" s="141" t="inlineStr">
        <is>
          <t>A+</t>
        </is>
      </c>
      <c r="N23" s="458">
        <f>TRUNC(AVERAGE(D23:J23),2)</f>
        <v/>
      </c>
      <c r="O23" s="93" t="inlineStr">
        <is>
          <t>S</t>
        </is>
      </c>
      <c r="P23" s="43" t="inlineStr">
        <is>
          <t>PROMOVIDO</t>
        </is>
      </c>
      <c r="Q23" s="142" t="n"/>
    </row>
    <row r="24" ht="15" customHeight="1" s="225">
      <c r="A24" s="135" t="n">
        <v>18</v>
      </c>
      <c r="B24" s="468" t="inlineStr">
        <is>
          <t>NAULA NAULA EVELYN MARICELA</t>
        </is>
      </c>
      <c r="C24" s="184" t="n"/>
      <c r="D24" s="463" t="n">
        <v>9.25</v>
      </c>
      <c r="E24" s="105" t="n">
        <v>9.119999999999999</v>
      </c>
      <c r="F24" s="469" t="n">
        <v>8.49</v>
      </c>
      <c r="G24" s="88" t="n">
        <v>9.109999999999999</v>
      </c>
      <c r="H24" s="464" t="n">
        <v>8.24</v>
      </c>
      <c r="I24" s="120" t="n">
        <v>9.210000000000001</v>
      </c>
      <c r="J24" s="91" t="n">
        <v>9.35</v>
      </c>
      <c r="K24" s="92" t="inlineStr">
        <is>
          <t>A-</t>
        </is>
      </c>
      <c r="L24" s="140" t="inlineStr">
        <is>
          <t>A+</t>
        </is>
      </c>
      <c r="M24" s="141" t="inlineStr">
        <is>
          <t>A+</t>
        </is>
      </c>
      <c r="N24" s="458">
        <f>TRUNC(AVERAGE(D24:J24),2)</f>
        <v/>
      </c>
      <c r="O24" s="93" t="inlineStr">
        <is>
          <t>S</t>
        </is>
      </c>
      <c r="P24" s="43" t="inlineStr">
        <is>
          <t>PROMOVIDO</t>
        </is>
      </c>
      <c r="Q24" s="142" t="n"/>
    </row>
    <row r="25" ht="15" customHeight="1" s="225">
      <c r="A25" s="135" t="n">
        <v>19</v>
      </c>
      <c r="B25" s="468" t="inlineStr">
        <is>
          <t>NAULA SIMBAÑA MELANI GABRIELA</t>
        </is>
      </c>
      <c r="C25" s="184" t="n"/>
      <c r="D25" s="116" t="n">
        <v>9.42</v>
      </c>
      <c r="E25" s="86" t="n">
        <v>9.16</v>
      </c>
      <c r="F25" s="469" t="n">
        <v>9.289999999999999</v>
      </c>
      <c r="G25" s="458" t="n">
        <v>9.33</v>
      </c>
      <c r="H25" s="464" t="n">
        <v>9.43</v>
      </c>
      <c r="I25" s="120" t="n">
        <v>9.369999999999999</v>
      </c>
      <c r="J25" s="91" t="n">
        <v>9.56</v>
      </c>
      <c r="K25" s="92" t="inlineStr">
        <is>
          <t>A-</t>
        </is>
      </c>
      <c r="L25" s="140" t="inlineStr">
        <is>
          <t>A+</t>
        </is>
      </c>
      <c r="M25" s="141" t="inlineStr">
        <is>
          <t>A+</t>
        </is>
      </c>
      <c r="N25" s="66">
        <f>TRUNC(AVERAGE(D25:J25),2)</f>
        <v/>
      </c>
      <c r="O25" s="93" t="inlineStr">
        <is>
          <t>S</t>
        </is>
      </c>
      <c r="P25" s="43" t="inlineStr">
        <is>
          <t>PROMOVIDO</t>
        </is>
      </c>
      <c r="Q25" s="142" t="n"/>
    </row>
    <row r="26" ht="15" customHeight="1" s="225">
      <c r="A26" s="135" t="n">
        <v>20</v>
      </c>
      <c r="B26" s="468" t="inlineStr">
        <is>
          <t>NIEVES VILLA JEICOL ANDRES</t>
        </is>
      </c>
      <c r="C26" s="184" t="n"/>
      <c r="D26" s="116" t="n">
        <v>7.71</v>
      </c>
      <c r="E26" s="86" t="n">
        <v>7.52</v>
      </c>
      <c r="F26" s="137" t="n">
        <v>7.04</v>
      </c>
      <c r="G26" s="458" t="n">
        <v>9.359999999999999</v>
      </c>
      <c r="H26" s="464" t="n">
        <v>8.91</v>
      </c>
      <c r="I26" s="120" t="n">
        <v>7.39</v>
      </c>
      <c r="J26" s="91" t="n">
        <v>8.52</v>
      </c>
      <c r="K26" s="92" t="inlineStr">
        <is>
          <t>B+</t>
        </is>
      </c>
      <c r="L26" s="140" t="inlineStr">
        <is>
          <t>B+</t>
        </is>
      </c>
      <c r="M26" s="141" t="inlineStr">
        <is>
          <t>A+</t>
        </is>
      </c>
      <c r="N26" s="458">
        <f>TRUNC(AVERAGE(D26:J26),2)</f>
        <v/>
      </c>
      <c r="O26" s="93" t="inlineStr">
        <is>
          <t>F</t>
        </is>
      </c>
      <c r="P26" s="43" t="inlineStr">
        <is>
          <t>PROMOVIDO</t>
        </is>
      </c>
      <c r="Q26" s="142" t="n"/>
    </row>
    <row r="27" ht="18" customHeight="1" s="225">
      <c r="A27" s="135" t="n">
        <v>21</v>
      </c>
      <c r="B27" s="468" t="inlineStr">
        <is>
          <t>NIOLA QUITO ASHLY TATIANA</t>
        </is>
      </c>
      <c r="C27" s="184" t="n"/>
      <c r="D27" s="116" t="n">
        <v>7.79</v>
      </c>
      <c r="E27" s="105" t="n">
        <v>7.08</v>
      </c>
      <c r="F27" s="137" t="n">
        <v>7.16</v>
      </c>
      <c r="G27" s="458" t="n">
        <v>7.04</v>
      </c>
      <c r="H27" s="464" t="n">
        <v>8.51</v>
      </c>
      <c r="I27" s="120" t="n">
        <v>7.56</v>
      </c>
      <c r="J27" s="91" t="n">
        <v>8.44</v>
      </c>
      <c r="K27" s="92" t="inlineStr">
        <is>
          <t>B+</t>
        </is>
      </c>
      <c r="L27" s="140" t="inlineStr">
        <is>
          <t>B+</t>
        </is>
      </c>
      <c r="M27" s="141" t="inlineStr">
        <is>
          <t>A+</t>
        </is>
      </c>
      <c r="N27" s="66">
        <f>TRUNC(AVERAGE(D27:J27),2)</f>
        <v/>
      </c>
      <c r="O27" s="93" t="inlineStr">
        <is>
          <t>S</t>
        </is>
      </c>
      <c r="P27" s="43" t="inlineStr">
        <is>
          <t>PROMOVIDO</t>
        </is>
      </c>
      <c r="Q27" s="142" t="n"/>
    </row>
    <row r="28" ht="15" customHeight="1" s="225">
      <c r="A28" s="135" t="n">
        <v>22</v>
      </c>
      <c r="B28" s="468" t="inlineStr">
        <is>
          <t>PAUCAR QUIZHPI DIEGO ARMANDO</t>
        </is>
      </c>
      <c r="C28" s="184" t="n"/>
      <c r="D28" s="116" t="n">
        <v>7.32</v>
      </c>
      <c r="E28" s="86" t="n">
        <v>7.34</v>
      </c>
      <c r="F28" s="147" t="n">
        <v>7</v>
      </c>
      <c r="G28" s="458" t="n">
        <v>7.68</v>
      </c>
      <c r="H28" s="464" t="n">
        <v>8.050000000000001</v>
      </c>
      <c r="I28" s="120" t="n">
        <v>7.62</v>
      </c>
      <c r="J28" s="91" t="n">
        <v>7.96</v>
      </c>
      <c r="K28" s="92" t="inlineStr">
        <is>
          <t>B-</t>
        </is>
      </c>
      <c r="L28" s="140" t="inlineStr">
        <is>
          <t>B+</t>
        </is>
      </c>
      <c r="M28" s="141" t="inlineStr">
        <is>
          <t>A+</t>
        </is>
      </c>
      <c r="N28" s="458">
        <f>TRUNC(AVERAGE(D28:J28),2)</f>
        <v/>
      </c>
      <c r="O28" s="93" t="inlineStr">
        <is>
          <t>S</t>
        </is>
      </c>
      <c r="P28" s="43" t="inlineStr">
        <is>
          <t>PROMOVIDO</t>
        </is>
      </c>
      <c r="Q28" s="142" t="n"/>
    </row>
    <row r="29" ht="18" customHeight="1" s="225">
      <c r="A29" s="135" t="n">
        <v>23</v>
      </c>
      <c r="B29" s="468" t="inlineStr">
        <is>
          <t>PERALTA MALLA JOSE ANTONIO</t>
        </is>
      </c>
      <c r="C29" s="184" t="n"/>
      <c r="D29" s="116" t="n">
        <v>8.529999999999999</v>
      </c>
      <c r="E29" s="86" t="n">
        <v>8.31</v>
      </c>
      <c r="F29" s="137" t="n">
        <v>7.05</v>
      </c>
      <c r="G29" s="458" t="n">
        <v>7.94</v>
      </c>
      <c r="H29" s="470" t="n">
        <v>7.65</v>
      </c>
      <c r="I29" s="120" t="n">
        <v>8.279999999999999</v>
      </c>
      <c r="J29" s="91" t="n">
        <v>8.82</v>
      </c>
      <c r="K29" s="92" t="inlineStr">
        <is>
          <t>B+</t>
        </is>
      </c>
      <c r="L29" s="140" t="inlineStr">
        <is>
          <t>B+</t>
        </is>
      </c>
      <c r="M29" s="141" t="inlineStr">
        <is>
          <t>A+</t>
        </is>
      </c>
      <c r="N29" s="458">
        <f>TRUNC(AVERAGE(D29:J29),2)</f>
        <v/>
      </c>
      <c r="O29" s="93" t="inlineStr">
        <is>
          <t>F</t>
        </is>
      </c>
      <c r="P29" s="43" t="inlineStr">
        <is>
          <t>PROMOVIDO</t>
        </is>
      </c>
      <c r="Q29" s="142" t="n"/>
    </row>
    <row r="30" ht="15" customHeight="1" s="225">
      <c r="A30" s="135" t="n">
        <v>24</v>
      </c>
      <c r="B30" s="468" t="inlineStr">
        <is>
          <t>PILLACELA CHILLOGALLI KAREN ELIZABETH</t>
        </is>
      </c>
      <c r="C30" s="184" t="n"/>
      <c r="D30" s="116" t="n">
        <v>9.58</v>
      </c>
      <c r="E30" s="86" t="n">
        <v>9.26</v>
      </c>
      <c r="F30" s="137" t="n">
        <v>8.07</v>
      </c>
      <c r="G30" s="458" t="n">
        <v>9.140000000000001</v>
      </c>
      <c r="H30" s="471" t="n">
        <v>8.970000000000001</v>
      </c>
      <c r="I30" s="120" t="n">
        <v>9.44</v>
      </c>
      <c r="J30" s="91" t="n">
        <v>9.31</v>
      </c>
      <c r="K30" s="92" t="inlineStr">
        <is>
          <t>A-</t>
        </is>
      </c>
      <c r="L30" s="140" t="inlineStr">
        <is>
          <t>A+</t>
        </is>
      </c>
      <c r="M30" s="141" t="inlineStr">
        <is>
          <t>A+</t>
        </is>
      </c>
      <c r="N30" s="458">
        <f>TRUNC(AVERAGE(D30:J30),2)</f>
        <v/>
      </c>
      <c r="O30" s="93" t="inlineStr">
        <is>
          <t>S</t>
        </is>
      </c>
      <c r="P30" s="43" t="inlineStr">
        <is>
          <t>PROMOVIDO</t>
        </is>
      </c>
      <c r="Q30" s="142" t="n"/>
    </row>
    <row r="31" ht="15" customHeight="1" s="225">
      <c r="A31" s="135" t="n">
        <v>25</v>
      </c>
      <c r="B31" s="468" t="inlineStr">
        <is>
          <t>QUEZADA NAULA KARLA NAYELI</t>
        </is>
      </c>
      <c r="C31" s="184" t="n"/>
      <c r="D31" s="116" t="n">
        <v>7.77</v>
      </c>
      <c r="E31" s="86" t="n">
        <v>7.61</v>
      </c>
      <c r="F31" s="137" t="n">
        <v>7.01</v>
      </c>
      <c r="G31" s="458" t="n">
        <v>9.609999999999999</v>
      </c>
      <c r="H31" s="472" t="n">
        <v>9.42</v>
      </c>
      <c r="I31" s="120" t="n">
        <v>7.49</v>
      </c>
      <c r="J31" s="91" t="n">
        <v>7.6</v>
      </c>
      <c r="K31" s="92" t="inlineStr">
        <is>
          <t>B-</t>
        </is>
      </c>
      <c r="L31" s="140" t="inlineStr">
        <is>
          <t>A-</t>
        </is>
      </c>
      <c r="M31" s="141" t="inlineStr">
        <is>
          <t>A+</t>
        </is>
      </c>
      <c r="N31" s="458">
        <f>TRUNC(AVERAGE(D31:J31),2)</f>
        <v/>
      </c>
      <c r="O31" s="93" t="inlineStr">
        <is>
          <t>S</t>
        </is>
      </c>
      <c r="P31" s="43" t="inlineStr">
        <is>
          <t>PROMOVIDO</t>
        </is>
      </c>
      <c r="Q31" s="142" t="n"/>
    </row>
    <row r="32" ht="15" customHeight="1" s="225">
      <c r="A32" s="135" t="n">
        <v>26</v>
      </c>
      <c r="B32" s="468" t="inlineStr">
        <is>
          <t>QUITO CAGUANA ASHLEY VALENTINA</t>
        </is>
      </c>
      <c r="C32" s="184" t="n"/>
      <c r="D32" s="116" t="n">
        <v>8.300000000000001</v>
      </c>
      <c r="E32" s="86" t="n">
        <v>7.93</v>
      </c>
      <c r="F32" s="137" t="n">
        <v>7.5</v>
      </c>
      <c r="G32" s="458" t="n">
        <v>8.130000000000001</v>
      </c>
      <c r="H32" s="464" t="n">
        <v>8.640000000000001</v>
      </c>
      <c r="I32" s="120" t="n">
        <v>7.74</v>
      </c>
      <c r="J32" s="91" t="n">
        <v>8.42</v>
      </c>
      <c r="K32" s="92" t="inlineStr">
        <is>
          <t>B+</t>
        </is>
      </c>
      <c r="L32" s="140" t="inlineStr">
        <is>
          <t>B+</t>
        </is>
      </c>
      <c r="M32" s="141" t="inlineStr">
        <is>
          <t>A+</t>
        </is>
      </c>
      <c r="N32" s="458">
        <f>TRUNC(AVERAGE(D32:J32),2)</f>
        <v/>
      </c>
      <c r="O32" s="93" t="inlineStr">
        <is>
          <t>S</t>
        </is>
      </c>
      <c r="P32" s="43" t="inlineStr">
        <is>
          <t>PROMOVIDO</t>
        </is>
      </c>
      <c r="Q32" s="142" t="n"/>
    </row>
    <row r="33" ht="15" customHeight="1" s="225">
      <c r="A33" s="135" t="n">
        <v>27</v>
      </c>
      <c r="B33" s="468" t="inlineStr">
        <is>
          <t>QUITO CORDERO NICOLE ARIANNA</t>
        </is>
      </c>
      <c r="C33" s="184" t="n"/>
      <c r="D33" s="116" t="n">
        <v>9.029999999999999</v>
      </c>
      <c r="E33" s="86" t="n">
        <v>8.609999999999999</v>
      </c>
      <c r="F33" s="143" t="n">
        <v>8.57</v>
      </c>
      <c r="G33" s="458" t="n">
        <v>7.96</v>
      </c>
      <c r="H33" s="464" t="n">
        <v>8.539999999999999</v>
      </c>
      <c r="I33" s="120" t="n">
        <v>8.58</v>
      </c>
      <c r="J33" s="458" t="n">
        <v>9.31</v>
      </c>
      <c r="K33" s="92" t="inlineStr">
        <is>
          <t>A-</t>
        </is>
      </c>
      <c r="L33" s="140" t="inlineStr">
        <is>
          <t>A+</t>
        </is>
      </c>
      <c r="M33" s="141" t="inlineStr">
        <is>
          <t>A+</t>
        </is>
      </c>
      <c r="N33" s="458">
        <f>TRUNC(AVERAGE(D33:J33),2)</f>
        <v/>
      </c>
      <c r="O33" s="93" t="inlineStr">
        <is>
          <t>S</t>
        </is>
      </c>
      <c r="P33" s="43" t="inlineStr">
        <is>
          <t>PROMOVIDO</t>
        </is>
      </c>
      <c r="Q33" s="142" t="n"/>
    </row>
    <row r="34" ht="15" customHeight="1" s="225">
      <c r="A34" s="135" t="n">
        <v>28</v>
      </c>
      <c r="B34" s="468" t="inlineStr">
        <is>
          <t>QUITO GUACHICHULLCA STEVEN JOEL</t>
        </is>
      </c>
      <c r="C34" s="184" t="n"/>
      <c r="D34" s="116" t="n">
        <v>7.4</v>
      </c>
      <c r="E34" s="105" t="n">
        <v>7.05</v>
      </c>
      <c r="F34" s="146" t="n">
        <v>7</v>
      </c>
      <c r="G34" s="458" t="n">
        <v>9.050000000000001</v>
      </c>
      <c r="H34" s="464" t="n">
        <v>8.82</v>
      </c>
      <c r="I34" s="120" t="n">
        <v>7.3</v>
      </c>
      <c r="J34" s="91" t="n">
        <v>7.9</v>
      </c>
      <c r="K34" s="92" t="inlineStr">
        <is>
          <t>B+</t>
        </is>
      </c>
      <c r="L34" s="140" t="inlineStr">
        <is>
          <t>B+</t>
        </is>
      </c>
      <c r="M34" s="141" t="inlineStr">
        <is>
          <t>A+</t>
        </is>
      </c>
      <c r="N34" s="458">
        <f>TRUNC(AVERAGE(D34:J34),2)</f>
        <v/>
      </c>
      <c r="O34" s="93" t="inlineStr">
        <is>
          <t>F</t>
        </is>
      </c>
      <c r="P34" s="43" t="inlineStr">
        <is>
          <t>PROMOVIDO</t>
        </is>
      </c>
      <c r="Q34" s="142" t="n"/>
    </row>
    <row r="35" ht="15" customHeight="1" s="225">
      <c r="A35" s="135" t="n">
        <v>29</v>
      </c>
      <c r="B35" s="468" t="inlineStr">
        <is>
          <t>QUIZHPE FAJARDO CRISTIAN SEBASTIAN</t>
        </is>
      </c>
      <c r="C35" s="184" t="n"/>
      <c r="D35" s="116" t="n">
        <v>7.6</v>
      </c>
      <c r="E35" s="86" t="n">
        <v>8.130000000000001</v>
      </c>
      <c r="F35" s="143" t="n">
        <v>7.69</v>
      </c>
      <c r="G35" s="458" t="n">
        <v>7.44</v>
      </c>
      <c r="H35" s="464" t="n">
        <v>8.02</v>
      </c>
      <c r="I35" s="120" t="n">
        <v>7.67</v>
      </c>
      <c r="J35" s="91" t="n">
        <v>8.220000000000001</v>
      </c>
      <c r="K35" s="92" t="inlineStr">
        <is>
          <t>A-</t>
        </is>
      </c>
      <c r="L35" s="140" t="inlineStr">
        <is>
          <t>A-</t>
        </is>
      </c>
      <c r="M35" s="141" t="inlineStr">
        <is>
          <t>A+</t>
        </is>
      </c>
      <c r="N35" s="458">
        <f>TRUNC(AVERAGE(D35:J35),2)</f>
        <v/>
      </c>
      <c r="O35" s="93" t="inlineStr">
        <is>
          <t>S</t>
        </is>
      </c>
      <c r="P35" s="43" t="inlineStr">
        <is>
          <t>PROMOVIDO</t>
        </is>
      </c>
      <c r="Q35" s="142" t="n"/>
    </row>
    <row r="36" ht="15" customHeight="1" s="225">
      <c r="A36" s="135" t="n">
        <v>30</v>
      </c>
      <c r="B36" s="468" t="inlineStr">
        <is>
          <t>QUIZHPE GUAMANCELA JORDY STEVEN</t>
        </is>
      </c>
      <c r="C36" s="184" t="n"/>
      <c r="D36" s="116" t="n">
        <v>7.84</v>
      </c>
      <c r="E36" s="86" t="n">
        <v>7.47</v>
      </c>
      <c r="F36" s="143" t="n">
        <v>7.73</v>
      </c>
      <c r="G36" s="458" t="n">
        <v>8.640000000000001</v>
      </c>
      <c r="H36" s="464" t="n">
        <v>7.8</v>
      </c>
      <c r="I36" s="120" t="n">
        <v>7.5</v>
      </c>
      <c r="J36" s="91" t="n">
        <v>7.82</v>
      </c>
      <c r="K36" s="92" t="inlineStr">
        <is>
          <t>B-</t>
        </is>
      </c>
      <c r="L36" s="140" t="inlineStr">
        <is>
          <t>B+</t>
        </is>
      </c>
      <c r="M36" s="141" t="inlineStr">
        <is>
          <t>A+</t>
        </is>
      </c>
      <c r="N36" s="458">
        <f>TRUNC(AVERAGE(D36:J36),2)</f>
        <v/>
      </c>
      <c r="O36" s="93" t="inlineStr">
        <is>
          <t>F</t>
        </is>
      </c>
      <c r="P36" s="43" t="inlineStr">
        <is>
          <t>PROMOVIDO</t>
        </is>
      </c>
      <c r="Q36" s="142" t="n"/>
    </row>
    <row r="37" ht="15" customHeight="1" s="225">
      <c r="A37" s="135" t="n">
        <v>31</v>
      </c>
      <c r="B37" s="468" t="inlineStr">
        <is>
          <t>RAMIREZ JEREZ SEBASTIAN MIGUEL</t>
        </is>
      </c>
      <c r="C37" s="184" t="n"/>
      <c r="D37" s="116" t="n">
        <v>7.76</v>
      </c>
      <c r="E37" s="86" t="n">
        <v>7.42</v>
      </c>
      <c r="F37" s="151" t="n">
        <v>7</v>
      </c>
      <c r="G37" s="458" t="n">
        <v>7.09</v>
      </c>
      <c r="H37" s="464" t="n">
        <v>8.17</v>
      </c>
      <c r="I37" s="120" t="n">
        <v>7.64</v>
      </c>
      <c r="J37" s="91" t="n">
        <v>8.26</v>
      </c>
      <c r="K37" s="92" t="inlineStr">
        <is>
          <t>A-</t>
        </is>
      </c>
      <c r="L37" s="140" t="inlineStr">
        <is>
          <t>A-</t>
        </is>
      </c>
      <c r="M37" s="141" t="inlineStr">
        <is>
          <t>A+</t>
        </is>
      </c>
      <c r="N37" s="458">
        <f>TRUNC(AVERAGE(D37:J37),2)</f>
        <v/>
      </c>
      <c r="O37" s="93" t="inlineStr">
        <is>
          <t>S</t>
        </is>
      </c>
      <c r="P37" s="43" t="inlineStr">
        <is>
          <t>PROMOVIDO</t>
        </is>
      </c>
      <c r="Q37" s="142" t="n"/>
    </row>
    <row r="38" ht="15" customHeight="1" s="225">
      <c r="A38" s="135" t="n">
        <v>32</v>
      </c>
      <c r="B38" s="468" t="inlineStr">
        <is>
          <t>REMACHE BARBECHO JORDY MIGUEL</t>
        </is>
      </c>
      <c r="C38" s="184" t="n"/>
      <c r="D38" s="116" t="n">
        <v>8.17</v>
      </c>
      <c r="E38" s="86" t="n">
        <v>7.74</v>
      </c>
      <c r="F38" s="152" t="n">
        <v>7</v>
      </c>
      <c r="G38" s="458" t="n">
        <v>7.44</v>
      </c>
      <c r="H38" s="464" t="n">
        <v>7.61</v>
      </c>
      <c r="I38" s="120" t="n">
        <v>7.4</v>
      </c>
      <c r="J38" s="91" t="n">
        <v>8.23</v>
      </c>
      <c r="K38" s="92" t="inlineStr">
        <is>
          <t>B-</t>
        </is>
      </c>
      <c r="L38" s="140" t="inlineStr">
        <is>
          <t>A-</t>
        </is>
      </c>
      <c r="M38" s="141" t="inlineStr">
        <is>
          <t>A+</t>
        </is>
      </c>
      <c r="N38" s="458">
        <f>TRUNC(AVERAGE(D38:J38),2)</f>
        <v/>
      </c>
      <c r="O38" s="93" t="inlineStr">
        <is>
          <t>S</t>
        </is>
      </c>
      <c r="P38" s="43" t="inlineStr">
        <is>
          <t>PROMOVIDO</t>
        </is>
      </c>
      <c r="Q38" s="142" t="n"/>
    </row>
    <row r="39" ht="18" customHeight="1" s="225">
      <c r="A39" s="135" t="n">
        <v>33</v>
      </c>
      <c r="B39" s="468" t="inlineStr">
        <is>
          <t>SANCHEZ CAMPOVERDE JEAN CARLOS</t>
        </is>
      </c>
      <c r="C39" s="184" t="n"/>
      <c r="D39" s="116" t="n">
        <v>8.25</v>
      </c>
      <c r="E39" s="86" t="n">
        <v>8.31</v>
      </c>
      <c r="F39" s="143" t="n">
        <v>7.93</v>
      </c>
      <c r="G39" s="458" t="n">
        <v>8.83</v>
      </c>
      <c r="H39" s="464" t="n">
        <v>8.279999999999999</v>
      </c>
      <c r="I39" s="120" t="n">
        <v>7.52</v>
      </c>
      <c r="J39" s="91" t="n">
        <v>7.58</v>
      </c>
      <c r="K39" s="92" t="inlineStr">
        <is>
          <t>B+</t>
        </is>
      </c>
      <c r="L39" s="140" t="inlineStr">
        <is>
          <t>A-</t>
        </is>
      </c>
      <c r="M39" s="141" t="inlineStr">
        <is>
          <t>A+</t>
        </is>
      </c>
      <c r="N39" s="458">
        <f>TRUNC(AVERAGE(D39:J39),2)</f>
        <v/>
      </c>
      <c r="O39" s="93" t="inlineStr">
        <is>
          <t>S</t>
        </is>
      </c>
      <c r="P39" s="43" t="inlineStr">
        <is>
          <t>PROMOVIDO</t>
        </is>
      </c>
      <c r="Q39" s="142" t="n"/>
    </row>
    <row r="40" ht="15" customHeight="1" s="225">
      <c r="A40" s="135" t="n">
        <v>34</v>
      </c>
      <c r="B40" s="468" t="inlineStr">
        <is>
          <t>SIMBAÑA GUZHÑAY JUSTIN DAVID</t>
        </is>
      </c>
      <c r="C40" s="184" t="n"/>
      <c r="D40" s="116" t="n">
        <v>8.779999999999999</v>
      </c>
      <c r="E40" s="86" t="n">
        <v>8.460000000000001</v>
      </c>
      <c r="F40" s="469" t="n">
        <v>7.74</v>
      </c>
      <c r="G40" s="458" t="n">
        <v>8.9</v>
      </c>
      <c r="H40" s="464" t="n">
        <v>7.83</v>
      </c>
      <c r="I40" s="120" t="n">
        <v>8.619999999999999</v>
      </c>
      <c r="J40" s="91" t="n">
        <v>9.23</v>
      </c>
      <c r="K40" s="92" t="inlineStr">
        <is>
          <t>A-</t>
        </is>
      </c>
      <c r="L40" s="140" t="inlineStr">
        <is>
          <t>A-</t>
        </is>
      </c>
      <c r="M40" s="141" t="inlineStr">
        <is>
          <t>A+</t>
        </is>
      </c>
      <c r="N40" s="458">
        <f>TRUNC(AVERAGE(D40:J40),2)</f>
        <v/>
      </c>
      <c r="O40" s="93" t="inlineStr">
        <is>
          <t>S</t>
        </is>
      </c>
      <c r="P40" s="43" t="inlineStr">
        <is>
          <t>PROMOVIDO</t>
        </is>
      </c>
      <c r="Q40" s="142" t="n"/>
    </row>
    <row r="41" ht="14.25" customHeight="1" s="225">
      <c r="A41" s="135" t="n">
        <v>35</v>
      </c>
      <c r="B41" s="468" t="inlineStr">
        <is>
          <t>SIMBAÑA QUEZADA GEOFFREY XAVIER</t>
        </is>
      </c>
      <c r="C41" s="184" t="n"/>
      <c r="D41" s="116" t="n">
        <v>9.26</v>
      </c>
      <c r="E41" s="86" t="n">
        <v>9.15</v>
      </c>
      <c r="F41" s="469" t="n">
        <v>8.529999999999999</v>
      </c>
      <c r="G41" s="458" t="n">
        <v>8.029999999999999</v>
      </c>
      <c r="H41" s="464" t="n">
        <v>8.630000000000001</v>
      </c>
      <c r="I41" s="120" t="n">
        <v>8.84</v>
      </c>
      <c r="J41" s="91" t="n">
        <v>9.59</v>
      </c>
      <c r="K41" s="92" t="inlineStr">
        <is>
          <t>A+</t>
        </is>
      </c>
      <c r="L41" s="140" t="inlineStr">
        <is>
          <t>A+</t>
        </is>
      </c>
      <c r="M41" s="141" t="inlineStr">
        <is>
          <t>A+</t>
        </is>
      </c>
      <c r="N41" s="458">
        <f>TRUNC(AVERAGE(D41:J41),2)</f>
        <v/>
      </c>
      <c r="O41" s="93" t="inlineStr">
        <is>
          <t>S</t>
        </is>
      </c>
      <c r="P41" s="43" t="inlineStr">
        <is>
          <t>PROMOVIDO</t>
        </is>
      </c>
      <c r="Q41" s="142" t="n"/>
    </row>
    <row r="42" ht="15" customHeight="1" s="225">
      <c r="A42" s="135" t="n">
        <v>36</v>
      </c>
      <c r="B42" s="468" t="inlineStr">
        <is>
          <t>VALDEZ SARANGO JHONNY SEBASTIAN</t>
        </is>
      </c>
      <c r="C42" s="184" t="n"/>
      <c r="D42" s="116" t="n">
        <v>9.609999999999999</v>
      </c>
      <c r="E42" s="86" t="n">
        <v>9.33</v>
      </c>
      <c r="F42" s="143" t="n">
        <v>8.890000000000001</v>
      </c>
      <c r="G42" s="458" t="n">
        <v>8.949999999999999</v>
      </c>
      <c r="H42" s="464" t="n">
        <v>9.199999999999999</v>
      </c>
      <c r="I42" s="120" t="n">
        <v>9.210000000000001</v>
      </c>
      <c r="J42" s="91" t="n">
        <v>9.539999999999999</v>
      </c>
      <c r="K42" s="92" t="inlineStr">
        <is>
          <t>A+</t>
        </is>
      </c>
      <c r="L42" s="140" t="inlineStr">
        <is>
          <t>A+</t>
        </is>
      </c>
      <c r="M42" s="141" t="inlineStr">
        <is>
          <t>A+</t>
        </is>
      </c>
      <c r="N42" s="458">
        <f>TRUNC(AVERAGE(D42:J42),2)</f>
        <v/>
      </c>
      <c r="O42" s="93" t="inlineStr">
        <is>
          <t>S</t>
        </is>
      </c>
      <c r="P42" s="43" t="inlineStr">
        <is>
          <t>PROMOVIDO</t>
        </is>
      </c>
      <c r="Q42" s="142" t="n"/>
    </row>
    <row r="43" ht="15" customHeight="1" s="225">
      <c r="A43" s="135" t="n">
        <v>37</v>
      </c>
      <c r="B43" s="468" t="inlineStr">
        <is>
          <t>VELASCO GUAMAN LUIS DAVID</t>
        </is>
      </c>
      <c r="C43" s="184" t="n"/>
      <c r="D43" s="116" t="n">
        <v>8.029999999999999</v>
      </c>
      <c r="E43" s="86" t="n">
        <v>8.27</v>
      </c>
      <c r="F43" s="137" t="n">
        <v>7.16</v>
      </c>
      <c r="G43" s="458" t="n">
        <v>8.68</v>
      </c>
      <c r="H43" s="464" t="n">
        <v>8.66</v>
      </c>
      <c r="I43" s="120" t="n">
        <v>7.14</v>
      </c>
      <c r="J43" s="91" t="n">
        <v>7.38</v>
      </c>
      <c r="K43" s="92" t="inlineStr">
        <is>
          <t>B-</t>
        </is>
      </c>
      <c r="L43" s="140" t="inlineStr">
        <is>
          <t>B+</t>
        </is>
      </c>
      <c r="M43" s="141" t="inlineStr">
        <is>
          <t>A+</t>
        </is>
      </c>
      <c r="N43" s="458">
        <f>TRUNC(AVERAGE(D43:J43),2)</f>
        <v/>
      </c>
      <c r="O43" s="93" t="inlineStr">
        <is>
          <t>S</t>
        </is>
      </c>
      <c r="P43" s="43" t="inlineStr">
        <is>
          <t>PROMOVIDO</t>
        </is>
      </c>
      <c r="Q43" s="142" t="n"/>
    </row>
    <row r="44" ht="15" customHeight="1" s="225">
      <c r="A44" s="135" t="n">
        <v>38</v>
      </c>
      <c r="B44" s="468" t="inlineStr">
        <is>
          <t>VELESACA ZUÑA KAMILA YULIETH</t>
        </is>
      </c>
      <c r="C44" s="184" t="n"/>
      <c r="D44" s="116" t="n">
        <v>8.02</v>
      </c>
      <c r="E44" s="86" t="n">
        <v>7</v>
      </c>
      <c r="F44" s="147" t="n">
        <v>7</v>
      </c>
      <c r="G44" s="458" t="n">
        <v>7.42</v>
      </c>
      <c r="H44" s="464" t="n">
        <v>8.369999999999999</v>
      </c>
      <c r="I44" s="120" t="n">
        <v>7.29</v>
      </c>
      <c r="J44" s="91" t="n">
        <v>8.19</v>
      </c>
      <c r="K44" s="92" t="inlineStr">
        <is>
          <t>B-</t>
        </is>
      </c>
      <c r="L44" s="140" t="inlineStr">
        <is>
          <t>B+</t>
        </is>
      </c>
      <c r="M44" s="141" t="inlineStr">
        <is>
          <t>A+</t>
        </is>
      </c>
      <c r="N44" s="458">
        <f>TRUNC(AVERAGE(D44:J44),2)</f>
        <v/>
      </c>
      <c r="O44" s="93" t="inlineStr">
        <is>
          <t>S</t>
        </is>
      </c>
      <c r="P44" s="43" t="inlineStr">
        <is>
          <t>PROMOVIDO</t>
        </is>
      </c>
      <c r="Q44" s="142" t="n"/>
    </row>
    <row r="45" ht="15" customHeight="1" s="225">
      <c r="A45" s="135" t="n">
        <v>39</v>
      </c>
      <c r="B45" s="468" t="inlineStr">
        <is>
          <t>VELIZ CARRION JEFFREY BENJAMIN</t>
        </is>
      </c>
      <c r="C45" s="184" t="n"/>
      <c r="D45" s="116" t="n">
        <v>9.140000000000001</v>
      </c>
      <c r="E45" s="86" t="n">
        <v>9</v>
      </c>
      <c r="F45" s="143" t="n">
        <v>8.81</v>
      </c>
      <c r="G45" s="458" t="n">
        <v>8.779999999999999</v>
      </c>
      <c r="H45" s="464" t="n">
        <v>8.119999999999999</v>
      </c>
      <c r="I45" s="120" t="n">
        <v>8.890000000000001</v>
      </c>
      <c r="J45" s="91" t="n">
        <v>9.31</v>
      </c>
      <c r="K45" s="92" t="inlineStr">
        <is>
          <t>B+</t>
        </is>
      </c>
      <c r="L45" s="140" t="inlineStr">
        <is>
          <t>A+</t>
        </is>
      </c>
      <c r="M45" s="141" t="inlineStr">
        <is>
          <t>A+</t>
        </is>
      </c>
      <c r="N45" s="458">
        <f>TRUNC(AVERAGE(D45:J45),2)</f>
        <v/>
      </c>
      <c r="O45" s="93" t="inlineStr">
        <is>
          <t>S</t>
        </is>
      </c>
      <c r="P45" s="43" t="inlineStr">
        <is>
          <t>PROMOVIDO</t>
        </is>
      </c>
      <c r="Q45" s="11" t="n"/>
    </row>
    <row r="46" ht="15" customHeight="1" s="225">
      <c r="A46" s="135" t="n">
        <v>40</v>
      </c>
      <c r="B46" s="153" t="inlineStr">
        <is>
          <t>ZARATE SIAVICHAY LADAY CATALINA</t>
        </is>
      </c>
      <c r="C46" s="153" t="n"/>
      <c r="D46" s="116" t="n">
        <v>7.54</v>
      </c>
      <c r="E46" s="86" t="n">
        <v>7.26</v>
      </c>
      <c r="F46" s="137" t="n">
        <v>7.61</v>
      </c>
      <c r="G46" s="88" t="n">
        <v>8.869999999999999</v>
      </c>
      <c r="H46" s="139" t="n">
        <v>8.49</v>
      </c>
      <c r="I46" s="120" t="n">
        <v>7</v>
      </c>
      <c r="J46" s="91" t="n">
        <v>8.07</v>
      </c>
      <c r="K46" s="92" t="inlineStr">
        <is>
          <t>B+</t>
        </is>
      </c>
      <c r="L46" s="140" t="inlineStr">
        <is>
          <t>B+</t>
        </is>
      </c>
      <c r="M46" s="141" t="inlineStr">
        <is>
          <t>A+</t>
        </is>
      </c>
      <c r="N46" s="66">
        <f>TRUNC(AVERAGE(D46:J46),2)</f>
        <v/>
      </c>
      <c r="O46" s="93" t="inlineStr">
        <is>
          <t>S</t>
        </is>
      </c>
      <c r="P46" s="43" t="inlineStr">
        <is>
          <t>PROMOVIDO</t>
        </is>
      </c>
      <c r="Q46" s="11" t="n"/>
    </row>
    <row r="47" ht="14.25" customHeight="1" s="225">
      <c r="B47" s="10" t="inlineStr">
        <is>
          <t>Promedio</t>
        </is>
      </c>
      <c r="D47" s="106">
        <f>AVERAGE(D9:D46)</f>
        <v/>
      </c>
      <c r="E47" s="86">
        <f>AVERAGE(E9:E46)</f>
        <v/>
      </c>
      <c r="F47" s="215">
        <f>AVERAGE(F9:F46)</f>
        <v/>
      </c>
      <c r="G47" s="220" t="n">
        <v>8.58</v>
      </c>
      <c r="H47" s="155">
        <f>AVERAGE(H9:H46)</f>
        <v/>
      </c>
      <c r="I47" s="111">
        <f>AVERAGE(I9:I46)</f>
        <v/>
      </c>
      <c r="J47" s="111">
        <f>AVERAGE(J9:J46)</f>
        <v/>
      </c>
      <c r="K47" s="156" t="n"/>
      <c r="L47" s="156" t="n"/>
      <c r="M47" s="156" t="n"/>
      <c r="N47" s="111">
        <f>AVERAGE(N9:N46)</f>
        <v/>
      </c>
      <c r="O47" s="156" t="n"/>
    </row>
    <row r="48" ht="14.25" customHeight="1" s="225"/>
    <row r="49" ht="14.25" customHeight="1" s="225">
      <c r="C49" s="247" t="inlineStr">
        <is>
          <t xml:space="preserve">Ing. Sonia Chicaiza Mgtr. </t>
        </is>
      </c>
      <c r="F49" s="248" t="inlineStr">
        <is>
          <t xml:space="preserve">Lcda. Lucia Uzhca Mgtr. </t>
        </is>
      </c>
      <c r="G49" s="249" t="n"/>
      <c r="H49" s="249" t="n"/>
      <c r="I49" s="250" t="n"/>
      <c r="J49" s="72" t="n"/>
      <c r="L49" s="248" t="inlineStr">
        <is>
          <t>Lcdo. Juan  González</t>
        </is>
      </c>
      <c r="M49" s="249" t="n"/>
      <c r="N49" s="249" t="n"/>
      <c r="O49" s="249" t="n"/>
      <c r="P49" s="250" t="n"/>
    </row>
    <row r="50" ht="14.25" customHeight="1" s="225">
      <c r="C50" s="247" t="inlineStr">
        <is>
          <t>Rectora (e)</t>
        </is>
      </c>
      <c r="F50" s="248" t="inlineStr">
        <is>
          <t>Vicerrectora (e) Vespertina</t>
        </is>
      </c>
      <c r="G50" s="249" t="n"/>
      <c r="H50" s="249" t="n"/>
      <c r="I50" s="249" t="n"/>
      <c r="J50" s="250" t="n"/>
      <c r="L50" s="248" t="inlineStr">
        <is>
          <t>Docente Tutor</t>
        </is>
      </c>
      <c r="M50" s="249" t="n"/>
      <c r="N50" s="249" t="n"/>
      <c r="O50" s="250" t="n"/>
      <c r="P50" s="10" t="n"/>
    </row>
    <row r="51" ht="14.25" customHeight="1" s="225"/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4.25" customHeight="1" s="225"/>
    <row r="222" ht="14.25" customHeight="1" s="225"/>
    <row r="223" ht="14.25" customHeight="1" s="225"/>
    <row r="224" ht="14.25" customHeight="1" s="225"/>
    <row r="225" ht="14.25" customHeight="1" s="225"/>
    <row r="226" ht="14.25" customHeight="1" s="225"/>
    <row r="227" ht="14.25" customHeight="1" s="225"/>
    <row r="228" ht="14.25" customHeight="1" s="225"/>
    <row r="229" ht="14.25" customHeight="1" s="225"/>
    <row r="230" ht="14.25" customHeight="1" s="225"/>
    <row r="231" ht="14.25" customHeight="1" s="225"/>
    <row r="232" ht="14.25" customHeight="1" s="225"/>
    <row r="233" ht="14.25" customHeight="1" s="225"/>
    <row r="234" ht="14.25" customHeight="1" s="225"/>
    <row r="235" ht="14.25" customHeight="1" s="225"/>
    <row r="236" ht="14.25" customHeight="1" s="225"/>
    <row r="237" ht="14.25" customHeight="1" s="225"/>
    <row r="238" ht="14.25" customHeight="1" s="225"/>
    <row r="239" ht="14.25" customHeight="1" s="225"/>
    <row r="240" ht="14.25" customHeight="1" s="225"/>
    <row r="241" ht="14.25" customHeight="1" s="225"/>
    <row r="242" ht="14.25" customHeight="1" s="225"/>
    <row r="243" ht="14.25" customHeight="1" s="225"/>
    <row r="244" ht="14.25" customHeight="1" s="225"/>
    <row r="245" ht="14.2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</sheetData>
  <mergeCells count="13">
    <mergeCell ref="B6:C6"/>
    <mergeCell ref="L50:O50"/>
    <mergeCell ref="I4:J4"/>
    <mergeCell ref="B2:P2"/>
    <mergeCell ref="K3:N3"/>
    <mergeCell ref="A1:P1"/>
    <mergeCell ref="L49:P49"/>
    <mergeCell ref="C50:D50"/>
    <mergeCell ref="C3:E3"/>
    <mergeCell ref="F50:J50"/>
    <mergeCell ref="F49:I49"/>
    <mergeCell ref="C49:D49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4.86" customWidth="1" style="225" min="1" max="1"/>
    <col width="20.43" customWidth="1" style="225" min="2" max="2"/>
    <col width="13.71" customWidth="1" style="225" min="3" max="3"/>
    <col width="6.29" customWidth="1" style="225" min="4" max="4"/>
    <col width="8.140000000000001" customWidth="1" style="225" min="14" max="14"/>
    <col width="7.57" customWidth="1" style="225" min="15" max="15"/>
    <col width="18.71" customWidth="1" style="225" min="16" max="16"/>
    <col width="10.71" customWidth="1" style="225" min="17" max="17"/>
    <col width="14" customWidth="1" style="225" min="18" max="18"/>
  </cols>
  <sheetData>
    <row r="1" ht="72.75" customHeight="1" s="225">
      <c r="A1" s="11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5">
      <c r="A2" s="2" t="n"/>
      <c r="B2" s="3" t="inlineStr">
        <is>
          <t>AÑO LECTIVO: 2025-2026</t>
        </is>
      </c>
    </row>
    <row r="3" ht="14.25" customHeight="1" s="225">
      <c r="B3" s="75" t="inlineStr">
        <is>
          <t xml:space="preserve">DOCENTE:             </t>
        </is>
      </c>
      <c r="C3" s="5" t="inlineStr">
        <is>
          <t>Lcdo. Marlon Criollo Castro</t>
        </is>
      </c>
      <c r="F3" s="6" t="n"/>
      <c r="G3" s="6" t="n"/>
      <c r="H3" s="6" t="n"/>
      <c r="I3" s="7" t="inlineStr">
        <is>
          <t xml:space="preserve">JORNADA: </t>
        </is>
      </c>
      <c r="K3" s="8" t="inlineStr">
        <is>
          <t>VESPERTINA</t>
        </is>
      </c>
    </row>
    <row r="4" ht="14.25" customHeight="1" s="225">
      <c r="B4" s="9" t="inlineStr">
        <is>
          <t xml:space="preserve">AÑO DE EGB:        </t>
        </is>
      </c>
      <c r="C4" s="76" t="inlineStr">
        <is>
          <t>DÉCIMO A</t>
        </is>
      </c>
      <c r="E4" s="6" t="n"/>
      <c r="F4" s="6" t="n"/>
      <c r="G4" s="6" t="n"/>
      <c r="H4" s="6" t="n"/>
      <c r="I4" s="7" t="inlineStr">
        <is>
          <t>TRIMESTRE:</t>
        </is>
      </c>
      <c r="K4" s="11" t="inlineStr">
        <is>
          <t>PRIMERO, SEGUNDO, TERCERO</t>
        </is>
      </c>
      <c r="M4" s="6" t="n"/>
    </row>
    <row r="5" ht="6" customHeight="1" s="225">
      <c r="B5" s="12" t="n"/>
      <c r="C5" s="12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57.5" customHeight="1" s="225">
      <c r="A6" s="130" t="inlineStr">
        <is>
          <t>No</t>
        </is>
      </c>
      <c r="B6" s="251" t="inlineStr">
        <is>
          <t>NOMINA</t>
        </is>
      </c>
      <c r="C6" s="252" t="n"/>
      <c r="D6" s="157" t="inlineStr">
        <is>
          <t>LENGUA Y LITERATURA</t>
        </is>
      </c>
      <c r="E6" s="158" t="inlineStr">
        <is>
          <t>MATEMÁTICA</t>
        </is>
      </c>
      <c r="F6" s="159" t="inlineStr">
        <is>
          <t>CIENCIAS NATURALES</t>
        </is>
      </c>
      <c r="G6" s="160" t="inlineStr">
        <is>
          <t>ESTUDIOS SOCIALES</t>
        </is>
      </c>
      <c r="H6" s="161" t="inlineStr">
        <is>
          <t>INGLÉS</t>
        </is>
      </c>
      <c r="I6" s="162" t="inlineStr">
        <is>
          <t>EDUCACIÓN CULTURAL Y ARTISTICA</t>
        </is>
      </c>
      <c r="J6" s="163" t="inlineStr">
        <is>
          <t>EDUCACIÓN FÍSICA</t>
        </is>
      </c>
      <c r="K6" s="164" t="inlineStr">
        <is>
          <t>ANIMACIÓN A LA LECTURA</t>
        </is>
      </c>
      <c r="L6" s="165" t="inlineStr">
        <is>
          <t>ACOMPAÑAMIENTO INTEGRAL EN EL AULA</t>
        </is>
      </c>
      <c r="M6" s="157" t="inlineStr">
        <is>
          <t>ORIENTACIÓN VOCACIONAL</t>
        </is>
      </c>
      <c r="N6" s="166" t="inlineStr">
        <is>
          <t>PROMEDIO FINAL</t>
        </is>
      </c>
      <c r="O6" s="167" t="inlineStr">
        <is>
          <t>CCOMPORTAMIENTO</t>
        </is>
      </c>
      <c r="P6" s="83" t="inlineStr">
        <is>
          <t>OBSERVACIONES</t>
        </is>
      </c>
    </row>
    <row r="7" ht="14.25" customHeight="1" s="225">
      <c r="A7" s="135" t="n">
        <v>1</v>
      </c>
      <c r="B7" s="168" t="inlineStr">
        <is>
          <t>ARIAS UZHCA JHONY XAVIER</t>
        </is>
      </c>
      <c r="C7" s="169" t="n"/>
      <c r="D7" s="106" t="n">
        <v>8.050000000000001</v>
      </c>
      <c r="E7" s="170" t="n">
        <v>8.9</v>
      </c>
      <c r="F7" s="171" t="n">
        <v>8</v>
      </c>
      <c r="G7" s="88" t="n">
        <v>8.35</v>
      </c>
      <c r="H7" s="172" t="n">
        <v>7.98</v>
      </c>
      <c r="I7" s="173" t="n">
        <v>9.369999999999999</v>
      </c>
      <c r="J7" s="91" t="n">
        <v>8.69</v>
      </c>
      <c r="K7" s="92" t="inlineStr">
        <is>
          <t>A-</t>
        </is>
      </c>
      <c r="L7" s="140" t="inlineStr">
        <is>
          <t>A+</t>
        </is>
      </c>
      <c r="M7" s="40" t="inlineStr">
        <is>
          <t>A+</t>
        </is>
      </c>
      <c r="N7" s="174">
        <f>TRUNC(AVERAGE(D7:J7),2)</f>
        <v/>
      </c>
      <c r="O7" s="175" t="inlineStr">
        <is>
          <t>S</t>
        </is>
      </c>
      <c r="P7" s="43" t="inlineStr">
        <is>
          <t>PROMOVIDO</t>
        </is>
      </c>
      <c r="Q7" s="142" t="n"/>
    </row>
    <row r="8" ht="15" customHeight="1" s="225">
      <c r="A8" s="135" t="n">
        <v>2</v>
      </c>
      <c r="B8" s="184" t="inlineStr">
        <is>
          <t>BARBECHO TELLO DANIELA ABIGAIL</t>
        </is>
      </c>
      <c r="C8" s="213" t="n"/>
      <c r="D8" s="106" t="n">
        <v>9.24</v>
      </c>
      <c r="E8" s="177" t="n">
        <v>8.720000000000001</v>
      </c>
      <c r="F8" s="178" t="n">
        <v>7.98</v>
      </c>
      <c r="G8" s="88" t="n">
        <v>8.789999999999999</v>
      </c>
      <c r="H8" s="172" t="n">
        <v>8.449999999999999</v>
      </c>
      <c r="I8" s="173" t="n">
        <v>9.25</v>
      </c>
      <c r="J8" s="91" t="n">
        <v>8.92</v>
      </c>
      <c r="K8" s="92" t="inlineStr">
        <is>
          <t>A-</t>
        </is>
      </c>
      <c r="L8" s="140" t="inlineStr">
        <is>
          <t>A+</t>
        </is>
      </c>
      <c r="M8" s="95" t="inlineStr">
        <is>
          <t>A+</t>
        </is>
      </c>
      <c r="N8" s="174">
        <f>TRUNC(AVERAGE(D8:J8),2)</f>
        <v/>
      </c>
      <c r="O8" s="175" t="inlineStr">
        <is>
          <t>S</t>
        </is>
      </c>
      <c r="P8" s="43" t="inlineStr">
        <is>
          <t>PROMOVIDO</t>
        </is>
      </c>
      <c r="Q8" s="142" t="n"/>
    </row>
    <row r="9" ht="15" customHeight="1" s="225">
      <c r="A9" s="135" t="n">
        <v>3</v>
      </c>
      <c r="B9" s="468" t="inlineStr">
        <is>
          <t>BERMEO LEMA MARCO ANTONIO</t>
        </is>
      </c>
      <c r="C9" s="213" t="n"/>
      <c r="D9" s="106" t="n">
        <v>7.81</v>
      </c>
      <c r="E9" s="177" t="n">
        <v>7.2</v>
      </c>
      <c r="F9" s="178" t="n">
        <v>7.01</v>
      </c>
      <c r="G9" s="458" t="n">
        <v>8.31</v>
      </c>
      <c r="H9" s="172" t="n">
        <v>7.43</v>
      </c>
      <c r="I9" s="173" t="n">
        <v>8.06</v>
      </c>
      <c r="J9" s="91" t="n">
        <v>8.19</v>
      </c>
      <c r="K9" s="92" t="inlineStr">
        <is>
          <t>A-</t>
        </is>
      </c>
      <c r="L9" s="140" t="inlineStr">
        <is>
          <t>A+</t>
        </is>
      </c>
      <c r="M9" s="95" t="inlineStr">
        <is>
          <t>A+</t>
        </is>
      </c>
      <c r="N9" s="174">
        <f>TRUNC(AVERAGE(D9:J9),2)</f>
        <v/>
      </c>
      <c r="O9" s="175" t="inlineStr">
        <is>
          <t>S</t>
        </is>
      </c>
      <c r="P9" s="43" t="inlineStr">
        <is>
          <t>PROMOVIDO</t>
        </is>
      </c>
      <c r="Q9" s="142" t="n"/>
    </row>
    <row r="10" ht="15" customHeight="1" s="225">
      <c r="A10" s="135" t="n">
        <v>4</v>
      </c>
      <c r="B10" s="184" t="inlineStr">
        <is>
          <t>BERREZUETA MARTOS NICOLAS PAUL</t>
        </is>
      </c>
      <c r="C10" s="213" t="n"/>
      <c r="D10" s="106" t="n">
        <v>7.18</v>
      </c>
      <c r="E10" s="177" t="n">
        <v>7</v>
      </c>
      <c r="F10" s="179" t="n">
        <v>7</v>
      </c>
      <c r="G10" s="88" t="n">
        <v>7.49</v>
      </c>
      <c r="H10" s="172" t="n">
        <v>7.17</v>
      </c>
      <c r="I10" s="173" t="n">
        <v>7.63</v>
      </c>
      <c r="J10" s="91" t="n">
        <v>7.36</v>
      </c>
      <c r="K10" s="92" t="inlineStr">
        <is>
          <t>A-</t>
        </is>
      </c>
      <c r="L10" s="140" t="inlineStr">
        <is>
          <t>A+</t>
        </is>
      </c>
      <c r="M10" s="95" t="inlineStr">
        <is>
          <t>A+</t>
        </is>
      </c>
      <c r="N10" s="174">
        <f>TRUNC(AVERAGE(D10:J10),2)</f>
        <v/>
      </c>
      <c r="O10" s="175" t="inlineStr">
        <is>
          <t>S</t>
        </is>
      </c>
      <c r="P10" s="43" t="inlineStr">
        <is>
          <t xml:space="preserve">PROMOVIDO </t>
        </is>
      </c>
      <c r="Q10" s="142" t="n"/>
    </row>
    <row r="11" ht="15" customHeight="1" s="225">
      <c r="A11" s="135" t="n">
        <v>5</v>
      </c>
      <c r="B11" s="184" t="inlineStr">
        <is>
          <t>CABRERA FAJARDO JOSUE ALEJANDRO</t>
        </is>
      </c>
      <c r="C11" s="213" t="n"/>
      <c r="D11" s="106" t="n">
        <v>9.359999999999999</v>
      </c>
      <c r="E11" s="180" t="n">
        <v>9.06</v>
      </c>
      <c r="F11" s="178" t="n">
        <v>8.02</v>
      </c>
      <c r="G11" s="88" t="n">
        <v>9.07</v>
      </c>
      <c r="H11" s="172" t="n">
        <v>9.57</v>
      </c>
      <c r="I11" s="173" t="n">
        <v>9.300000000000001</v>
      </c>
      <c r="J11" s="91" t="n">
        <v>9.390000000000001</v>
      </c>
      <c r="K11" s="92" t="inlineStr">
        <is>
          <t>A-</t>
        </is>
      </c>
      <c r="L11" s="140" t="inlineStr">
        <is>
          <t>A+</t>
        </is>
      </c>
      <c r="M11" s="95" t="inlineStr">
        <is>
          <t>A+</t>
        </is>
      </c>
      <c r="N11" s="174">
        <f>TRUNC(AVERAGE(D11:J11),2)</f>
        <v/>
      </c>
      <c r="O11" s="175" t="inlineStr">
        <is>
          <t>S</t>
        </is>
      </c>
      <c r="P11" s="43" t="inlineStr">
        <is>
          <t>PROMOVIDO</t>
        </is>
      </c>
      <c r="Q11" s="142" t="n"/>
    </row>
    <row r="12" ht="15" customHeight="1" s="225">
      <c r="A12" s="135" t="n">
        <v>6</v>
      </c>
      <c r="B12" s="468" t="inlineStr">
        <is>
          <t>CAGUANA CASTRO LUIS MATEO</t>
        </is>
      </c>
      <c r="C12" s="213" t="n"/>
      <c r="D12" s="106" t="n">
        <v>8.44</v>
      </c>
      <c r="E12" s="180" t="n">
        <v>8.029999999999999</v>
      </c>
      <c r="F12" s="473" t="n">
        <v>7.57</v>
      </c>
      <c r="G12" s="458" t="n">
        <v>8.81</v>
      </c>
      <c r="H12" s="474" t="n">
        <v>7.88</v>
      </c>
      <c r="I12" s="173" t="n">
        <v>8.34</v>
      </c>
      <c r="J12" s="91" t="n">
        <v>8.109999999999999</v>
      </c>
      <c r="K12" s="92" t="inlineStr">
        <is>
          <t>A-</t>
        </is>
      </c>
      <c r="L12" s="140" t="inlineStr">
        <is>
          <t>A+</t>
        </is>
      </c>
      <c r="M12" s="95" t="inlineStr">
        <is>
          <t>A+</t>
        </is>
      </c>
      <c r="N12" s="174">
        <f>TRUNC(AVERAGE(D12:J12),2)</f>
        <v/>
      </c>
      <c r="O12" s="175" t="inlineStr">
        <is>
          <t>S</t>
        </is>
      </c>
      <c r="P12" s="43" t="inlineStr">
        <is>
          <t>PROMOVIDO</t>
        </is>
      </c>
      <c r="Q12" s="142" t="n"/>
    </row>
    <row r="13" ht="15" customHeight="1" s="225">
      <c r="A13" s="135" t="n">
        <v>7</v>
      </c>
      <c r="B13" s="468" t="inlineStr">
        <is>
          <t>CALLE CAMPOVERDE ERIKA ABIGAHIL</t>
        </is>
      </c>
      <c r="C13" s="213" t="n"/>
      <c r="D13" s="106" t="n">
        <v>9.050000000000001</v>
      </c>
      <c r="E13" s="177" t="n">
        <v>8.19</v>
      </c>
      <c r="F13" s="178" t="n">
        <v>8.31</v>
      </c>
      <c r="G13" s="88" t="n">
        <v>9.24</v>
      </c>
      <c r="H13" s="474" t="n">
        <v>9.199999999999999</v>
      </c>
      <c r="I13" s="173" t="n">
        <v>9.029999999999999</v>
      </c>
      <c r="J13" s="91" t="n">
        <v>9.32</v>
      </c>
      <c r="K13" s="92" t="inlineStr">
        <is>
          <t>A-</t>
        </is>
      </c>
      <c r="L13" s="140" t="inlineStr">
        <is>
          <t>A+</t>
        </is>
      </c>
      <c r="M13" s="95" t="inlineStr">
        <is>
          <t>A+</t>
        </is>
      </c>
      <c r="N13" s="174">
        <f>TRUNC(AVERAGE(D13:J13),2)</f>
        <v/>
      </c>
      <c r="O13" s="175" t="inlineStr">
        <is>
          <t>S</t>
        </is>
      </c>
      <c r="P13" s="43" t="inlineStr">
        <is>
          <t>PROMOVIDO</t>
        </is>
      </c>
      <c r="Q13" s="142" t="n"/>
    </row>
    <row r="14" ht="15" customHeight="1" s="225">
      <c r="A14" s="135" t="n">
        <v>8</v>
      </c>
      <c r="B14" s="468" t="inlineStr">
        <is>
          <t>CAMPOVERDE MARIN ANAHI VALENTINA</t>
        </is>
      </c>
      <c r="C14" s="213" t="n"/>
      <c r="D14" s="106" t="n">
        <v>9.07</v>
      </c>
      <c r="E14" s="177" t="n">
        <v>7.92</v>
      </c>
      <c r="F14" s="181" t="n">
        <v>8.01</v>
      </c>
      <c r="G14" s="88" t="n">
        <v>8.56</v>
      </c>
      <c r="H14" s="474" t="n">
        <v>9.08</v>
      </c>
      <c r="I14" s="173" t="n">
        <v>9.380000000000001</v>
      </c>
      <c r="J14" s="91" t="n">
        <v>9.67</v>
      </c>
      <c r="K14" s="92" t="inlineStr">
        <is>
          <t>A-</t>
        </is>
      </c>
      <c r="L14" s="140" t="inlineStr">
        <is>
          <t>A+</t>
        </is>
      </c>
      <c r="M14" s="95" t="inlineStr">
        <is>
          <t>A+</t>
        </is>
      </c>
      <c r="N14" s="174">
        <f>TRUNC(AVERAGE(D14:J14),2)</f>
        <v/>
      </c>
      <c r="O14" s="175" t="inlineStr">
        <is>
          <t>S</t>
        </is>
      </c>
      <c r="P14" s="43" t="inlineStr">
        <is>
          <t>PROMOVIDO</t>
        </is>
      </c>
      <c r="Q14" s="142" t="n"/>
    </row>
    <row r="15" ht="15" customHeight="1" s="225">
      <c r="A15" s="135" t="n">
        <v>9</v>
      </c>
      <c r="B15" s="184" t="inlineStr">
        <is>
          <t>CAMPOVERDE PEÑA BETSABETH FERNANDA</t>
        </is>
      </c>
      <c r="C15" s="213" t="n"/>
      <c r="D15" s="106" t="n">
        <v>9.609999999999999</v>
      </c>
      <c r="E15" s="170" t="n">
        <v>9.43</v>
      </c>
      <c r="F15" s="178" t="n">
        <v>9.43</v>
      </c>
      <c r="G15" s="88" t="n">
        <v>9.6</v>
      </c>
      <c r="H15" s="182" t="n">
        <v>9.609999999999999</v>
      </c>
      <c r="I15" s="173" t="n">
        <v>9.529999999999999</v>
      </c>
      <c r="J15" s="91" t="n">
        <v>9.74</v>
      </c>
      <c r="K15" s="92" t="inlineStr">
        <is>
          <t>A+</t>
        </is>
      </c>
      <c r="L15" s="140" t="inlineStr">
        <is>
          <t>A+</t>
        </is>
      </c>
      <c r="M15" s="95" t="inlineStr">
        <is>
          <t>A+</t>
        </is>
      </c>
      <c r="N15" s="174">
        <f>TRUNC(AVERAGE(D15:J15),2)</f>
        <v/>
      </c>
      <c r="O15" s="175" t="inlineStr">
        <is>
          <t>S</t>
        </is>
      </c>
      <c r="P15" s="43" t="inlineStr">
        <is>
          <t>PROMOVIDO</t>
        </is>
      </c>
      <c r="Q15" s="142" t="n"/>
    </row>
    <row r="16" ht="15" customHeight="1" s="225">
      <c r="A16" s="135" t="n">
        <v>10</v>
      </c>
      <c r="B16" s="468" t="inlineStr">
        <is>
          <t>CAMPOVERDE VALDEZ DAVID ANDRES</t>
        </is>
      </c>
      <c r="C16" s="213" t="n"/>
      <c r="D16" s="106" t="n">
        <v>7.63</v>
      </c>
      <c r="E16" s="177" t="n">
        <v>7.17</v>
      </c>
      <c r="F16" s="171" t="n">
        <v>7</v>
      </c>
      <c r="G16" s="88" t="n">
        <v>7.65</v>
      </c>
      <c r="H16" s="460" t="n">
        <v>7.59</v>
      </c>
      <c r="I16" s="173" t="n">
        <v>7.61</v>
      </c>
      <c r="J16" s="91" t="n">
        <v>7.54</v>
      </c>
      <c r="K16" s="92" t="inlineStr">
        <is>
          <t>B+</t>
        </is>
      </c>
      <c r="L16" s="140" t="inlineStr">
        <is>
          <t>A+</t>
        </is>
      </c>
      <c r="M16" s="95" t="inlineStr">
        <is>
          <t>A+</t>
        </is>
      </c>
      <c r="N16" s="475">
        <f>TRUNC(AVERAGE(D16:J16),2)</f>
        <v/>
      </c>
      <c r="O16" s="175" t="inlineStr">
        <is>
          <t>S</t>
        </is>
      </c>
      <c r="P16" s="43" t="inlineStr">
        <is>
          <t>PROMOVIDO</t>
        </is>
      </c>
      <c r="Q16" s="142" t="n"/>
    </row>
    <row r="17" ht="15" customHeight="1" s="225">
      <c r="A17" s="135" t="n">
        <v>11</v>
      </c>
      <c r="B17" s="184" t="inlineStr">
        <is>
          <t>CEDEÑO VALENTIN MATIAS EDUARDO</t>
        </is>
      </c>
      <c r="C17" s="213" t="n"/>
      <c r="D17" s="106" t="n">
        <v>7.19</v>
      </c>
      <c r="E17" s="177" t="n">
        <v>7</v>
      </c>
      <c r="F17" s="179" t="n">
        <v>7</v>
      </c>
      <c r="G17" s="88" t="n">
        <v>7.93</v>
      </c>
      <c r="H17" s="172" t="n">
        <v>7.24</v>
      </c>
      <c r="I17" s="173" t="n">
        <v>7.1</v>
      </c>
      <c r="J17" s="91" t="n">
        <v>7</v>
      </c>
      <c r="K17" s="92" t="inlineStr">
        <is>
          <t>B+</t>
        </is>
      </c>
      <c r="L17" s="140" t="inlineStr">
        <is>
          <t>A+</t>
        </is>
      </c>
      <c r="M17" s="95" t="inlineStr">
        <is>
          <t>A+</t>
        </is>
      </c>
      <c r="N17" s="174">
        <f>TRUNC(AVERAGE(D17:J17),2)</f>
        <v/>
      </c>
      <c r="O17" s="175" t="inlineStr">
        <is>
          <t>S</t>
        </is>
      </c>
      <c r="P17" s="43" t="inlineStr">
        <is>
          <t xml:space="preserve">PROMOVIDO </t>
        </is>
      </c>
      <c r="Q17" s="142" t="n"/>
    </row>
    <row r="18" ht="15" customHeight="1" s="225">
      <c r="A18" s="135" t="n">
        <v>12</v>
      </c>
      <c r="B18" s="184" t="inlineStr">
        <is>
          <t>CHACA CAMPOVERDE DENISE VALESKA</t>
        </is>
      </c>
      <c r="C18" s="213" t="n"/>
      <c r="D18" s="106" t="n">
        <v>9.43</v>
      </c>
      <c r="E18" s="177" t="n">
        <v>9.18</v>
      </c>
      <c r="F18" s="178" t="n">
        <v>9.220000000000001</v>
      </c>
      <c r="G18" s="88" t="n">
        <v>9.42</v>
      </c>
      <c r="H18" s="172" t="n">
        <v>9.42</v>
      </c>
      <c r="I18" s="173" t="n">
        <v>9.91</v>
      </c>
      <c r="J18" s="91" t="n">
        <v>9.92</v>
      </c>
      <c r="K18" s="92" t="inlineStr">
        <is>
          <t>A-</t>
        </is>
      </c>
      <c r="L18" s="140" t="inlineStr">
        <is>
          <t>A+</t>
        </is>
      </c>
      <c r="M18" s="95" t="inlineStr">
        <is>
          <t>A+</t>
        </is>
      </c>
      <c r="N18" s="174">
        <f>TRUNC(AVERAGE(D18:J18),2)</f>
        <v/>
      </c>
      <c r="O18" s="175" t="inlineStr">
        <is>
          <t>S</t>
        </is>
      </c>
      <c r="P18" s="43" t="inlineStr">
        <is>
          <t>PROMOVIDO</t>
        </is>
      </c>
      <c r="Q18" s="142" t="n"/>
    </row>
    <row r="19" ht="15" customHeight="1" s="225">
      <c r="A19" s="135" t="n">
        <v>13</v>
      </c>
      <c r="B19" s="184" t="inlineStr">
        <is>
          <t>CHILLOGALLO PIZARRO STEVEN ADRIAN</t>
        </is>
      </c>
      <c r="C19" s="213" t="n"/>
      <c r="D19" s="106" t="n">
        <v>7.68</v>
      </c>
      <c r="E19" s="177" t="n">
        <v>7.35</v>
      </c>
      <c r="F19" s="181" t="n">
        <v>7.01</v>
      </c>
      <c r="G19" s="88" t="n">
        <v>8.69</v>
      </c>
      <c r="H19" s="172" t="n">
        <v>7.96</v>
      </c>
      <c r="I19" s="173" t="n">
        <v>7.79</v>
      </c>
      <c r="J19" s="91" t="n">
        <v>8.300000000000001</v>
      </c>
      <c r="K19" s="92" t="inlineStr">
        <is>
          <t>B+</t>
        </is>
      </c>
      <c r="L19" s="140" t="inlineStr">
        <is>
          <t>A+</t>
        </is>
      </c>
      <c r="M19" s="95" t="inlineStr">
        <is>
          <t>A+</t>
        </is>
      </c>
      <c r="N19" s="174">
        <f>TRUNC(AVERAGE(D19:J19),2)</f>
        <v/>
      </c>
      <c r="O19" s="175" t="inlineStr">
        <is>
          <t>S</t>
        </is>
      </c>
      <c r="P19" s="43" t="inlineStr">
        <is>
          <t>PROMOVIDO</t>
        </is>
      </c>
      <c r="Q19" s="142" t="n"/>
    </row>
    <row r="20" ht="15" customHeight="1" s="225">
      <c r="A20" s="135" t="n">
        <v>14</v>
      </c>
      <c r="B20" s="184" t="inlineStr">
        <is>
          <t>CORTE PROAÑO JAIME FERNANDO</t>
        </is>
      </c>
      <c r="C20" s="213" t="n"/>
      <c r="D20" s="106" t="n">
        <v>7.27</v>
      </c>
      <c r="E20" s="177" t="n">
        <v>7</v>
      </c>
      <c r="F20" s="178" t="n">
        <v>7.06</v>
      </c>
      <c r="G20" s="88" t="n">
        <v>7.97</v>
      </c>
      <c r="H20" s="172" t="n">
        <v>7.5</v>
      </c>
      <c r="I20" s="173" t="n">
        <v>7</v>
      </c>
      <c r="J20" s="91" t="n">
        <v>7.48</v>
      </c>
      <c r="K20" s="92" t="inlineStr">
        <is>
          <t>A-</t>
        </is>
      </c>
      <c r="L20" s="140" t="inlineStr">
        <is>
          <t>A+</t>
        </is>
      </c>
      <c r="M20" s="95" t="inlineStr">
        <is>
          <t>A+</t>
        </is>
      </c>
      <c r="N20" s="174">
        <f>TRUNC(AVERAGE(D20:J20),2)</f>
        <v/>
      </c>
      <c r="O20" s="175" t="inlineStr">
        <is>
          <t>S</t>
        </is>
      </c>
      <c r="P20" s="43" t="inlineStr">
        <is>
          <t xml:space="preserve">PROMOVIDO </t>
        </is>
      </c>
      <c r="Q20" s="142" t="n"/>
    </row>
    <row r="21" ht="15" customHeight="1" s="225">
      <c r="A21" s="135" t="n">
        <v>15</v>
      </c>
      <c r="B21" s="468" t="inlineStr">
        <is>
          <t>CUEVA UZHCA MARJURY LIZBETH</t>
        </is>
      </c>
      <c r="C21" s="213" t="n"/>
      <c r="D21" s="106" t="n">
        <v>7.75</v>
      </c>
      <c r="E21" s="177" t="n">
        <v>7</v>
      </c>
      <c r="F21" s="179" t="n">
        <v>7</v>
      </c>
      <c r="G21" s="458" t="n">
        <v>7.72</v>
      </c>
      <c r="H21" s="172" t="n">
        <v>8.06</v>
      </c>
      <c r="I21" s="173" t="n">
        <v>8.16</v>
      </c>
      <c r="J21" s="91" t="n">
        <v>8.93</v>
      </c>
      <c r="K21" s="92" t="inlineStr">
        <is>
          <t>A-</t>
        </is>
      </c>
      <c r="L21" s="140" t="inlineStr">
        <is>
          <t>A+</t>
        </is>
      </c>
      <c r="M21" s="95" t="inlineStr">
        <is>
          <t>A+</t>
        </is>
      </c>
      <c r="N21" s="174">
        <f>TRUNC(AVERAGE(D21:J21),2)</f>
        <v/>
      </c>
      <c r="O21" s="175" t="inlineStr">
        <is>
          <t>S</t>
        </is>
      </c>
      <c r="P21" s="43" t="inlineStr">
        <is>
          <t xml:space="preserve">PROMOVIDO </t>
        </is>
      </c>
      <c r="Q21" s="142" t="n"/>
    </row>
    <row r="22" ht="15" customHeight="1" s="225">
      <c r="A22" s="135" t="n">
        <v>16</v>
      </c>
      <c r="B22" s="468" t="inlineStr">
        <is>
          <t>CUMBE JIMENEZ JOSE ANDRES</t>
        </is>
      </c>
      <c r="C22" s="213" t="n"/>
      <c r="D22" s="106" t="n">
        <v>7.72</v>
      </c>
      <c r="E22" s="476" t="n">
        <v>7</v>
      </c>
      <c r="F22" s="179" t="n">
        <v>7</v>
      </c>
      <c r="G22" s="458" t="n">
        <v>8.380000000000001</v>
      </c>
      <c r="H22" s="172" t="n">
        <v>7.51</v>
      </c>
      <c r="I22" s="173" t="n">
        <v>7</v>
      </c>
      <c r="J22" s="91" t="n">
        <v>7.86</v>
      </c>
      <c r="K22" s="92" t="inlineStr">
        <is>
          <t>A-</t>
        </is>
      </c>
      <c r="L22" s="140" t="inlineStr">
        <is>
          <t>A+</t>
        </is>
      </c>
      <c r="M22" s="95" t="inlineStr">
        <is>
          <t>A+</t>
        </is>
      </c>
      <c r="N22" s="475">
        <f>TRUNC(AVERAGE(D22:J22),2)</f>
        <v/>
      </c>
      <c r="O22" s="175" t="inlineStr">
        <is>
          <t>S</t>
        </is>
      </c>
      <c r="P22" s="43" t="inlineStr">
        <is>
          <t xml:space="preserve">PROMOVIDO </t>
        </is>
      </c>
      <c r="Q22" s="142" t="n"/>
    </row>
    <row r="23" ht="15" customHeight="1" s="225">
      <c r="A23" s="135" t="n">
        <v>17</v>
      </c>
      <c r="B23" s="184" t="inlineStr">
        <is>
          <t>ELIZALDE CRUZ EMILY ALEXANDRA</t>
        </is>
      </c>
      <c r="C23" s="213" t="n"/>
      <c r="D23" s="106" t="n">
        <v>9.539999999999999</v>
      </c>
      <c r="E23" s="177" t="n">
        <v>9.69</v>
      </c>
      <c r="F23" s="178" t="n">
        <v>9.119999999999999</v>
      </c>
      <c r="G23" s="88" t="n">
        <v>9.529999999999999</v>
      </c>
      <c r="H23" s="172" t="n">
        <v>9.57</v>
      </c>
      <c r="I23" s="173" t="n">
        <v>9.25</v>
      </c>
      <c r="J23" s="91" t="n">
        <v>9.6</v>
      </c>
      <c r="K23" s="92" t="inlineStr">
        <is>
          <t>A-</t>
        </is>
      </c>
      <c r="L23" s="140" t="inlineStr">
        <is>
          <t>A+</t>
        </is>
      </c>
      <c r="M23" s="95" t="inlineStr">
        <is>
          <t>A+</t>
        </is>
      </c>
      <c r="N23" s="174">
        <f>TRUNC(AVERAGE(D23:J23),2)</f>
        <v/>
      </c>
      <c r="O23" s="175" t="inlineStr">
        <is>
          <t>S</t>
        </is>
      </c>
      <c r="P23" s="43" t="inlineStr">
        <is>
          <t>PROMOVIDO</t>
        </is>
      </c>
      <c r="Q23" s="142" t="n"/>
    </row>
    <row r="24" ht="15" customHeight="1" s="225">
      <c r="A24" s="135" t="n">
        <v>18</v>
      </c>
      <c r="B24" s="468" t="inlineStr">
        <is>
          <t>FAJARDO PANDIGUANA MILAGROS GUADALUPE</t>
        </is>
      </c>
      <c r="C24" s="213" t="n"/>
      <c r="D24" s="106" t="n">
        <v>8.98</v>
      </c>
      <c r="E24" s="177" t="n">
        <v>9.23</v>
      </c>
      <c r="F24" s="178" t="n">
        <v>9.220000000000001</v>
      </c>
      <c r="G24" s="458" t="n">
        <v>9.26</v>
      </c>
      <c r="H24" s="172" t="n">
        <v>8.970000000000001</v>
      </c>
      <c r="I24" s="173" t="n">
        <v>9.779999999999999</v>
      </c>
      <c r="J24" s="91" t="n">
        <v>9.720000000000001</v>
      </c>
      <c r="K24" s="92" t="inlineStr">
        <is>
          <t>A-</t>
        </is>
      </c>
      <c r="L24" s="140" t="inlineStr">
        <is>
          <t>A+</t>
        </is>
      </c>
      <c r="M24" s="95" t="inlineStr">
        <is>
          <t>A+</t>
        </is>
      </c>
      <c r="N24" s="174">
        <f>TRUNC(AVERAGE(D24:J24),2)</f>
        <v/>
      </c>
      <c r="O24" s="175" t="inlineStr">
        <is>
          <t>S</t>
        </is>
      </c>
      <c r="P24" s="43" t="inlineStr">
        <is>
          <t>PROMOVIDO</t>
        </is>
      </c>
      <c r="Q24" s="142" t="n"/>
    </row>
    <row r="25" ht="15" customHeight="1" s="225">
      <c r="A25" s="135" t="n">
        <v>19</v>
      </c>
      <c r="B25" s="184" t="inlineStr">
        <is>
          <t>FERNANDEZ FERNANDEZ ANAHI ROSARIO</t>
        </is>
      </c>
      <c r="C25" s="213" t="n"/>
      <c r="D25" s="106" t="n">
        <v>8.800000000000001</v>
      </c>
      <c r="E25" s="177" t="n">
        <v>8.34</v>
      </c>
      <c r="F25" s="178" t="n">
        <v>7.85</v>
      </c>
      <c r="G25" s="88" t="n">
        <v>8.640000000000001</v>
      </c>
      <c r="H25" s="172" t="n">
        <v>8.369999999999999</v>
      </c>
      <c r="I25" s="173" t="n">
        <v>8.98</v>
      </c>
      <c r="J25" s="91" t="n">
        <v>8.699999999999999</v>
      </c>
      <c r="K25" s="92" t="inlineStr">
        <is>
          <t>A-</t>
        </is>
      </c>
      <c r="L25" s="140" t="inlineStr">
        <is>
          <t>A+</t>
        </is>
      </c>
      <c r="M25" s="95" t="inlineStr">
        <is>
          <t>A+</t>
        </is>
      </c>
      <c r="N25" s="174">
        <f>TRUNC(AVERAGE(D25:J25),2)</f>
        <v/>
      </c>
      <c r="O25" s="175" t="inlineStr">
        <is>
          <t>S</t>
        </is>
      </c>
      <c r="P25" s="43" t="inlineStr">
        <is>
          <t>PROMOVIDO</t>
        </is>
      </c>
      <c r="Q25" s="142" t="n"/>
    </row>
    <row r="26" ht="15" customHeight="1" s="225">
      <c r="A26" s="135" t="n">
        <v>20</v>
      </c>
      <c r="B26" s="468" t="inlineStr">
        <is>
          <t>FERNANDEZ NAREA GABRIEL PATRICIO</t>
        </is>
      </c>
      <c r="C26" s="213" t="n"/>
      <c r="D26" s="106" t="n">
        <v>7.84</v>
      </c>
      <c r="E26" s="177" t="n">
        <v>8.17</v>
      </c>
      <c r="F26" s="181" t="n">
        <v>7.22</v>
      </c>
      <c r="G26" s="458" t="n">
        <v>7.92</v>
      </c>
      <c r="H26" s="172" t="n">
        <v>8.27</v>
      </c>
      <c r="I26" s="173" t="n">
        <v>7.97</v>
      </c>
      <c r="J26" s="91" t="n">
        <v>8.279999999999999</v>
      </c>
      <c r="K26" s="92" t="inlineStr">
        <is>
          <t>B+</t>
        </is>
      </c>
      <c r="L26" s="140" t="inlineStr">
        <is>
          <t>A+</t>
        </is>
      </c>
      <c r="M26" s="95" t="inlineStr">
        <is>
          <t>A+</t>
        </is>
      </c>
      <c r="N26" s="475">
        <f>TRUNC(AVERAGE(D26:J26),2)</f>
        <v/>
      </c>
      <c r="O26" s="175" t="inlineStr">
        <is>
          <t>S</t>
        </is>
      </c>
      <c r="P26" s="43" t="inlineStr">
        <is>
          <t>PROMOVIDO</t>
        </is>
      </c>
      <c r="Q26" s="142" t="n"/>
    </row>
    <row r="27" ht="18" customHeight="1" s="225">
      <c r="A27" s="135" t="n">
        <v>21</v>
      </c>
      <c r="B27" s="468" t="inlineStr">
        <is>
          <t>GOMEZ MINUCHE MARYURI YAMILETH</t>
        </is>
      </c>
      <c r="C27" s="213" t="n"/>
      <c r="D27" s="106" t="n">
        <v>8.039999999999999</v>
      </c>
      <c r="E27" s="180" t="n">
        <v>8.039999999999999</v>
      </c>
      <c r="F27" s="178" t="n">
        <v>7.69</v>
      </c>
      <c r="G27" s="458" t="n">
        <v>8.69</v>
      </c>
      <c r="H27" s="172" t="n">
        <v>8.199999999999999</v>
      </c>
      <c r="I27" s="173" t="n">
        <v>8.69</v>
      </c>
      <c r="J27" s="91" t="n">
        <v>8.699999999999999</v>
      </c>
      <c r="K27" s="92" t="inlineStr">
        <is>
          <t>A+</t>
        </is>
      </c>
      <c r="L27" s="140" t="inlineStr">
        <is>
          <t>A+</t>
        </is>
      </c>
      <c r="M27" s="95" t="inlineStr">
        <is>
          <t>A+</t>
        </is>
      </c>
      <c r="N27" s="174">
        <f>TRUNC(AVERAGE(D27:J27),2)</f>
        <v/>
      </c>
      <c r="O27" s="175" t="inlineStr">
        <is>
          <t>S</t>
        </is>
      </c>
      <c r="P27" s="43" t="inlineStr">
        <is>
          <t>PROMOVIDO</t>
        </is>
      </c>
      <c r="Q27" s="142" t="n"/>
    </row>
    <row r="28" ht="15" customHeight="1" s="225">
      <c r="A28" s="135" t="n">
        <v>22</v>
      </c>
      <c r="B28" s="468" t="inlineStr">
        <is>
          <t>GUAILLAS LEON KAREN AYELEN</t>
        </is>
      </c>
      <c r="C28" s="213" t="n"/>
      <c r="D28" s="106" t="n">
        <v>9.34</v>
      </c>
      <c r="E28" s="180" t="n">
        <v>9.07</v>
      </c>
      <c r="F28" s="178" t="n">
        <v>9.44</v>
      </c>
      <c r="G28" s="458" t="n">
        <v>9.800000000000001</v>
      </c>
      <c r="H28" s="172" t="n">
        <v>8.890000000000001</v>
      </c>
      <c r="I28" s="173" t="n">
        <v>9.859999999999999</v>
      </c>
      <c r="J28" s="91" t="n">
        <v>9.66</v>
      </c>
      <c r="K28" s="92" t="inlineStr">
        <is>
          <t>A+</t>
        </is>
      </c>
      <c r="L28" s="140" t="inlineStr">
        <is>
          <t>A+</t>
        </is>
      </c>
      <c r="M28" s="95" t="inlineStr">
        <is>
          <t>A+</t>
        </is>
      </c>
      <c r="N28" s="174">
        <f>TRUNC(AVERAGE(D28:J28),2)</f>
        <v/>
      </c>
      <c r="O28" s="175" t="inlineStr">
        <is>
          <t>S</t>
        </is>
      </c>
      <c r="P28" s="43" t="inlineStr">
        <is>
          <t>PROMOVIDO</t>
        </is>
      </c>
      <c r="Q28" s="142" t="n"/>
    </row>
    <row r="29" ht="18" customHeight="1" s="225">
      <c r="A29" s="135" t="n">
        <v>23</v>
      </c>
      <c r="B29" s="184" t="inlineStr">
        <is>
          <t>GUAMBAÑA AREVALO DAYSI ABIGAIL</t>
        </is>
      </c>
      <c r="C29" s="213" t="n"/>
      <c r="D29" s="106" t="n">
        <v>7.8</v>
      </c>
      <c r="E29" s="177" t="n">
        <v>7</v>
      </c>
      <c r="F29" s="179" t="n">
        <v>7</v>
      </c>
      <c r="G29" s="88" t="n">
        <v>8.43</v>
      </c>
      <c r="H29" s="172" t="n">
        <v>8.050000000000001</v>
      </c>
      <c r="I29" s="173" t="n">
        <v>7.55</v>
      </c>
      <c r="J29" s="91" t="n">
        <v>8.08</v>
      </c>
      <c r="K29" s="92" t="inlineStr">
        <is>
          <t>A-</t>
        </is>
      </c>
      <c r="L29" s="140" t="inlineStr">
        <is>
          <t>A+</t>
        </is>
      </c>
      <c r="M29" s="95" t="inlineStr">
        <is>
          <t>A+</t>
        </is>
      </c>
      <c r="N29" s="174">
        <f>TRUNC(AVERAGE(D29:J29),2)</f>
        <v/>
      </c>
      <c r="O29" s="175" t="inlineStr">
        <is>
          <t>S</t>
        </is>
      </c>
      <c r="P29" s="43" t="inlineStr">
        <is>
          <t xml:space="preserve">PROMOVIDO </t>
        </is>
      </c>
      <c r="Q29" s="142" t="n"/>
    </row>
    <row r="30" ht="15" customHeight="1" s="225">
      <c r="A30" s="135" t="n">
        <v>24</v>
      </c>
      <c r="B30" s="184" t="inlineStr">
        <is>
          <t>GUARTASACA BUENO PAULA ABIGAIL</t>
        </is>
      </c>
      <c r="C30" s="213" t="n"/>
      <c r="D30" s="106" t="n">
        <v>8.720000000000001</v>
      </c>
      <c r="E30" s="177" t="n">
        <v>7.8</v>
      </c>
      <c r="F30" s="178" t="n">
        <v>7.57</v>
      </c>
      <c r="G30" s="88" t="n">
        <v>8.199999999999999</v>
      </c>
      <c r="H30" s="172" t="n">
        <v>8.4</v>
      </c>
      <c r="I30" s="173" t="n">
        <v>7.81</v>
      </c>
      <c r="J30" s="91" t="n">
        <v>8.33</v>
      </c>
      <c r="K30" s="92" t="inlineStr">
        <is>
          <t>A-</t>
        </is>
      </c>
      <c r="L30" s="140" t="inlineStr">
        <is>
          <t>A+</t>
        </is>
      </c>
      <c r="M30" s="95" t="inlineStr">
        <is>
          <t>A+</t>
        </is>
      </c>
      <c r="N30" s="174">
        <f>TRUNC(AVERAGE(D30:J30),2)</f>
        <v/>
      </c>
      <c r="O30" s="175" t="inlineStr">
        <is>
          <t>S</t>
        </is>
      </c>
      <c r="P30" s="43" t="inlineStr">
        <is>
          <t>PROMOVIDO</t>
        </is>
      </c>
      <c r="Q30" s="142" t="n"/>
    </row>
    <row r="31" ht="15" customHeight="1" s="225">
      <c r="A31" s="135" t="n">
        <v>25</v>
      </c>
      <c r="B31" s="468" t="inlineStr">
        <is>
          <t>HERAS REYES KAISER MATIAS</t>
        </is>
      </c>
      <c r="C31" s="213" t="n"/>
      <c r="D31" s="106" t="n">
        <v>7.59</v>
      </c>
      <c r="E31" s="177" t="n">
        <v>7</v>
      </c>
      <c r="F31" s="179" t="n">
        <v>7</v>
      </c>
      <c r="G31" s="458" t="n">
        <v>8.52</v>
      </c>
      <c r="H31" s="172" t="n">
        <v>7.6</v>
      </c>
      <c r="I31" s="173" t="n">
        <v>7.07</v>
      </c>
      <c r="J31" s="91" t="n">
        <v>7.17</v>
      </c>
      <c r="K31" s="92" t="inlineStr">
        <is>
          <t>A-</t>
        </is>
      </c>
      <c r="L31" s="140" t="inlineStr">
        <is>
          <t>A+</t>
        </is>
      </c>
      <c r="M31" s="95" t="inlineStr">
        <is>
          <t>A+</t>
        </is>
      </c>
      <c r="N31" s="475">
        <f>TRUNC(AVERAGE(D31:J31),2)</f>
        <v/>
      </c>
      <c r="O31" s="175" t="inlineStr">
        <is>
          <t>S</t>
        </is>
      </c>
      <c r="P31" s="43" t="inlineStr">
        <is>
          <t>PROMOVIDO</t>
        </is>
      </c>
      <c r="Q31" s="142" t="n"/>
    </row>
    <row r="32" ht="15" customHeight="1" s="225">
      <c r="A32" s="135" t="n">
        <v>26</v>
      </c>
      <c r="B32" s="184" t="inlineStr">
        <is>
          <t>LLANES CUEVA OMAR RICARDO</t>
        </is>
      </c>
      <c r="C32" s="213" t="n"/>
      <c r="D32" s="106" t="n">
        <v>7.83</v>
      </c>
      <c r="E32" s="177" t="n">
        <v>7</v>
      </c>
      <c r="F32" s="179" t="n">
        <v>7</v>
      </c>
      <c r="G32" s="88" t="n">
        <v>7.02</v>
      </c>
      <c r="H32" s="172" t="n">
        <v>7.22</v>
      </c>
      <c r="I32" s="173" t="n">
        <v>7</v>
      </c>
      <c r="J32" s="91" t="n">
        <v>7.44</v>
      </c>
      <c r="K32" s="92" t="inlineStr">
        <is>
          <t>A-</t>
        </is>
      </c>
      <c r="L32" s="140" t="inlineStr">
        <is>
          <t>A+</t>
        </is>
      </c>
      <c r="M32" s="95" t="inlineStr">
        <is>
          <t>A+</t>
        </is>
      </c>
      <c r="N32" s="174">
        <f>TRUNC(AVERAGE(D32:J32),2)</f>
        <v/>
      </c>
      <c r="O32" s="175" t="inlineStr">
        <is>
          <t>S</t>
        </is>
      </c>
      <c r="P32" s="43" t="inlineStr">
        <is>
          <t>PROMOVIDO</t>
        </is>
      </c>
      <c r="Q32" s="142" t="n"/>
    </row>
    <row r="33" ht="15" customHeight="1" s="225">
      <c r="A33" s="135" t="n">
        <v>27</v>
      </c>
      <c r="B33" s="468" t="inlineStr">
        <is>
          <t>LLANGARI GOMEZ JHOEL SANTIAGO</t>
        </is>
      </c>
      <c r="C33" s="213" t="n"/>
      <c r="D33" s="106" t="n">
        <v>7.28</v>
      </c>
      <c r="E33" s="180" t="n">
        <v>7</v>
      </c>
      <c r="F33" s="179" t="n">
        <v>7</v>
      </c>
      <c r="G33" s="458" t="n">
        <v>7.1</v>
      </c>
      <c r="H33" s="172" t="n">
        <v>7.4</v>
      </c>
      <c r="I33" s="173" t="n">
        <v>7.09</v>
      </c>
      <c r="J33" s="91" t="n">
        <v>7.28</v>
      </c>
      <c r="K33" s="92" t="inlineStr">
        <is>
          <t>B+</t>
        </is>
      </c>
      <c r="L33" s="140" t="inlineStr">
        <is>
          <t>A+</t>
        </is>
      </c>
      <c r="M33" s="95" t="inlineStr">
        <is>
          <t>A+</t>
        </is>
      </c>
      <c r="N33" s="475">
        <f>TRUNC(AVERAGE(D33:J33),2)</f>
        <v/>
      </c>
      <c r="O33" s="175" t="inlineStr">
        <is>
          <t>S</t>
        </is>
      </c>
      <c r="P33" s="43" t="inlineStr">
        <is>
          <t>PROMOVIDO</t>
        </is>
      </c>
      <c r="Q33" s="142" t="n"/>
    </row>
    <row r="34" ht="15" customHeight="1" s="225">
      <c r="A34" s="135" t="n">
        <v>28</v>
      </c>
      <c r="B34" s="468" t="inlineStr">
        <is>
          <t>MARCA PULGARIN DAVID SEBASTIAN</t>
        </is>
      </c>
      <c r="C34" s="213" t="n"/>
      <c r="D34" s="106" t="n">
        <v>8.94</v>
      </c>
      <c r="E34" s="177" t="n">
        <v>9.19</v>
      </c>
      <c r="F34" s="181" t="n">
        <v>7.96</v>
      </c>
      <c r="G34" s="458" t="n">
        <v>8.42</v>
      </c>
      <c r="H34" s="172" t="n">
        <v>9.31</v>
      </c>
      <c r="I34" s="173" t="n">
        <v>7.96</v>
      </c>
      <c r="J34" s="91" t="n">
        <v>8.68</v>
      </c>
      <c r="K34" s="92" t="inlineStr">
        <is>
          <t>A-</t>
        </is>
      </c>
      <c r="L34" s="140" t="inlineStr">
        <is>
          <t>A+</t>
        </is>
      </c>
      <c r="M34" s="95" t="inlineStr">
        <is>
          <t>A+</t>
        </is>
      </c>
      <c r="N34" s="475">
        <f>TRUNC(AVERAGE(D34:J34),2)</f>
        <v/>
      </c>
      <c r="O34" s="175" t="inlineStr">
        <is>
          <t>S</t>
        </is>
      </c>
      <c r="P34" s="43" t="inlineStr">
        <is>
          <t>PROMOVIDO</t>
        </is>
      </c>
      <c r="Q34" s="142" t="n"/>
    </row>
    <row r="35" ht="15" customHeight="1" s="225">
      <c r="A35" s="135" t="n">
        <v>29</v>
      </c>
      <c r="B35" s="468" t="inlineStr">
        <is>
          <t>MENA FAJARDO KLEBER ALBINO</t>
        </is>
      </c>
      <c r="C35" s="213" t="n"/>
      <c r="D35" s="106" t="n">
        <v>7.83</v>
      </c>
      <c r="E35" s="177" t="n">
        <v>7.69</v>
      </c>
      <c r="F35" s="181" t="n">
        <v>7.02</v>
      </c>
      <c r="G35" s="458" t="n">
        <v>8.24</v>
      </c>
      <c r="H35" s="474" t="n">
        <v>7.67</v>
      </c>
      <c r="I35" s="173" t="n">
        <v>7.91</v>
      </c>
      <c r="J35" s="91" t="n">
        <v>8.470000000000001</v>
      </c>
      <c r="K35" s="92" t="inlineStr">
        <is>
          <t>A-</t>
        </is>
      </c>
      <c r="L35" s="140" t="inlineStr">
        <is>
          <t>A+</t>
        </is>
      </c>
      <c r="M35" s="95" t="inlineStr">
        <is>
          <t>A+</t>
        </is>
      </c>
      <c r="N35" s="475">
        <f>TRUNC(AVERAGE(D35:J35),2)</f>
        <v/>
      </c>
      <c r="O35" s="175" t="inlineStr">
        <is>
          <t>S</t>
        </is>
      </c>
      <c r="P35" s="43" t="inlineStr">
        <is>
          <t>PROMOVIDO</t>
        </is>
      </c>
      <c r="Q35" s="142" t="n"/>
    </row>
    <row r="36" ht="15" customHeight="1" s="225">
      <c r="A36" s="135" t="n">
        <v>30</v>
      </c>
      <c r="B36" s="468" t="inlineStr">
        <is>
          <t>MORA SIGUENZA HUGO ALEJANDRO</t>
        </is>
      </c>
      <c r="C36" s="213" t="n"/>
      <c r="D36" s="106" t="n">
        <v>7.33</v>
      </c>
      <c r="E36" s="177" t="n">
        <v>7</v>
      </c>
      <c r="F36" s="178" t="n">
        <v>7.05</v>
      </c>
      <c r="G36" s="458" t="n">
        <v>7.61</v>
      </c>
      <c r="H36" s="172" t="n">
        <v>7.26</v>
      </c>
      <c r="I36" s="173" t="n">
        <v>7.08</v>
      </c>
      <c r="J36" s="91" t="n">
        <v>7.05</v>
      </c>
      <c r="K36" s="92" t="inlineStr">
        <is>
          <t>B+</t>
        </is>
      </c>
      <c r="L36" s="140" t="inlineStr">
        <is>
          <t>A+</t>
        </is>
      </c>
      <c r="M36" s="95" t="inlineStr">
        <is>
          <t>A+</t>
        </is>
      </c>
      <c r="N36" s="174">
        <f>TRUNC(AVERAGE(D36:J36),2)</f>
        <v/>
      </c>
      <c r="O36" s="175" t="inlineStr">
        <is>
          <t>O</t>
        </is>
      </c>
      <c r="P36" s="43" t="inlineStr">
        <is>
          <t>PROMOVIDO</t>
        </is>
      </c>
      <c r="Q36" s="142" t="n"/>
    </row>
    <row r="37" ht="15" customHeight="1" s="225">
      <c r="A37" s="183" t="n">
        <v>31</v>
      </c>
      <c r="B37" s="468" t="inlineStr">
        <is>
          <t>MOROCHO PUCHA JOHNNY PATRICIO</t>
        </is>
      </c>
      <c r="C37" s="213" t="n"/>
      <c r="D37" s="106" t="n">
        <v>7.53</v>
      </c>
      <c r="E37" s="177" t="n">
        <v>7.11</v>
      </c>
      <c r="F37" s="181" t="n">
        <v>7.02</v>
      </c>
      <c r="G37" s="458" t="n">
        <v>7.98</v>
      </c>
      <c r="H37" s="474" t="n">
        <v>7.09</v>
      </c>
      <c r="I37" s="173" t="n">
        <v>7.3</v>
      </c>
      <c r="J37" s="91" t="n">
        <v>7.91</v>
      </c>
      <c r="K37" s="92" t="inlineStr">
        <is>
          <t>B+</t>
        </is>
      </c>
      <c r="L37" s="140" t="inlineStr">
        <is>
          <t>A+</t>
        </is>
      </c>
      <c r="M37" s="95" t="inlineStr">
        <is>
          <t>A+</t>
        </is>
      </c>
      <c r="N37" s="475">
        <f>TRUNC(AVERAGE(D37:J37),2)</f>
        <v/>
      </c>
      <c r="O37" s="175" t="inlineStr">
        <is>
          <t>O</t>
        </is>
      </c>
      <c r="P37" s="43" t="inlineStr">
        <is>
          <t>PROMOVIDO</t>
        </is>
      </c>
      <c r="Q37" s="142" t="n"/>
    </row>
    <row r="38" ht="15" customHeight="1" s="225">
      <c r="A38" s="183" t="n">
        <v>32</v>
      </c>
      <c r="B38" s="468" t="inlineStr">
        <is>
          <t>ORELLANA GUICHAY ALEXANDRA NICOL</t>
        </is>
      </c>
      <c r="C38" s="213" t="n"/>
      <c r="D38" s="458" t="n">
        <v>8.48</v>
      </c>
      <c r="E38" s="177" t="n">
        <v>8.369999999999999</v>
      </c>
      <c r="F38" s="178" t="n">
        <v>7.8</v>
      </c>
      <c r="G38" s="88" t="n">
        <v>8.470000000000001</v>
      </c>
      <c r="H38" s="172" t="n">
        <v>8.84</v>
      </c>
      <c r="I38" s="173" t="n">
        <v>8.630000000000001</v>
      </c>
      <c r="J38" s="91" t="n">
        <v>8.779999999999999</v>
      </c>
      <c r="K38" s="92" t="inlineStr">
        <is>
          <t>B+</t>
        </is>
      </c>
      <c r="L38" s="140" t="inlineStr">
        <is>
          <t>A+</t>
        </is>
      </c>
      <c r="M38" s="95" t="inlineStr">
        <is>
          <t>A+</t>
        </is>
      </c>
      <c r="N38" s="475">
        <f>TRUNC(AVERAGE(D38:J38),2)</f>
        <v/>
      </c>
      <c r="O38" s="175" t="inlineStr">
        <is>
          <t>S</t>
        </is>
      </c>
      <c r="P38" s="43" t="inlineStr">
        <is>
          <t>PROMOVIDO</t>
        </is>
      </c>
      <c r="Q38" s="142" t="n"/>
    </row>
    <row r="39" ht="18" customHeight="1" s="225">
      <c r="A39" s="183" t="n">
        <v>33</v>
      </c>
      <c r="B39" s="468" t="inlineStr">
        <is>
          <t>ORELLANA MENDEZ JOHN ALEXANDER</t>
        </is>
      </c>
      <c r="C39" s="213" t="n"/>
      <c r="D39" s="106" t="n">
        <v>8.23</v>
      </c>
      <c r="E39" s="177" t="n">
        <v>7.67</v>
      </c>
      <c r="F39" s="178" t="n">
        <v>7.41</v>
      </c>
      <c r="G39" s="458" t="n">
        <v>8.359999999999999</v>
      </c>
      <c r="H39" s="172" t="n">
        <v>8.130000000000001</v>
      </c>
      <c r="I39" s="173" t="n">
        <v>8.52</v>
      </c>
      <c r="J39" s="91" t="n">
        <v>8.31</v>
      </c>
      <c r="K39" s="92" t="inlineStr">
        <is>
          <t>A-</t>
        </is>
      </c>
      <c r="L39" s="140" t="inlineStr">
        <is>
          <t>A+</t>
        </is>
      </c>
      <c r="M39" s="95" t="inlineStr">
        <is>
          <t>A+</t>
        </is>
      </c>
      <c r="N39" s="475">
        <f>TRUNC(AVERAGE(D39:J39),2)</f>
        <v/>
      </c>
      <c r="O39" s="175" t="inlineStr">
        <is>
          <t>S</t>
        </is>
      </c>
      <c r="P39" s="43" t="inlineStr">
        <is>
          <t>PROMOVIDO</t>
        </is>
      </c>
      <c r="Q39" s="142" t="n"/>
    </row>
    <row r="40" ht="15" customHeight="1" s="225">
      <c r="A40" s="183" t="n">
        <v>34</v>
      </c>
      <c r="B40" s="468" t="inlineStr">
        <is>
          <t>PASATO UZHCA DENISSE PAOLA</t>
        </is>
      </c>
      <c r="C40" s="213" t="n"/>
      <c r="D40" s="106" t="n">
        <v>8.92</v>
      </c>
      <c r="E40" s="177" t="n">
        <v>8.66</v>
      </c>
      <c r="F40" s="178" t="n">
        <v>8.140000000000001</v>
      </c>
      <c r="G40" s="458" t="n">
        <v>8.73</v>
      </c>
      <c r="H40" s="172" t="n">
        <v>9</v>
      </c>
      <c r="I40" s="173" t="n">
        <v>9.08</v>
      </c>
      <c r="J40" s="91" t="n">
        <v>8.77</v>
      </c>
      <c r="K40" s="92" t="inlineStr">
        <is>
          <t>A-</t>
        </is>
      </c>
      <c r="L40" s="140" t="inlineStr">
        <is>
          <t>A+</t>
        </is>
      </c>
      <c r="M40" s="95" t="inlineStr">
        <is>
          <t>A+</t>
        </is>
      </c>
      <c r="N40" s="174">
        <f>TRUNC(AVERAGE(D40:J40),2)</f>
        <v/>
      </c>
      <c r="O40" s="175" t="inlineStr">
        <is>
          <t>S</t>
        </is>
      </c>
      <c r="P40" s="43" t="inlineStr">
        <is>
          <t>PROMOVIDO</t>
        </is>
      </c>
      <c r="Q40" s="142" t="n"/>
    </row>
    <row r="41" ht="14.25" customHeight="1" s="225">
      <c r="A41" s="183" t="n">
        <v>35</v>
      </c>
      <c r="B41" s="468" t="inlineStr">
        <is>
          <t>PERALTA LANDI JESSICA PATRICIA</t>
        </is>
      </c>
      <c r="C41" s="213" t="n"/>
      <c r="D41" s="106" t="n">
        <v>9.09</v>
      </c>
      <c r="E41" s="177" t="n">
        <v>8.9</v>
      </c>
      <c r="F41" s="178" t="n">
        <v>8.880000000000001</v>
      </c>
      <c r="G41" s="458" t="n">
        <v>8.94</v>
      </c>
      <c r="H41" s="172" t="n">
        <v>8.68</v>
      </c>
      <c r="I41" s="173" t="n">
        <v>9.23</v>
      </c>
      <c r="J41" s="458" t="n">
        <v>9.67</v>
      </c>
      <c r="K41" s="92" t="inlineStr">
        <is>
          <t>A-</t>
        </is>
      </c>
      <c r="L41" s="140" t="inlineStr">
        <is>
          <t>A+</t>
        </is>
      </c>
      <c r="M41" s="95" t="inlineStr">
        <is>
          <t>A+</t>
        </is>
      </c>
      <c r="N41" s="475">
        <f>TRUNC(AVERAGE(D41:J41),2)</f>
        <v/>
      </c>
      <c r="O41" s="175" t="inlineStr">
        <is>
          <t>S</t>
        </is>
      </c>
      <c r="P41" s="43" t="inlineStr">
        <is>
          <t>PROMOVIDO</t>
        </is>
      </c>
      <c r="Q41" s="142" t="n"/>
    </row>
    <row r="42" ht="15" customHeight="1" s="225">
      <c r="A42" s="183" t="n">
        <v>36</v>
      </c>
      <c r="B42" s="468" t="inlineStr">
        <is>
          <t>PEÑA CEDACERO SALOME GUADALUPE</t>
        </is>
      </c>
      <c r="C42" s="213" t="n"/>
      <c r="D42" s="106" t="n">
        <v>9.210000000000001</v>
      </c>
      <c r="E42" s="180" t="n">
        <v>9.029999999999999</v>
      </c>
      <c r="F42" s="178" t="n">
        <v>8.109999999999999</v>
      </c>
      <c r="G42" s="458" t="n">
        <v>8.82</v>
      </c>
      <c r="H42" s="172" t="n">
        <v>8.35</v>
      </c>
      <c r="I42" s="173" t="n">
        <v>8.609999999999999</v>
      </c>
      <c r="J42" s="91" t="n">
        <v>8.74</v>
      </c>
      <c r="K42" s="92" t="inlineStr">
        <is>
          <t>A-</t>
        </is>
      </c>
      <c r="L42" s="140" t="inlineStr">
        <is>
          <t>A+</t>
        </is>
      </c>
      <c r="M42" s="95" t="inlineStr">
        <is>
          <t>A+</t>
        </is>
      </c>
      <c r="N42" s="475">
        <f>TRUNC(AVERAGE(D42:J42),2)</f>
        <v/>
      </c>
      <c r="O42" s="175" t="inlineStr">
        <is>
          <t>S</t>
        </is>
      </c>
      <c r="P42" s="43" t="inlineStr">
        <is>
          <t>PROMOVIDO</t>
        </is>
      </c>
      <c r="Q42" s="142" t="n"/>
    </row>
    <row r="43" ht="15" customHeight="1" s="225">
      <c r="A43" s="183" t="n">
        <v>37</v>
      </c>
      <c r="B43" s="477" t="inlineStr">
        <is>
          <t>POZO ZHAÑAY JUAN DE DIOS</t>
        </is>
      </c>
      <c r="C43" s="252" t="n"/>
      <c r="D43" s="458" t="n">
        <v>2.59</v>
      </c>
      <c r="E43" s="478" t="n">
        <v>2.45</v>
      </c>
      <c r="F43" s="479" t="n">
        <v>2.47</v>
      </c>
      <c r="G43" s="458" t="n">
        <v>2.63</v>
      </c>
      <c r="H43" s="187" t="n">
        <v>2.61</v>
      </c>
      <c r="I43" s="173" t="n">
        <v>2.87</v>
      </c>
      <c r="J43" s="91" t="n">
        <v>2.44</v>
      </c>
      <c r="K43" s="92" t="inlineStr">
        <is>
          <t>B+</t>
        </is>
      </c>
      <c r="L43" s="140" t="inlineStr">
        <is>
          <t>B-</t>
        </is>
      </c>
      <c r="M43" s="95" t="inlineStr">
        <is>
          <t>B-</t>
        </is>
      </c>
      <c r="N43" s="480" t="n">
        <v>2.58</v>
      </c>
      <c r="O43" s="175" t="inlineStr">
        <is>
          <t>S</t>
        </is>
      </c>
      <c r="P43" s="43" t="inlineStr">
        <is>
          <t xml:space="preserve">NO PROMOVIDO </t>
        </is>
      </c>
      <c r="Q43" s="142" t="n"/>
    </row>
    <row r="44" ht="15" customHeight="1" s="225">
      <c r="A44" s="183" t="n">
        <v>38</v>
      </c>
      <c r="B44" s="477" t="inlineStr">
        <is>
          <t>SANCHEZ CHALCO ANAHI ALEXANDRA</t>
        </is>
      </c>
      <c r="C44" s="252" t="n"/>
      <c r="D44" s="458" t="n">
        <v>7.82</v>
      </c>
      <c r="E44" s="180" t="n">
        <v>7.09</v>
      </c>
      <c r="F44" s="178" t="n">
        <v>7.25</v>
      </c>
      <c r="G44" s="458" t="n">
        <v>8.130000000000001</v>
      </c>
      <c r="H44" s="189" t="n">
        <v>7</v>
      </c>
      <c r="I44" s="173" t="n">
        <v>7.25</v>
      </c>
      <c r="J44" s="91" t="n">
        <v>8.43</v>
      </c>
      <c r="K44" s="92" t="inlineStr">
        <is>
          <t>A-</t>
        </is>
      </c>
      <c r="L44" s="140" t="inlineStr">
        <is>
          <t>A+</t>
        </is>
      </c>
      <c r="M44" s="95" t="inlineStr">
        <is>
          <t>A+</t>
        </is>
      </c>
      <c r="N44" s="174">
        <f>TRUNC(AVERAGE(D44:J44),2)</f>
        <v/>
      </c>
      <c r="O44" s="175" t="inlineStr">
        <is>
          <t>S</t>
        </is>
      </c>
      <c r="P44" s="43" t="inlineStr">
        <is>
          <t>PROMOVIDO</t>
        </is>
      </c>
      <c r="Q44" s="142" t="n"/>
    </row>
    <row r="45" ht="15" customHeight="1" s="225">
      <c r="A45" s="183" t="n">
        <v>39</v>
      </c>
      <c r="B45" s="254" t="inlineStr">
        <is>
          <t>ZARUMA PAREDES MELANIE CAROLINA</t>
        </is>
      </c>
      <c r="C45" s="252" t="n"/>
      <c r="D45" s="106" t="n">
        <v>9.58</v>
      </c>
      <c r="E45" s="180" t="n">
        <v>9.34</v>
      </c>
      <c r="F45" s="178" t="n">
        <v>9.460000000000001</v>
      </c>
      <c r="G45" s="88" t="n">
        <v>9.19</v>
      </c>
      <c r="H45" s="189" t="n">
        <v>9.42</v>
      </c>
      <c r="I45" s="173" t="n">
        <v>9.779999999999999</v>
      </c>
      <c r="J45" s="91" t="n">
        <v>9.720000000000001</v>
      </c>
      <c r="K45" s="92" t="inlineStr">
        <is>
          <t>A+</t>
        </is>
      </c>
      <c r="L45" s="140" t="inlineStr">
        <is>
          <t>A+</t>
        </is>
      </c>
      <c r="M45" s="95" t="inlineStr">
        <is>
          <t>A+</t>
        </is>
      </c>
      <c r="N45" s="174">
        <f>TRUNC(AVERAGE(D45:J45),2)</f>
        <v/>
      </c>
      <c r="O45" s="175" t="inlineStr">
        <is>
          <t>S</t>
        </is>
      </c>
      <c r="P45" s="43" t="inlineStr">
        <is>
          <t>PROMOVIDO</t>
        </is>
      </c>
      <c r="Q45" s="11" t="n"/>
    </row>
    <row r="46" ht="14.25" customHeight="1" s="225">
      <c r="B46" s="10" t="inlineStr">
        <is>
          <t>Promedio</t>
        </is>
      </c>
      <c r="D46" s="191">
        <f>AVERAGE(D6:D45)</f>
        <v/>
      </c>
      <c r="E46" s="192">
        <f>AVERAGE(E6:E45)</f>
        <v/>
      </c>
      <c r="F46" s="193">
        <f>AVERAGE(F6:F45)</f>
        <v/>
      </c>
      <c r="G46" s="194">
        <f>AVERAGE(G6:G45)</f>
        <v/>
      </c>
      <c r="H46" s="195">
        <f>AVERAGE(H6:H45)</f>
        <v/>
      </c>
      <c r="I46" s="194">
        <f>AVERAGE(I6:I45)</f>
        <v/>
      </c>
      <c r="J46" s="194">
        <f>AVERAGE(J6:J45)</f>
        <v/>
      </c>
      <c r="K46" s="196" t="n"/>
      <c r="L46" s="196" t="n"/>
      <c r="M46" s="196" t="n"/>
      <c r="N46" s="197">
        <f>AVERAGE(N6:N45)</f>
        <v/>
      </c>
      <c r="O46" s="196" t="n"/>
      <c r="P46" s="129" t="n"/>
    </row>
    <row r="47" ht="14.25" customHeight="1" s="225"/>
    <row r="48" ht="14.25" customHeight="1" s="225"/>
    <row r="49" ht="14.25" customHeight="1" s="225">
      <c r="B49" s="247" t="inlineStr">
        <is>
          <t xml:space="preserve">Ing. Sonia Chicaiza Mgtr. </t>
        </is>
      </c>
      <c r="G49" s="248" t="inlineStr">
        <is>
          <t xml:space="preserve">Lcda. Lucia Uzhca Mgtr. </t>
        </is>
      </c>
      <c r="H49" s="249" t="n"/>
      <c r="I49" s="249" t="n"/>
      <c r="J49" s="250" t="n"/>
      <c r="K49" s="72" t="n"/>
      <c r="L49" s="248" t="inlineStr">
        <is>
          <t xml:space="preserve">Lcdo. Marlon Criollo </t>
        </is>
      </c>
      <c r="M49" s="249" t="n"/>
      <c r="N49" s="249" t="n"/>
      <c r="O49" s="249" t="n"/>
      <c r="P49" s="250" t="n"/>
    </row>
    <row r="50" ht="14.25" customHeight="1" s="225">
      <c r="B50" s="247" t="inlineStr">
        <is>
          <t>Rectora (e)</t>
        </is>
      </c>
      <c r="G50" s="248" t="inlineStr">
        <is>
          <t>Vicerrectora (e) Vespertina</t>
        </is>
      </c>
      <c r="H50" s="249" t="n"/>
      <c r="I50" s="249" t="n"/>
      <c r="J50" s="249" t="n"/>
      <c r="K50" s="250" t="n"/>
      <c r="L50" s="248" t="inlineStr">
        <is>
          <t>Docente Tutor</t>
        </is>
      </c>
      <c r="M50" s="249" t="n"/>
      <c r="N50" s="249" t="n"/>
      <c r="O50" s="250" t="n"/>
      <c r="P50" s="10" t="n"/>
    </row>
    <row r="51" ht="14.25" customHeight="1" s="225"/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4.25" customHeight="1" s="225"/>
    <row r="222" ht="14.25" customHeight="1" s="225"/>
    <row r="223" ht="14.25" customHeight="1" s="225"/>
    <row r="224" ht="14.25" customHeight="1" s="225"/>
    <row r="225" ht="14.25" customHeight="1" s="225"/>
    <row r="226" ht="14.25" customHeight="1" s="225"/>
    <row r="227" ht="14.25" customHeight="1" s="225"/>
    <row r="228" ht="14.25" customHeight="1" s="225"/>
    <row r="229" ht="14.25" customHeight="1" s="225"/>
    <row r="230" ht="14.25" customHeight="1" s="225"/>
    <row r="231" ht="14.25" customHeight="1" s="225"/>
    <row r="232" ht="14.25" customHeight="1" s="225"/>
    <row r="233" ht="14.25" customHeight="1" s="225"/>
    <row r="234" ht="14.25" customHeight="1" s="225"/>
    <row r="235" ht="14.25" customHeight="1" s="225"/>
    <row r="236" ht="14.25" customHeight="1" s="225"/>
    <row r="237" ht="14.25" customHeight="1" s="225"/>
    <row r="238" ht="14.25" customHeight="1" s="225"/>
    <row r="239" ht="14.25" customHeight="1" s="225"/>
    <row r="240" ht="14.25" customHeight="1" s="225"/>
    <row r="241" ht="14.25" customHeight="1" s="225"/>
    <row r="242" ht="14.25" customHeight="1" s="225"/>
    <row r="243" ht="14.25" customHeight="1" s="225"/>
    <row r="244" ht="14.25" customHeight="1" s="225"/>
    <row r="245" ht="14.2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</sheetData>
  <mergeCells count="16">
    <mergeCell ref="B6:C6"/>
    <mergeCell ref="L50:O50"/>
    <mergeCell ref="I4:J4"/>
    <mergeCell ref="B44:C44"/>
    <mergeCell ref="B2:P2"/>
    <mergeCell ref="K3:N3"/>
    <mergeCell ref="A1:P1"/>
    <mergeCell ref="G49:J49"/>
    <mergeCell ref="B45:C45"/>
    <mergeCell ref="G50:K50"/>
    <mergeCell ref="L49:P49"/>
    <mergeCell ref="C3:E3"/>
    <mergeCell ref="B50:C50"/>
    <mergeCell ref="B49:C49"/>
    <mergeCell ref="B43:C43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4.86" customWidth="1" style="225" min="1" max="1"/>
    <col width="20.43" customWidth="1" style="225" min="2" max="2"/>
    <col width="13.71" customWidth="1" style="225" min="3" max="3"/>
    <col width="6.29" customWidth="1" style="225" min="4" max="4"/>
    <col width="8.140000000000001" customWidth="1" style="225" min="14" max="14"/>
    <col width="7.57" customWidth="1" style="225" min="15" max="15"/>
    <col width="18.71" customWidth="1" style="225" min="16" max="16"/>
    <col width="14" customWidth="1" style="225" min="17" max="17"/>
  </cols>
  <sheetData>
    <row r="1" ht="72.75" customHeight="1" s="225">
      <c r="A1" s="113" t="inlineStr">
        <is>
          <t>UNIDAD EDUCATIVA "ESTADOS UNIDOS DE NORTE AMÉRICA" 
Correo electrónico: eeuuescuela@gmail.com  subdireccioneeuu@gmail.com
https://eeuuescuela.wixsite.com/website
Teléfono: (07)289-0677 Código: EEBeeuu-C17 Distrito: 01D01 Circuito: 17 Zona:6</t>
        </is>
      </c>
    </row>
    <row r="2" ht="14.25" customHeight="1" s="225">
      <c r="A2" s="2" t="n"/>
      <c r="B2" s="3" t="inlineStr">
        <is>
          <t>AÑO LECTIVO: 2025-2026</t>
        </is>
      </c>
    </row>
    <row r="3" ht="14.25" customHeight="1" s="225">
      <c r="B3" s="75" t="inlineStr">
        <is>
          <t xml:space="preserve">DOCENTE:             </t>
        </is>
      </c>
      <c r="C3" s="5" t="inlineStr">
        <is>
          <t>MGS. OSCAR OJEDA</t>
        </is>
      </c>
      <c r="F3" s="6" t="n"/>
      <c r="G3" s="6" t="n"/>
      <c r="H3" s="6" t="n"/>
      <c r="I3" s="7" t="inlineStr">
        <is>
          <t xml:space="preserve">JORNADA: </t>
        </is>
      </c>
      <c r="K3" s="8" t="inlineStr">
        <is>
          <t>VESPERTINA</t>
        </is>
      </c>
    </row>
    <row r="4" ht="14.25" customHeight="1" s="225">
      <c r="B4" s="9" t="inlineStr">
        <is>
          <t xml:space="preserve">AÑO DE EGB:        </t>
        </is>
      </c>
      <c r="C4" s="76" t="inlineStr">
        <is>
          <t>DÉCIMO B</t>
        </is>
      </c>
      <c r="E4" s="6" t="n"/>
      <c r="F4" s="6" t="n"/>
      <c r="G4" s="6" t="n"/>
      <c r="H4" s="6" t="n"/>
      <c r="I4" s="7" t="inlineStr">
        <is>
          <t>TRIMESTRE:</t>
        </is>
      </c>
      <c r="K4" s="11" t="inlineStr">
        <is>
          <t>PRIMERO, SEGUNDO, TERCERO</t>
        </is>
      </c>
      <c r="M4" s="6" t="n"/>
    </row>
    <row r="5" ht="6" customHeight="1" s="225">
      <c r="B5" s="12" t="n"/>
      <c r="C5" s="12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57.5" customHeight="1" s="225">
      <c r="A6" s="77" t="inlineStr">
        <is>
          <t>No</t>
        </is>
      </c>
      <c r="B6" s="15" t="inlineStr">
        <is>
          <t>NOMINA</t>
        </is>
      </c>
      <c r="C6" s="78" t="n"/>
      <c r="D6" s="16" t="inlineStr">
        <is>
          <t>LENGUA Y LITERATURA</t>
        </is>
      </c>
      <c r="E6" s="17" t="inlineStr">
        <is>
          <t>MATEMÁTICA</t>
        </is>
      </c>
      <c r="F6" s="198" t="inlineStr">
        <is>
          <t>CIENCIAS NATURALES</t>
        </is>
      </c>
      <c r="G6" s="199" t="inlineStr">
        <is>
          <t>ESTUDIOS SOCIALES</t>
        </is>
      </c>
      <c r="H6" s="20" t="inlineStr">
        <is>
          <t>INGLÉS</t>
        </is>
      </c>
      <c r="I6" s="79" t="inlineStr">
        <is>
          <t>EDUCACIÓN CULTURAL Y ARTISTICA</t>
        </is>
      </c>
      <c r="J6" s="22" t="inlineStr">
        <is>
          <t>EDUCACIÓN FÍSICA</t>
        </is>
      </c>
      <c r="K6" s="80" t="inlineStr">
        <is>
          <t>ANIMACIÓN A LA LECTURA</t>
        </is>
      </c>
      <c r="L6" s="24" t="inlineStr">
        <is>
          <t>ACOMPAÑAMIENTO INTEGRAL EN EL AULA</t>
        </is>
      </c>
      <c r="M6" s="25" t="inlineStr">
        <is>
          <t>ORIENTACIÓN VOCACIONAL</t>
        </is>
      </c>
      <c r="N6" s="81" t="inlineStr">
        <is>
          <t>PROMEDIO FINAL</t>
        </is>
      </c>
      <c r="O6" s="82" t="inlineStr">
        <is>
          <t>CCOMPORTAMIENTO</t>
        </is>
      </c>
      <c r="P6" s="83" t="inlineStr">
        <is>
          <t>OBSERVACIONES</t>
        </is>
      </c>
    </row>
    <row r="7" ht="14.25" customHeight="1" s="225">
      <c r="A7" s="135" t="n">
        <v>1</v>
      </c>
      <c r="B7" s="468" t="inlineStr">
        <is>
          <t>ANGAMARCA VILE ERICK JOEL</t>
        </is>
      </c>
      <c r="C7" s="184" t="n"/>
      <c r="D7" s="106" t="n">
        <v>7.36</v>
      </c>
      <c r="E7" s="200" t="n">
        <v>7.12</v>
      </c>
      <c r="F7" s="201" t="n">
        <v>7.09</v>
      </c>
      <c r="G7" s="458" t="n">
        <v>7.51</v>
      </c>
      <c r="H7" s="89" t="n">
        <v>7.3</v>
      </c>
      <c r="I7" s="120" t="n">
        <v>7.21</v>
      </c>
      <c r="J7" s="91" t="n">
        <v>8.140000000000001</v>
      </c>
      <c r="K7" s="92" t="inlineStr">
        <is>
          <t>B+</t>
        </is>
      </c>
      <c r="L7" s="202" t="inlineStr">
        <is>
          <t>A-</t>
        </is>
      </c>
      <c r="M7" s="106" t="inlineStr">
        <is>
          <t>A-</t>
        </is>
      </c>
      <c r="N7" s="66">
        <f>TRUNC(AVERAGE(D7:J7),2)</f>
        <v/>
      </c>
      <c r="O7" s="93" t="inlineStr">
        <is>
          <t>S</t>
        </is>
      </c>
      <c r="P7" s="43" t="inlineStr">
        <is>
          <t>PROMOVIDO</t>
        </is>
      </c>
    </row>
    <row r="8" ht="15" customHeight="1" s="225">
      <c r="A8" s="135" t="n">
        <v>2</v>
      </c>
      <c r="B8" s="468" t="inlineStr">
        <is>
          <t>AREVALO CUZCO DYLAN SANTIAGO</t>
        </is>
      </c>
      <c r="C8" s="184" t="n"/>
      <c r="D8" s="458" t="n">
        <v>7.76</v>
      </c>
      <c r="E8" s="203" t="n">
        <v>8.17</v>
      </c>
      <c r="F8" s="204" t="n">
        <v>7.69</v>
      </c>
      <c r="G8" s="458" t="n">
        <v>8.119999999999999</v>
      </c>
      <c r="H8" s="455" t="n">
        <v>8.84</v>
      </c>
      <c r="I8" s="120" t="n">
        <v>7.95</v>
      </c>
      <c r="J8" s="91" t="n">
        <v>8.48</v>
      </c>
      <c r="K8" s="92" t="inlineStr">
        <is>
          <t>A-</t>
        </is>
      </c>
      <c r="L8" s="49" t="inlineStr">
        <is>
          <t>A-</t>
        </is>
      </c>
      <c r="M8" s="106" t="inlineStr">
        <is>
          <t>A-</t>
        </is>
      </c>
      <c r="N8" s="458">
        <f>TRUNC(AVERAGE(D8:J8),2)</f>
        <v/>
      </c>
      <c r="O8" s="93" t="inlineStr">
        <is>
          <t>S</t>
        </is>
      </c>
      <c r="P8" s="43" t="inlineStr">
        <is>
          <t>PROMOVIDO</t>
        </is>
      </c>
    </row>
    <row r="9" ht="15" customHeight="1" s="225">
      <c r="A9" s="135" t="n">
        <v>3</v>
      </c>
      <c r="B9" s="468" t="inlineStr">
        <is>
          <t>CAGUANA LANDY JOHN MATEO</t>
        </is>
      </c>
      <c r="C9" s="184" t="inlineStr">
        <is>
          <t>FD</t>
        </is>
      </c>
      <c r="D9" s="106" t="n">
        <v>7.56</v>
      </c>
      <c r="E9" s="203" t="n">
        <v>7.86</v>
      </c>
      <c r="F9" s="204" t="n">
        <v>7.23</v>
      </c>
      <c r="G9" s="458" t="n">
        <v>7.7</v>
      </c>
      <c r="H9" s="182" t="n">
        <v>7.87</v>
      </c>
      <c r="I9" s="120" t="n">
        <v>7.74</v>
      </c>
      <c r="J9" s="91" t="n">
        <v>8.01</v>
      </c>
      <c r="K9" s="92" t="inlineStr">
        <is>
          <t>B+</t>
        </is>
      </c>
      <c r="L9" s="49" t="inlineStr">
        <is>
          <t>A-</t>
        </is>
      </c>
      <c r="M9" s="106" t="inlineStr">
        <is>
          <t>A-</t>
        </is>
      </c>
      <c r="N9" s="66">
        <f>TRUNC(AVERAGE(D9:J9),2)</f>
        <v/>
      </c>
      <c r="O9" s="93" t="inlineStr">
        <is>
          <t>S</t>
        </is>
      </c>
      <c r="P9" s="43" t="inlineStr">
        <is>
          <t>PROMOVIDO</t>
        </is>
      </c>
    </row>
    <row r="10" ht="15" customHeight="1" s="225">
      <c r="A10" s="135" t="n">
        <v>4</v>
      </c>
      <c r="B10" s="468" t="inlineStr">
        <is>
          <t>CARCHI ZHUNIO JOSTIN ALEXANDER</t>
        </is>
      </c>
      <c r="C10" s="184" t="n"/>
      <c r="D10" s="106" t="n">
        <v>7.48</v>
      </c>
      <c r="E10" s="203" t="n">
        <v>7.26</v>
      </c>
      <c r="F10" s="205" t="n">
        <v>7.05</v>
      </c>
      <c r="G10" s="458" t="n">
        <v>7.45</v>
      </c>
      <c r="H10" s="182" t="n">
        <v>7.64</v>
      </c>
      <c r="I10" s="120" t="n">
        <v>8.23</v>
      </c>
      <c r="J10" s="91" t="n">
        <v>8.050000000000001</v>
      </c>
      <c r="K10" s="92" t="inlineStr">
        <is>
          <t>A-</t>
        </is>
      </c>
      <c r="L10" s="49" t="inlineStr">
        <is>
          <t>A-</t>
        </is>
      </c>
      <c r="M10" s="106" t="inlineStr">
        <is>
          <t>A-</t>
        </is>
      </c>
      <c r="N10" s="458">
        <f>TRUNC(AVERAGE(D10:J10),2)</f>
        <v/>
      </c>
      <c r="O10" s="93" t="inlineStr">
        <is>
          <t>F</t>
        </is>
      </c>
      <c r="P10" s="43" t="inlineStr">
        <is>
          <t>PROMOVIDO</t>
        </is>
      </c>
    </row>
    <row r="11" ht="15" customHeight="1" s="225">
      <c r="A11" s="135" t="n">
        <v>5</v>
      </c>
      <c r="B11" s="468" t="inlineStr">
        <is>
          <t>CHACON GARZON ODALIS ANABEL</t>
        </is>
      </c>
      <c r="C11" s="184" t="n"/>
      <c r="D11" s="106" t="n">
        <v>7.25</v>
      </c>
      <c r="E11" s="203" t="n">
        <v>7.2</v>
      </c>
      <c r="F11" s="206" t="n">
        <v>7</v>
      </c>
      <c r="G11" s="458" t="n">
        <v>7.69</v>
      </c>
      <c r="H11" s="182" t="n">
        <v>7.67</v>
      </c>
      <c r="I11" s="120" t="n">
        <v>7.31</v>
      </c>
      <c r="J11" s="91" t="n">
        <v>8.33</v>
      </c>
      <c r="K11" s="92" t="inlineStr">
        <is>
          <t>B+</t>
        </is>
      </c>
      <c r="L11" s="49" t="inlineStr">
        <is>
          <t>A-</t>
        </is>
      </c>
      <c r="M11" s="106" t="inlineStr">
        <is>
          <t>A-</t>
        </is>
      </c>
      <c r="N11" s="458">
        <f>TRUNC(AVERAGE(D11:J11),2)</f>
        <v/>
      </c>
      <c r="O11" s="93" t="inlineStr">
        <is>
          <t>S</t>
        </is>
      </c>
      <c r="P11" s="43" t="inlineStr">
        <is>
          <t>PROMOVIDO</t>
        </is>
      </c>
    </row>
    <row r="12" ht="15" customHeight="1" s="225">
      <c r="A12" s="135" t="n">
        <v>6</v>
      </c>
      <c r="B12" s="468" t="inlineStr">
        <is>
          <t>CORONADO ZHUNIO LENIN SEBASTIAN</t>
        </is>
      </c>
      <c r="C12" s="184" t="n"/>
      <c r="D12" s="106" t="n">
        <v>7.68</v>
      </c>
      <c r="E12" s="203" t="n">
        <v>8.369999999999999</v>
      </c>
      <c r="F12" s="204" t="n">
        <v>8.07</v>
      </c>
      <c r="G12" s="458" t="n">
        <v>7.96</v>
      </c>
      <c r="H12" s="89" t="n">
        <v>9</v>
      </c>
      <c r="I12" s="120" t="n">
        <v>9.07</v>
      </c>
      <c r="J12" s="91" t="n">
        <v>9.029999999999999</v>
      </c>
      <c r="K12" s="92" t="inlineStr">
        <is>
          <t>A-</t>
        </is>
      </c>
      <c r="L12" s="121" t="inlineStr">
        <is>
          <t>A-</t>
        </is>
      </c>
      <c r="M12" s="106" t="inlineStr">
        <is>
          <t>A+</t>
        </is>
      </c>
      <c r="N12" s="66">
        <f>TRUNC(AVERAGE(D12:J12),2)</f>
        <v/>
      </c>
      <c r="O12" s="93" t="inlineStr">
        <is>
          <t>F</t>
        </is>
      </c>
      <c r="P12" s="43" t="inlineStr">
        <is>
          <t>PROMOVIDO</t>
        </is>
      </c>
    </row>
    <row r="13" ht="15" customHeight="1" s="225">
      <c r="A13" s="135" t="n">
        <v>7</v>
      </c>
      <c r="B13" s="468" t="inlineStr">
        <is>
          <t>CORONEL LOZADA BRENDA CAROLINA</t>
        </is>
      </c>
      <c r="C13" s="184" t="n"/>
      <c r="D13" s="106" t="n">
        <v>7.92</v>
      </c>
      <c r="E13" s="203" t="n">
        <v>8.4</v>
      </c>
      <c r="F13" s="204" t="n">
        <v>7.71</v>
      </c>
      <c r="G13" s="458" t="n">
        <v>9.140000000000001</v>
      </c>
      <c r="H13" s="89" t="n">
        <v>8.9</v>
      </c>
      <c r="I13" s="120" t="n">
        <v>9.550000000000001</v>
      </c>
      <c r="J13" s="91" t="n">
        <v>9.51</v>
      </c>
      <c r="K13" s="92" t="inlineStr">
        <is>
          <t>A-</t>
        </is>
      </c>
      <c r="L13" s="121" t="inlineStr">
        <is>
          <t>A-</t>
        </is>
      </c>
      <c r="M13" s="106" t="inlineStr">
        <is>
          <t>A+</t>
        </is>
      </c>
      <c r="N13" s="458">
        <f>TRUNC(AVERAGE(D13:J13),2)</f>
        <v/>
      </c>
      <c r="O13" s="93" t="inlineStr">
        <is>
          <t>S</t>
        </is>
      </c>
      <c r="P13" s="43" t="inlineStr">
        <is>
          <t>PROMOVIDO</t>
        </is>
      </c>
    </row>
    <row r="14" ht="15" customHeight="1" s="225">
      <c r="A14" s="135" t="n">
        <v>8</v>
      </c>
      <c r="B14" s="468" t="inlineStr">
        <is>
          <t>GOMEZ PERALTA MARIA VICTORIA</t>
        </is>
      </c>
      <c r="C14" s="184" t="n"/>
      <c r="D14" s="106" t="n">
        <v>8.699999999999999</v>
      </c>
      <c r="E14" s="203" t="n">
        <v>8.6</v>
      </c>
      <c r="F14" s="204" t="n">
        <v>8.029999999999999</v>
      </c>
      <c r="G14" s="458" t="n">
        <v>9.33</v>
      </c>
      <c r="H14" s="89" t="n">
        <v>8.84</v>
      </c>
      <c r="I14" s="120" t="n">
        <v>8.84</v>
      </c>
      <c r="J14" s="91" t="n">
        <v>8.52</v>
      </c>
      <c r="K14" s="92" t="inlineStr">
        <is>
          <t>A+</t>
        </is>
      </c>
      <c r="L14" s="121" t="inlineStr">
        <is>
          <t>A-</t>
        </is>
      </c>
      <c r="M14" s="106" t="inlineStr">
        <is>
          <t>A-</t>
        </is>
      </c>
      <c r="N14" s="458">
        <f>TRUNC(AVERAGE(D14:J14),2)</f>
        <v/>
      </c>
      <c r="O14" s="93" t="inlineStr">
        <is>
          <t>S</t>
        </is>
      </c>
      <c r="P14" s="43" t="inlineStr">
        <is>
          <t>PROMOVIDO</t>
        </is>
      </c>
    </row>
    <row r="15" ht="15" customHeight="1" s="225">
      <c r="A15" s="135" t="n">
        <v>9</v>
      </c>
      <c r="B15" s="468" t="inlineStr">
        <is>
          <t>JARA GONZALEZ BRAD LEANDRO</t>
        </is>
      </c>
      <c r="C15" s="184" t="n"/>
      <c r="D15" s="106" t="n">
        <v>7.28</v>
      </c>
      <c r="E15" s="200" t="n">
        <v>7.08</v>
      </c>
      <c r="F15" s="481" t="n">
        <v>7.01</v>
      </c>
      <c r="G15" s="458" t="n">
        <v>7.87</v>
      </c>
      <c r="H15" s="89" t="n">
        <v>8.17</v>
      </c>
      <c r="I15" s="120" t="n">
        <v>7.54</v>
      </c>
      <c r="J15" s="91" t="n">
        <v>7.92</v>
      </c>
      <c r="K15" s="92" t="inlineStr">
        <is>
          <t>B-</t>
        </is>
      </c>
      <c r="L15" s="121" t="inlineStr">
        <is>
          <t>A-</t>
        </is>
      </c>
      <c r="M15" s="106" t="inlineStr">
        <is>
          <t>A-</t>
        </is>
      </c>
      <c r="N15" s="458">
        <f>TRUNC(AVERAGE(D15:J15),2)</f>
        <v/>
      </c>
      <c r="O15" s="93" t="inlineStr">
        <is>
          <t>S</t>
        </is>
      </c>
      <c r="P15" s="43" t="inlineStr">
        <is>
          <t>PROMOVIDO</t>
        </is>
      </c>
    </row>
    <row r="16" ht="15" customHeight="1" s="225">
      <c r="A16" s="135" t="n">
        <v>10</v>
      </c>
      <c r="B16" s="468" t="inlineStr">
        <is>
          <t>LEON SIAVICHAY DIEGO ESTALIN</t>
        </is>
      </c>
      <c r="C16" s="184" t="n"/>
      <c r="D16" s="106" t="n">
        <v>7.51</v>
      </c>
      <c r="E16" s="207" t="n">
        <v>8.02</v>
      </c>
      <c r="F16" s="482" t="n">
        <v>7.85</v>
      </c>
      <c r="G16" s="458" t="n">
        <v>8.44</v>
      </c>
      <c r="H16" s="89" t="n">
        <v>7.99</v>
      </c>
      <c r="I16" s="120" t="n">
        <v>8.630000000000001</v>
      </c>
      <c r="J16" s="91" t="n">
        <v>8.789999999999999</v>
      </c>
      <c r="K16" s="92" t="inlineStr">
        <is>
          <t>B+</t>
        </is>
      </c>
      <c r="L16" s="121" t="inlineStr">
        <is>
          <t>A-</t>
        </is>
      </c>
      <c r="M16" s="106" t="inlineStr">
        <is>
          <t>A-</t>
        </is>
      </c>
      <c r="N16" s="458">
        <f>TRUNC(AVERAGE(D16:J16),2)</f>
        <v/>
      </c>
      <c r="O16" s="93" t="inlineStr">
        <is>
          <t>S</t>
        </is>
      </c>
      <c r="P16" s="43" t="inlineStr">
        <is>
          <t>PROMOVIDO</t>
        </is>
      </c>
    </row>
    <row r="17" ht="15" customHeight="1" s="225">
      <c r="A17" s="135" t="n">
        <v>11</v>
      </c>
      <c r="B17" s="468" t="inlineStr">
        <is>
          <t>LOPEZ PERALTA PABLO ANDRES</t>
        </is>
      </c>
      <c r="C17" s="184" t="n"/>
      <c r="D17" s="106" t="n">
        <v>7.25</v>
      </c>
      <c r="E17" s="203" t="n">
        <v>7.29</v>
      </c>
      <c r="F17" s="482" t="n">
        <v>7.07</v>
      </c>
      <c r="G17" s="458" t="n">
        <v>7.27</v>
      </c>
      <c r="H17" s="89" t="n">
        <v>7.27</v>
      </c>
      <c r="I17" s="120" t="n">
        <v>7.12</v>
      </c>
      <c r="J17" s="91" t="n">
        <v>8.07</v>
      </c>
      <c r="K17" s="92" t="inlineStr">
        <is>
          <t>B-</t>
        </is>
      </c>
      <c r="L17" s="49" t="inlineStr">
        <is>
          <t>A-</t>
        </is>
      </c>
      <c r="M17" s="106" t="inlineStr">
        <is>
          <t>A-</t>
        </is>
      </c>
      <c r="N17" s="458">
        <f>TRUNC(AVERAGE(D17:J17),2)</f>
        <v/>
      </c>
      <c r="O17" s="93" t="inlineStr">
        <is>
          <t>F</t>
        </is>
      </c>
      <c r="P17" s="43" t="inlineStr">
        <is>
          <t>PROMOVIDO</t>
        </is>
      </c>
    </row>
    <row r="18" ht="15" customHeight="1" s="225">
      <c r="A18" s="135" t="n">
        <v>12</v>
      </c>
      <c r="B18" s="468" t="inlineStr">
        <is>
          <t>MAYANCELA ROMERO ANGELES CAMILA</t>
        </is>
      </c>
      <c r="C18" s="184" t="n"/>
      <c r="D18" s="106" t="n">
        <v>7.34</v>
      </c>
      <c r="E18" s="207" t="n">
        <v>8.09</v>
      </c>
      <c r="F18" s="481" t="n">
        <v>7.15</v>
      </c>
      <c r="G18" s="458" t="n">
        <v>7.79</v>
      </c>
      <c r="H18" s="89" t="n">
        <v>7.61</v>
      </c>
      <c r="I18" s="120" t="n">
        <v>8.09</v>
      </c>
      <c r="J18" s="91" t="n">
        <v>8.26</v>
      </c>
      <c r="K18" s="92" t="inlineStr">
        <is>
          <t>B+</t>
        </is>
      </c>
      <c r="L18" s="121" t="inlineStr">
        <is>
          <t>A-</t>
        </is>
      </c>
      <c r="M18" s="106" t="inlineStr">
        <is>
          <t>A-</t>
        </is>
      </c>
      <c r="N18" s="458">
        <f>TRUNC(AVERAGE(D18:J18),2)</f>
        <v/>
      </c>
      <c r="O18" s="93" t="inlineStr">
        <is>
          <t>S</t>
        </is>
      </c>
      <c r="P18" s="43" t="inlineStr">
        <is>
          <t>PROMOVIDO</t>
        </is>
      </c>
    </row>
    <row r="19" ht="15" customHeight="1" s="225">
      <c r="A19" s="135" t="n">
        <v>13</v>
      </c>
      <c r="B19" s="468" t="inlineStr">
        <is>
          <t>MENDEZ LANDI EMILY DOMENICA</t>
        </is>
      </c>
      <c r="C19" s="184" t="n"/>
      <c r="D19" s="106" t="n">
        <v>9</v>
      </c>
      <c r="E19" s="203" t="n">
        <v>9.49</v>
      </c>
      <c r="F19" s="204" t="n">
        <v>8.949999999999999</v>
      </c>
      <c r="G19" s="458" t="n">
        <v>9.59</v>
      </c>
      <c r="H19" s="89" t="n">
        <v>9.460000000000001</v>
      </c>
      <c r="I19" s="120" t="n">
        <v>9.609999999999999</v>
      </c>
      <c r="J19" s="91" t="n">
        <v>9.66</v>
      </c>
      <c r="K19" s="92" t="inlineStr">
        <is>
          <t>A-</t>
        </is>
      </c>
      <c r="L19" s="49" t="inlineStr">
        <is>
          <t>A-</t>
        </is>
      </c>
      <c r="M19" s="106" t="inlineStr">
        <is>
          <t>A+</t>
        </is>
      </c>
      <c r="N19" s="66">
        <f>TRUNC(AVERAGE(D19:J19),2)</f>
        <v/>
      </c>
      <c r="O19" s="93" t="inlineStr">
        <is>
          <t>S</t>
        </is>
      </c>
      <c r="P19" s="43" t="inlineStr">
        <is>
          <t>PROMOVIDO</t>
        </is>
      </c>
    </row>
    <row r="20" ht="15" customHeight="1" s="225">
      <c r="A20" s="135" t="n">
        <v>14</v>
      </c>
      <c r="B20" s="468" t="inlineStr">
        <is>
          <t>MOROCHO URGILES BRIANA ANELY</t>
        </is>
      </c>
      <c r="C20" s="184" t="n"/>
      <c r="D20" s="106" t="n">
        <v>7.48</v>
      </c>
      <c r="E20" s="203" t="n">
        <v>7</v>
      </c>
      <c r="F20" s="208" t="n">
        <v>7</v>
      </c>
      <c r="G20" s="458" t="n">
        <v>8.25</v>
      </c>
      <c r="H20" s="89" t="n">
        <v>7</v>
      </c>
      <c r="I20" s="120" t="n">
        <v>7.02</v>
      </c>
      <c r="J20" s="91" t="n">
        <v>8.18</v>
      </c>
      <c r="K20" s="92" t="inlineStr">
        <is>
          <t>B-</t>
        </is>
      </c>
      <c r="L20" s="49" t="inlineStr">
        <is>
          <t>A-</t>
        </is>
      </c>
      <c r="M20" s="106" t="inlineStr">
        <is>
          <t>A-</t>
        </is>
      </c>
      <c r="N20" s="458">
        <f>TRUNC(AVERAGE(D20:J20),2)</f>
        <v/>
      </c>
      <c r="O20" s="93" t="inlineStr">
        <is>
          <t>O</t>
        </is>
      </c>
      <c r="P20" s="43" t="inlineStr">
        <is>
          <t>PROMOVIDO</t>
        </is>
      </c>
    </row>
    <row r="21" ht="15" customHeight="1" s="225">
      <c r="A21" s="135" t="n">
        <v>15</v>
      </c>
      <c r="B21" s="184" t="inlineStr">
        <is>
          <t>NACIPUCHA LEMA DANNY ANDRES</t>
        </is>
      </c>
      <c r="C21" s="184" t="n"/>
      <c r="D21" s="106" t="n">
        <v>7.33</v>
      </c>
      <c r="E21" s="203" t="n">
        <v>7</v>
      </c>
      <c r="F21" s="208" t="n">
        <v>7</v>
      </c>
      <c r="G21" s="88" t="n">
        <v>7.37</v>
      </c>
      <c r="H21" s="89" t="n">
        <v>7</v>
      </c>
      <c r="I21" s="120" t="n">
        <v>7.01</v>
      </c>
      <c r="J21" s="91" t="n">
        <v>7.49</v>
      </c>
      <c r="K21" s="92" t="inlineStr">
        <is>
          <t>A-</t>
        </is>
      </c>
      <c r="L21" s="49" t="inlineStr">
        <is>
          <t>A-</t>
        </is>
      </c>
      <c r="M21" s="106" t="inlineStr">
        <is>
          <t>A-</t>
        </is>
      </c>
      <c r="N21" s="66">
        <f>TRUNC(AVERAGE(D21:J21),2)</f>
        <v/>
      </c>
      <c r="O21" s="93" t="inlineStr">
        <is>
          <t>S</t>
        </is>
      </c>
      <c r="P21" s="43" t="inlineStr">
        <is>
          <t>PROMOVIDO</t>
        </is>
      </c>
    </row>
    <row r="22" ht="15" customHeight="1" s="225">
      <c r="A22" s="135" t="n">
        <v>16</v>
      </c>
      <c r="B22" s="468" t="inlineStr">
        <is>
          <t>NAULA QUIZHPE ALAN JOSUE</t>
        </is>
      </c>
      <c r="C22" s="184" t="n"/>
      <c r="D22" s="106" t="n">
        <v>9.44</v>
      </c>
      <c r="E22" s="203" t="n">
        <v>9.699999999999999</v>
      </c>
      <c r="F22" s="204" t="n">
        <v>9.06</v>
      </c>
      <c r="G22" s="458" t="n">
        <v>9.73</v>
      </c>
      <c r="H22" s="89" t="n">
        <v>9.57</v>
      </c>
      <c r="I22" s="120" t="n">
        <v>9.699999999999999</v>
      </c>
      <c r="J22" s="91" t="n">
        <v>9.83</v>
      </c>
      <c r="K22" s="92" t="inlineStr">
        <is>
          <t>A+</t>
        </is>
      </c>
      <c r="L22" s="121" t="inlineStr">
        <is>
          <t>A+</t>
        </is>
      </c>
      <c r="M22" s="106" t="inlineStr">
        <is>
          <t>A+</t>
        </is>
      </c>
      <c r="N22" s="458">
        <f>TRUNC(AVERAGE(D22:J22),2)</f>
        <v/>
      </c>
      <c r="O22" s="93" t="inlineStr">
        <is>
          <t>S</t>
        </is>
      </c>
      <c r="P22" s="43" t="inlineStr">
        <is>
          <t>PROMOVIDO</t>
        </is>
      </c>
    </row>
    <row r="23" ht="15" customHeight="1" s="225">
      <c r="A23" s="135" t="n">
        <v>17</v>
      </c>
      <c r="B23" s="468" t="inlineStr">
        <is>
          <t>NIVELO ORTIZ AMANDA VICTORIA</t>
        </is>
      </c>
      <c r="C23" s="184" t="n"/>
      <c r="D23" s="106" t="n">
        <v>9.52</v>
      </c>
      <c r="E23" s="203" t="n">
        <v>9.65</v>
      </c>
      <c r="F23" s="204" t="n">
        <v>8.94</v>
      </c>
      <c r="G23" s="458" t="n">
        <v>9.140000000000001</v>
      </c>
      <c r="H23" s="89" t="n">
        <v>9.630000000000001</v>
      </c>
      <c r="I23" s="120" t="n">
        <v>9.779999999999999</v>
      </c>
      <c r="J23" s="91" t="n">
        <v>9.859999999999999</v>
      </c>
      <c r="K23" s="92" t="inlineStr">
        <is>
          <t>A+</t>
        </is>
      </c>
      <c r="L23" s="49" t="inlineStr">
        <is>
          <t>A-</t>
        </is>
      </c>
      <c r="M23" s="106" t="inlineStr">
        <is>
          <t>A+</t>
        </is>
      </c>
      <c r="N23" s="458">
        <f>TRUNC(AVERAGE(D23:J23),2)</f>
        <v/>
      </c>
      <c r="O23" s="93" t="inlineStr">
        <is>
          <t>S</t>
        </is>
      </c>
      <c r="P23" s="43" t="inlineStr">
        <is>
          <t>PROMOVIDO</t>
        </is>
      </c>
    </row>
    <row r="24" ht="15" customHeight="1" s="225">
      <c r="A24" s="135" t="n">
        <v>18</v>
      </c>
      <c r="B24" s="468" t="inlineStr">
        <is>
          <t>PACHAR PIZARRO JESSICA ESTEFANIA</t>
        </is>
      </c>
      <c r="C24" s="184" t="n"/>
      <c r="D24" s="106" t="n">
        <v>8.640000000000001</v>
      </c>
      <c r="E24" s="203" t="n">
        <v>8.390000000000001</v>
      </c>
      <c r="F24" s="201" t="n">
        <v>8.470000000000001</v>
      </c>
      <c r="G24" s="458" t="n">
        <v>9.380000000000001</v>
      </c>
      <c r="H24" s="89" t="n">
        <v>8.9</v>
      </c>
      <c r="I24" s="458" t="n">
        <v>9.779999999999999</v>
      </c>
      <c r="J24" s="91" t="n">
        <v>9.76</v>
      </c>
      <c r="K24" s="92" t="inlineStr">
        <is>
          <t>A+</t>
        </is>
      </c>
      <c r="L24" s="121" t="inlineStr">
        <is>
          <t>A-</t>
        </is>
      </c>
      <c r="M24" s="106" t="inlineStr">
        <is>
          <t>A+</t>
        </is>
      </c>
      <c r="N24" s="458">
        <f>TRUNC(AVERAGE(D24:J24),2)</f>
        <v/>
      </c>
      <c r="O24" s="93" t="inlineStr">
        <is>
          <t>S</t>
        </is>
      </c>
      <c r="P24" s="43" t="inlineStr">
        <is>
          <t>PROMOVIDO</t>
        </is>
      </c>
    </row>
    <row r="25" ht="15" customHeight="1" s="225">
      <c r="A25" s="135" t="n">
        <v>19</v>
      </c>
      <c r="B25" s="468" t="inlineStr">
        <is>
          <t>PALACIOS GUTIERREZ MARIA BELEN</t>
        </is>
      </c>
      <c r="C25" s="184" t="n"/>
      <c r="D25" s="106" t="n">
        <v>7.96</v>
      </c>
      <c r="E25" s="203" t="n">
        <v>7.8</v>
      </c>
      <c r="F25" s="204" t="n">
        <v>7.73</v>
      </c>
      <c r="G25" s="458" t="n">
        <v>8.699999999999999</v>
      </c>
      <c r="H25" s="209" t="n">
        <v>8.15</v>
      </c>
      <c r="I25" s="120" t="n">
        <v>8.75</v>
      </c>
      <c r="J25" s="91" t="n">
        <v>9.18</v>
      </c>
      <c r="K25" s="92" t="inlineStr">
        <is>
          <t>A-</t>
        </is>
      </c>
      <c r="L25" s="121" t="inlineStr">
        <is>
          <t>A-</t>
        </is>
      </c>
      <c r="M25" s="106" t="inlineStr">
        <is>
          <t>A+</t>
        </is>
      </c>
      <c r="N25" s="458">
        <f>TRUNC(AVERAGE(D25:J25),2)</f>
        <v/>
      </c>
      <c r="O25" s="93" t="inlineStr">
        <is>
          <t>O</t>
        </is>
      </c>
      <c r="P25" s="43" t="inlineStr">
        <is>
          <t>PROMOVIDO</t>
        </is>
      </c>
    </row>
    <row r="26" ht="15" customHeight="1" s="225">
      <c r="A26" s="135" t="n">
        <v>20</v>
      </c>
      <c r="B26" s="468" t="inlineStr">
        <is>
          <t>PIZARRO IDROVO JHONATAN XAVIER</t>
        </is>
      </c>
      <c r="C26" s="184" t="n"/>
      <c r="D26" s="106" t="n">
        <v>8.859999999999999</v>
      </c>
      <c r="E26" s="203" t="n">
        <v>8.550000000000001</v>
      </c>
      <c r="F26" s="204" t="n">
        <v>8.19</v>
      </c>
      <c r="G26" s="458" t="n">
        <v>9.15</v>
      </c>
      <c r="H26" s="210" t="n">
        <v>8.84</v>
      </c>
      <c r="I26" s="120" t="n">
        <v>9.27</v>
      </c>
      <c r="J26" s="91" t="n">
        <v>9.529999999999999</v>
      </c>
      <c r="K26" s="92" t="inlineStr">
        <is>
          <t>A-</t>
        </is>
      </c>
      <c r="L26" s="121" t="inlineStr">
        <is>
          <t>A-</t>
        </is>
      </c>
      <c r="M26" s="106" t="inlineStr">
        <is>
          <t>A+</t>
        </is>
      </c>
      <c r="N26" s="458">
        <f>TRUNC(AVERAGE(D26:J26),2)</f>
        <v/>
      </c>
      <c r="O26" s="93" t="inlineStr">
        <is>
          <t>S</t>
        </is>
      </c>
      <c r="P26" s="43" t="inlineStr">
        <is>
          <t>PROMOVIDO</t>
        </is>
      </c>
    </row>
    <row r="27" ht="18" customHeight="1" s="225">
      <c r="A27" s="135" t="n">
        <v>21</v>
      </c>
      <c r="B27" s="184" t="inlineStr">
        <is>
          <t>PUETATE PLASENCIA PATRICIA NAYELI</t>
        </is>
      </c>
      <c r="C27" s="184" t="n"/>
      <c r="D27" s="106" t="n">
        <v>8.26</v>
      </c>
      <c r="E27" s="203" t="n">
        <v>8.33</v>
      </c>
      <c r="F27" s="201" t="n">
        <v>8.970000000000001</v>
      </c>
      <c r="G27" s="88" t="n">
        <v>9.529999999999999</v>
      </c>
      <c r="H27" s="210" t="n">
        <v>8.890000000000001</v>
      </c>
      <c r="I27" s="120" t="n">
        <v>8.09</v>
      </c>
      <c r="J27" s="91" t="n">
        <v>8.73</v>
      </c>
      <c r="K27" s="92" t="inlineStr">
        <is>
          <t>A-</t>
        </is>
      </c>
      <c r="L27" s="121" t="inlineStr">
        <is>
          <t>A-</t>
        </is>
      </c>
      <c r="M27" s="106" t="inlineStr">
        <is>
          <t>A-</t>
        </is>
      </c>
      <c r="N27" s="66">
        <f>TRUNC(AVERAGE(D27:J27),2)</f>
        <v/>
      </c>
      <c r="O27" s="93" t="inlineStr">
        <is>
          <t>S</t>
        </is>
      </c>
      <c r="P27" s="43" t="inlineStr">
        <is>
          <t>PROMOVIDO</t>
        </is>
      </c>
    </row>
    <row r="28" ht="15" customHeight="1" s="225">
      <c r="A28" s="135" t="n">
        <v>22</v>
      </c>
      <c r="B28" s="468" t="inlineStr">
        <is>
          <t>PUMA RAMON JHOSTIN ADRIAN</t>
        </is>
      </c>
      <c r="C28" s="184" t="n"/>
      <c r="D28" s="106" t="n">
        <v>8.18</v>
      </c>
      <c r="E28" s="203" t="n">
        <v>7.55</v>
      </c>
      <c r="F28" s="204" t="n">
        <v>7.69</v>
      </c>
      <c r="G28" s="458" t="n">
        <v>7.86</v>
      </c>
      <c r="H28" s="210" t="n">
        <v>7.85</v>
      </c>
      <c r="I28" s="120" t="n">
        <v>8.67</v>
      </c>
      <c r="J28" s="91" t="n">
        <v>9.279999999999999</v>
      </c>
      <c r="K28" s="92" t="inlineStr">
        <is>
          <t>A-</t>
        </is>
      </c>
      <c r="L28" s="49" t="inlineStr">
        <is>
          <t>A-</t>
        </is>
      </c>
      <c r="M28" s="106" t="inlineStr">
        <is>
          <t>A-</t>
        </is>
      </c>
      <c r="N28" s="66">
        <f>TRUNC(AVERAGE(D28:J28),2)</f>
        <v/>
      </c>
      <c r="O28" s="93" t="inlineStr">
        <is>
          <t>S</t>
        </is>
      </c>
      <c r="P28" s="43" t="inlineStr">
        <is>
          <t>PROMOVIDO</t>
        </is>
      </c>
    </row>
    <row r="29" ht="18" customHeight="1" s="225">
      <c r="A29" s="135" t="n">
        <v>23</v>
      </c>
      <c r="B29" s="184" t="inlineStr">
        <is>
          <t>QUIZHPI MOROCHO JOSUE MATIAS</t>
        </is>
      </c>
      <c r="C29" s="184" t="n"/>
      <c r="D29" s="106" t="n">
        <v>7.19</v>
      </c>
      <c r="E29" s="203" t="n">
        <v>7.15</v>
      </c>
      <c r="F29" s="206" t="n">
        <v>7</v>
      </c>
      <c r="G29" s="88" t="n">
        <v>7.7</v>
      </c>
      <c r="H29" s="210" t="n">
        <v>7.49</v>
      </c>
      <c r="I29" s="120" t="n">
        <v>7.86</v>
      </c>
      <c r="J29" s="91" t="n">
        <v>8.26</v>
      </c>
      <c r="K29" s="92" t="inlineStr">
        <is>
          <t>B+</t>
        </is>
      </c>
      <c r="L29" s="121" t="inlineStr">
        <is>
          <t>A-</t>
        </is>
      </c>
      <c r="M29" s="106" t="inlineStr">
        <is>
          <t>A-</t>
        </is>
      </c>
      <c r="N29" s="66">
        <f>TRUNC(AVERAGE(D29:J29),2)</f>
        <v/>
      </c>
      <c r="O29" s="93" t="inlineStr">
        <is>
          <t>F</t>
        </is>
      </c>
      <c r="P29" s="43" t="inlineStr">
        <is>
          <t>PROMOVIDO</t>
        </is>
      </c>
    </row>
    <row r="30" ht="15" customHeight="1" s="225">
      <c r="A30" s="135" t="n">
        <v>24</v>
      </c>
      <c r="B30" s="184" t="inlineStr">
        <is>
          <t>RAMIREZ JEREZ JOSKARY SARAI</t>
        </is>
      </c>
      <c r="C30" s="184" t="n"/>
      <c r="D30" s="106" t="n">
        <v>8.09</v>
      </c>
      <c r="E30" s="203" t="n">
        <v>8.25</v>
      </c>
      <c r="F30" s="204" t="n">
        <v>7.86</v>
      </c>
      <c r="G30" s="88" t="n">
        <v>9.52</v>
      </c>
      <c r="H30" s="210" t="n">
        <v>9.19</v>
      </c>
      <c r="I30" s="120" t="n">
        <v>8.66</v>
      </c>
      <c r="J30" s="91" t="n">
        <v>9.380000000000001</v>
      </c>
      <c r="K30" s="92" t="inlineStr">
        <is>
          <t>B+</t>
        </is>
      </c>
      <c r="L30" s="49" t="inlineStr">
        <is>
          <t>A-</t>
        </is>
      </c>
      <c r="M30" s="106" t="inlineStr">
        <is>
          <t>A+</t>
        </is>
      </c>
      <c r="N30" s="66">
        <f>TRUNC(AVERAGE(D30:J30),2)</f>
        <v/>
      </c>
      <c r="O30" s="93" t="inlineStr">
        <is>
          <t>F</t>
        </is>
      </c>
      <c r="P30" s="43" t="inlineStr">
        <is>
          <t>PROMOVIDO</t>
        </is>
      </c>
    </row>
    <row r="31" ht="15" customHeight="1" s="225">
      <c r="A31" s="135" t="n">
        <v>26</v>
      </c>
      <c r="B31" s="468" t="inlineStr">
        <is>
          <t>ROMERO RAMON KENNYN GABRIEL</t>
        </is>
      </c>
      <c r="C31" s="184" t="n"/>
      <c r="D31" s="106" t="n">
        <v>8.449999999999999</v>
      </c>
      <c r="E31" s="203" t="n">
        <v>8.16</v>
      </c>
      <c r="F31" s="204" t="n">
        <v>8.109999999999999</v>
      </c>
      <c r="G31" s="458" t="n">
        <v>9.140000000000001</v>
      </c>
      <c r="H31" s="210" t="n">
        <v>8.41</v>
      </c>
      <c r="I31" s="120" t="n">
        <v>9.25</v>
      </c>
      <c r="J31" s="91" t="n">
        <v>9.359999999999999</v>
      </c>
      <c r="K31" s="92" t="inlineStr">
        <is>
          <t>A-</t>
        </is>
      </c>
      <c r="L31" s="49" t="inlineStr">
        <is>
          <t>A-</t>
        </is>
      </c>
      <c r="M31" s="106" t="inlineStr">
        <is>
          <t>A+</t>
        </is>
      </c>
      <c r="N31" s="66">
        <f>TRUNC(AVERAGE(D31:J31),2)</f>
        <v/>
      </c>
      <c r="O31" s="93" t="inlineStr">
        <is>
          <t>S</t>
        </is>
      </c>
      <c r="P31" s="43" t="inlineStr">
        <is>
          <t>PROMOVIDO</t>
        </is>
      </c>
    </row>
    <row r="32" ht="15" customHeight="1" s="225">
      <c r="A32" s="135" t="n">
        <v>27</v>
      </c>
      <c r="B32" s="468" t="inlineStr">
        <is>
          <t>SANTANDER SIGUENCIA DAYANA PATRICIA</t>
        </is>
      </c>
      <c r="C32" s="184" t="n"/>
      <c r="D32" s="106" t="n">
        <v>8.9</v>
      </c>
      <c r="E32" s="203" t="n">
        <v>8.529999999999999</v>
      </c>
      <c r="F32" s="204" t="n">
        <v>8.73</v>
      </c>
      <c r="G32" s="458" t="n">
        <v>9.57</v>
      </c>
      <c r="H32" s="210" t="n">
        <v>9.01</v>
      </c>
      <c r="I32" s="120" t="n">
        <v>9.609999999999999</v>
      </c>
      <c r="J32" s="91" t="n">
        <v>9.59</v>
      </c>
      <c r="K32" s="92" t="inlineStr">
        <is>
          <t>A-</t>
        </is>
      </c>
      <c r="L32" s="121" t="inlineStr">
        <is>
          <t>A-</t>
        </is>
      </c>
      <c r="M32" s="106" t="inlineStr">
        <is>
          <t>A+</t>
        </is>
      </c>
      <c r="N32" s="458">
        <f>TRUNC(AVERAGE(D32:J32),2)</f>
        <v/>
      </c>
      <c r="O32" s="93" t="inlineStr">
        <is>
          <t>S</t>
        </is>
      </c>
      <c r="P32" s="43" t="inlineStr">
        <is>
          <t>PROMOVIDO</t>
        </is>
      </c>
    </row>
    <row r="33" ht="15" customHeight="1" s="225">
      <c r="A33" s="135" t="n">
        <v>28</v>
      </c>
      <c r="B33" s="468" t="inlineStr">
        <is>
          <t>SIBRI CHIQUI ANTOLINI JAVIER</t>
        </is>
      </c>
      <c r="C33" s="184" t="n"/>
      <c r="D33" s="106" t="n">
        <v>7.42</v>
      </c>
      <c r="E33" s="203" t="n">
        <v>7.46</v>
      </c>
      <c r="F33" s="204" t="n">
        <v>7.42</v>
      </c>
      <c r="G33" s="458" t="n">
        <v>8.449999999999999</v>
      </c>
      <c r="H33" s="210" t="n">
        <v>8.07</v>
      </c>
      <c r="I33" s="120" t="n">
        <v>7.94</v>
      </c>
      <c r="J33" s="91" t="n">
        <v>8.75</v>
      </c>
      <c r="K33" s="92" t="inlineStr">
        <is>
          <t>B-</t>
        </is>
      </c>
      <c r="L33" s="49" t="inlineStr">
        <is>
          <t>A-</t>
        </is>
      </c>
      <c r="M33" s="106" t="inlineStr">
        <is>
          <t>A-</t>
        </is>
      </c>
      <c r="N33" s="458">
        <f>TRUNC(AVERAGE(D33:J33),2)</f>
        <v/>
      </c>
      <c r="O33" s="93" t="inlineStr">
        <is>
          <t>S</t>
        </is>
      </c>
      <c r="P33" s="43" t="inlineStr">
        <is>
          <t>PROMOVIDO</t>
        </is>
      </c>
    </row>
    <row r="34" ht="15" customHeight="1" s="225">
      <c r="A34" s="135" t="n">
        <v>29</v>
      </c>
      <c r="B34" s="468" t="inlineStr">
        <is>
          <t>TENESACA GUAMAN DIANA ESTEFANIA</t>
        </is>
      </c>
      <c r="C34" s="184" t="n"/>
      <c r="D34" s="106" t="n">
        <v>8.380000000000001</v>
      </c>
      <c r="E34" s="203" t="n">
        <v>8.43</v>
      </c>
      <c r="F34" s="204" t="n">
        <v>7.06</v>
      </c>
      <c r="G34" s="458" t="n">
        <v>7.93</v>
      </c>
      <c r="H34" s="210" t="n">
        <v>8.27</v>
      </c>
      <c r="I34" s="120" t="n">
        <v>8.49</v>
      </c>
      <c r="J34" s="91" t="n">
        <v>8.390000000000001</v>
      </c>
      <c r="K34" s="92" t="inlineStr">
        <is>
          <t>B+</t>
        </is>
      </c>
      <c r="L34" s="49" t="inlineStr">
        <is>
          <t>A-</t>
        </is>
      </c>
      <c r="M34" s="106" t="inlineStr">
        <is>
          <t>A-</t>
        </is>
      </c>
      <c r="N34" s="458">
        <f>TRUNC(AVERAGE(D34:J34),2)</f>
        <v/>
      </c>
      <c r="O34" s="93" t="inlineStr">
        <is>
          <t>S</t>
        </is>
      </c>
      <c r="P34" s="43" t="inlineStr">
        <is>
          <t>PROMOVIDO</t>
        </is>
      </c>
    </row>
    <row r="35" ht="15" customHeight="1" s="225">
      <c r="A35" s="135" t="n">
        <v>30</v>
      </c>
      <c r="B35" s="184" t="inlineStr">
        <is>
          <t>VASQUEZ ASMAL ANGEL RAFAEL</t>
        </is>
      </c>
      <c r="C35" s="184" t="n"/>
      <c r="D35" s="106" t="n">
        <v>7.1</v>
      </c>
      <c r="E35" s="207" t="n">
        <v>7.07</v>
      </c>
      <c r="F35" s="204" t="n">
        <v>7.03</v>
      </c>
      <c r="G35" s="88" t="n">
        <v>7.71</v>
      </c>
      <c r="H35" s="210" t="n">
        <v>7.75</v>
      </c>
      <c r="I35" s="120" t="n">
        <v>7.64</v>
      </c>
      <c r="J35" s="91" t="n">
        <v>8.699999999999999</v>
      </c>
      <c r="K35" s="92" t="inlineStr">
        <is>
          <t>B+</t>
        </is>
      </c>
      <c r="L35" s="49" t="inlineStr">
        <is>
          <t>A-</t>
        </is>
      </c>
      <c r="M35" s="106" t="inlineStr">
        <is>
          <t>A-</t>
        </is>
      </c>
      <c r="N35" s="66">
        <f>TRUNC(AVERAGE(D35:J35),2)</f>
        <v/>
      </c>
      <c r="O35" s="93" t="inlineStr">
        <is>
          <t>F</t>
        </is>
      </c>
      <c r="P35" s="43" t="inlineStr">
        <is>
          <t>PROMOVIDO</t>
        </is>
      </c>
    </row>
    <row r="36" ht="15" customHeight="1" s="225">
      <c r="A36" s="135" t="n">
        <v>31</v>
      </c>
      <c r="B36" s="468" t="inlineStr">
        <is>
          <t>VASQUEZ MATUTE JOHN JAIRO</t>
        </is>
      </c>
      <c r="C36" s="184" t="n"/>
      <c r="D36" s="106" t="n">
        <v>8.01</v>
      </c>
      <c r="E36" s="207" t="n">
        <v>8.07</v>
      </c>
      <c r="F36" s="204" t="n">
        <v>7.54</v>
      </c>
      <c r="G36" s="458" t="n">
        <v>9.109999999999999</v>
      </c>
      <c r="H36" s="210" t="n">
        <v>8.06</v>
      </c>
      <c r="I36" s="120" t="n">
        <v>8.31</v>
      </c>
      <c r="J36" s="91" t="n">
        <v>8.69</v>
      </c>
      <c r="K36" s="92" t="inlineStr">
        <is>
          <t>A-</t>
        </is>
      </c>
      <c r="L36" s="49" t="inlineStr">
        <is>
          <t>A-</t>
        </is>
      </c>
      <c r="M36" s="106" t="inlineStr">
        <is>
          <t>A-</t>
        </is>
      </c>
      <c r="N36" s="458">
        <f>TRUNC(AVERAGE(D36:J36),2)</f>
        <v/>
      </c>
      <c r="O36" s="93" t="inlineStr">
        <is>
          <t>F</t>
        </is>
      </c>
      <c r="P36" s="43" t="inlineStr">
        <is>
          <t>PROMOVIDO</t>
        </is>
      </c>
    </row>
    <row r="37" ht="15" customHeight="1" s="225">
      <c r="A37" s="135" t="n">
        <v>32</v>
      </c>
      <c r="B37" s="468" t="inlineStr">
        <is>
          <t>VIZHÑAY CEDACERO GISSELIE ANABEL</t>
        </is>
      </c>
      <c r="C37" s="184" t="n"/>
      <c r="D37" s="106" t="n">
        <v>7.89</v>
      </c>
      <c r="E37" s="203" t="n">
        <v>7.87</v>
      </c>
      <c r="F37" s="201" t="n">
        <v>7.52</v>
      </c>
      <c r="G37" s="458" t="n">
        <v>8.16</v>
      </c>
      <c r="H37" s="211" t="n">
        <v>8.59</v>
      </c>
      <c r="I37" s="120" t="n">
        <v>8.56</v>
      </c>
      <c r="J37" s="91" t="n">
        <v>9.210000000000001</v>
      </c>
      <c r="K37" s="92" t="inlineStr">
        <is>
          <t>A-</t>
        </is>
      </c>
      <c r="L37" s="121" t="inlineStr">
        <is>
          <t>A-</t>
        </is>
      </c>
      <c r="M37" s="106" t="inlineStr">
        <is>
          <t>A-</t>
        </is>
      </c>
      <c r="N37" s="458">
        <f>TRUNC(AVERAGE(D37:J37),2)</f>
        <v/>
      </c>
      <c r="O37" s="93" t="inlineStr">
        <is>
          <t>S</t>
        </is>
      </c>
      <c r="P37" s="43" t="inlineStr">
        <is>
          <t>PROMOVIDO</t>
        </is>
      </c>
    </row>
    <row r="38" ht="18" customHeight="1" s="225">
      <c r="A38" s="135" t="n">
        <v>33</v>
      </c>
      <c r="B38" s="468" t="inlineStr">
        <is>
          <t>WAMPASH ATARIGUANA MICHAEL ANDERSON</t>
        </is>
      </c>
      <c r="C38" s="184" t="n"/>
      <c r="D38" s="106" t="n">
        <v>8.06</v>
      </c>
      <c r="E38" s="203" t="n">
        <v>7.52</v>
      </c>
      <c r="F38" s="204" t="n">
        <v>7.72</v>
      </c>
      <c r="G38" s="458" t="n">
        <v>8.16</v>
      </c>
      <c r="H38" s="211" t="n">
        <v>8.44</v>
      </c>
      <c r="I38" s="120" t="n">
        <v>8.91</v>
      </c>
      <c r="J38" s="91" t="n">
        <v>8.529999999999999</v>
      </c>
      <c r="K38" s="92" t="inlineStr">
        <is>
          <t>A-</t>
        </is>
      </c>
      <c r="L38" s="121" t="inlineStr">
        <is>
          <t>A-</t>
        </is>
      </c>
      <c r="M38" s="106" t="inlineStr">
        <is>
          <t>A-</t>
        </is>
      </c>
      <c r="N38" s="66">
        <f>TRUNC(AVERAGE(D38:J38),2)</f>
        <v/>
      </c>
      <c r="O38" s="93" t="inlineStr">
        <is>
          <t>O</t>
        </is>
      </c>
      <c r="P38" s="43" t="inlineStr">
        <is>
          <t>PROMOVIDO</t>
        </is>
      </c>
    </row>
    <row r="39" ht="15" customHeight="1" s="225">
      <c r="A39" s="135" t="n">
        <v>34</v>
      </c>
      <c r="B39" s="468" t="inlineStr">
        <is>
          <t>ZHINDON MENDEZ KAREN SOFIA</t>
        </is>
      </c>
      <c r="C39" s="184" t="n"/>
      <c r="D39" s="106" t="n">
        <v>8.51</v>
      </c>
      <c r="E39" s="203" t="n">
        <v>8.99</v>
      </c>
      <c r="F39" s="204" t="n">
        <v>8.68</v>
      </c>
      <c r="G39" s="458" t="n">
        <v>9.199999999999999</v>
      </c>
      <c r="H39" s="211" t="n">
        <v>8.91</v>
      </c>
      <c r="I39" s="120" t="n">
        <v>9.56</v>
      </c>
      <c r="J39" s="91" t="n">
        <v>9.44</v>
      </c>
      <c r="K39" s="92" t="inlineStr">
        <is>
          <t>A-</t>
        </is>
      </c>
      <c r="L39" s="121" t="inlineStr">
        <is>
          <t>A-</t>
        </is>
      </c>
      <c r="M39" s="106" t="inlineStr">
        <is>
          <t>A+</t>
        </is>
      </c>
      <c r="N39" s="66">
        <f>TRUNC(AVERAGE(D39:J39),2)</f>
        <v/>
      </c>
      <c r="O39" s="93" t="inlineStr">
        <is>
          <t>S</t>
        </is>
      </c>
      <c r="P39" s="43" t="inlineStr">
        <is>
          <t>PROMOVIDO</t>
        </is>
      </c>
    </row>
    <row r="40" ht="14.25" customHeight="1" s="225">
      <c r="A40" s="135" t="n">
        <v>35</v>
      </c>
      <c r="B40" s="483" t="inlineStr">
        <is>
          <t>ZHININ CORAYZACA ADRIANA DAMARIS</t>
        </is>
      </c>
      <c r="C40" s="153" t="n"/>
      <c r="D40" s="106" t="n">
        <v>7.86</v>
      </c>
      <c r="E40" s="460" t="n">
        <v>7.78</v>
      </c>
      <c r="F40" s="204" t="n">
        <v>7.94</v>
      </c>
      <c r="G40" s="458" t="n">
        <v>8.06</v>
      </c>
      <c r="H40" s="211" t="n">
        <v>8.26</v>
      </c>
      <c r="I40" s="120" t="n">
        <v>9.09</v>
      </c>
      <c r="J40" s="91" t="n">
        <v>8.699999999999999</v>
      </c>
      <c r="K40" s="92" t="inlineStr">
        <is>
          <t>A-</t>
        </is>
      </c>
      <c r="L40" s="49" t="inlineStr">
        <is>
          <t>A-</t>
        </is>
      </c>
      <c r="M40" s="106" t="inlineStr">
        <is>
          <t>A-</t>
        </is>
      </c>
      <c r="N40" s="458">
        <f>TRUNC(AVERAGE(D40:J40),2)</f>
        <v/>
      </c>
      <c r="O40" s="93" t="inlineStr">
        <is>
          <t>O</t>
        </is>
      </c>
      <c r="P40" s="43" t="inlineStr">
        <is>
          <t>PROMOVIDO</t>
        </is>
      </c>
    </row>
    <row r="41" ht="14.25" customHeight="1" s="225">
      <c r="A41" s="135" t="n">
        <v>36</v>
      </c>
      <c r="B41" s="483" t="inlineStr">
        <is>
          <t>ZUMBA CAGUANA NATHALY GISELLA</t>
        </is>
      </c>
      <c r="C41" s="153" t="n"/>
      <c r="D41" s="106" t="n">
        <v>9.33</v>
      </c>
      <c r="E41" s="203" t="n">
        <v>9.15</v>
      </c>
      <c r="F41" s="204" t="n">
        <v>9.720000000000001</v>
      </c>
      <c r="G41" s="458" t="n">
        <v>9.77</v>
      </c>
      <c r="H41" s="211" t="n">
        <v>9.58</v>
      </c>
      <c r="I41" s="120" t="n">
        <v>9.880000000000001</v>
      </c>
      <c r="J41" s="91" t="n">
        <v>9.85</v>
      </c>
      <c r="K41" s="92" t="inlineStr">
        <is>
          <t>A-</t>
        </is>
      </c>
      <c r="L41" s="121" t="inlineStr">
        <is>
          <t>A+</t>
        </is>
      </c>
      <c r="M41" s="106" t="inlineStr">
        <is>
          <t>A+</t>
        </is>
      </c>
      <c r="N41" s="66">
        <f>TRUNC(AVERAGE(D41:J41),2)</f>
        <v/>
      </c>
      <c r="O41" s="93" t="inlineStr">
        <is>
          <t>S</t>
        </is>
      </c>
      <c r="P41" s="43" t="inlineStr">
        <is>
          <t>PROMOVIDO</t>
        </is>
      </c>
    </row>
    <row r="42" ht="14.25" customHeight="1" s="225">
      <c r="A42" s="135" t="n">
        <v>37</v>
      </c>
      <c r="B42" s="483" t="inlineStr">
        <is>
          <t>ZUMBA CHABLAY ANTONY ISMAEL</t>
        </is>
      </c>
      <c r="C42" s="153" t="n"/>
      <c r="D42" s="106" t="n">
        <v>7.69</v>
      </c>
      <c r="E42" s="207" t="n">
        <v>7.81</v>
      </c>
      <c r="F42" s="201" t="n">
        <v>7.4</v>
      </c>
      <c r="G42" s="458" t="n">
        <v>8.69</v>
      </c>
      <c r="H42" s="211" t="n">
        <v>8.039999999999999</v>
      </c>
      <c r="I42" s="120" t="n">
        <v>8.609999999999999</v>
      </c>
      <c r="J42" s="91" t="n">
        <v>8.630000000000001</v>
      </c>
      <c r="K42" s="92" t="inlineStr">
        <is>
          <t>B+</t>
        </is>
      </c>
      <c r="L42" s="49" t="inlineStr">
        <is>
          <t>A-</t>
        </is>
      </c>
      <c r="M42" s="106" t="inlineStr">
        <is>
          <t>A-</t>
        </is>
      </c>
      <c r="N42" s="66">
        <f>TRUNC(AVERAGE(D42:J42),2)</f>
        <v/>
      </c>
      <c r="O42" s="93" t="inlineStr">
        <is>
          <t>S</t>
        </is>
      </c>
      <c r="P42" s="43" t="inlineStr">
        <is>
          <t>PROMOVIDO</t>
        </is>
      </c>
    </row>
    <row r="43" ht="14.25" customHeight="1" s="225">
      <c r="A43" s="212" t="n">
        <v>38</v>
      </c>
      <c r="B43" s="213" t="inlineStr">
        <is>
          <t>NIVICELA ESPINOZA LEIDY SULI</t>
        </is>
      </c>
      <c r="C43" s="214" t="n"/>
      <c r="D43" s="106" t="n">
        <v>8.119999999999999</v>
      </c>
      <c r="E43" s="86" t="n">
        <v>7.67</v>
      </c>
      <c r="F43" s="215" t="n">
        <v>7</v>
      </c>
      <c r="G43" s="220" t="n">
        <v>8.279999999999999</v>
      </c>
      <c r="H43" s="221" t="n">
        <v>7.79</v>
      </c>
      <c r="I43" s="120" t="n">
        <v>8.56</v>
      </c>
      <c r="J43" s="222" t="n">
        <v>8.09</v>
      </c>
      <c r="K43" s="92" t="inlineStr">
        <is>
          <t>B-</t>
        </is>
      </c>
      <c r="L43" s="49" t="inlineStr">
        <is>
          <t>A-</t>
        </is>
      </c>
      <c r="M43" s="218" t="inlineStr">
        <is>
          <t>A-</t>
        </is>
      </c>
      <c r="N43" s="66">
        <f>TRUNC(AVERAGE(D43:J43),2)</f>
        <v/>
      </c>
      <c r="O43" s="219" t="inlineStr">
        <is>
          <t>O</t>
        </is>
      </c>
      <c r="P43" s="43" t="inlineStr">
        <is>
          <t>PROMOVIDO</t>
        </is>
      </c>
    </row>
    <row r="44" ht="14.25" customHeight="1" s="225">
      <c r="B44" s="10" t="inlineStr">
        <is>
          <t>Promedio</t>
        </is>
      </c>
      <c r="D44" s="106">
        <f>AVERAGE(D6:D42)</f>
        <v/>
      </c>
      <c r="E44" s="86">
        <f>AVERAGE(E6:E43)</f>
        <v/>
      </c>
      <c r="F44" s="215">
        <f>AVERAGE(F6:F43)</f>
        <v/>
      </c>
      <c r="G44" s="220">
        <f>AVERAGE(G6:G42)</f>
        <v/>
      </c>
      <c r="H44" s="221">
        <f>AVERAGE(H6:H43)</f>
        <v/>
      </c>
      <c r="I44" s="110">
        <f>AVERAGE(I6:I43)</f>
        <v/>
      </c>
      <c r="J44" s="222">
        <f>AVERAGE(J6:J43)</f>
        <v/>
      </c>
      <c r="K44" s="223" t="inlineStr">
        <is>
          <t>B+</t>
        </is>
      </c>
      <c r="L44" s="156" t="n"/>
      <c r="M44" s="156" t="n"/>
      <c r="N44" s="111">
        <f>AVERAGE(N6:N42)</f>
        <v/>
      </c>
      <c r="O44" s="156" t="n"/>
    </row>
    <row r="45" ht="14.25" customHeight="1" s="225"/>
    <row r="46" ht="14.25" customHeight="1" s="225"/>
    <row r="47" ht="14.25" customHeight="1" s="225">
      <c r="B47" s="247" t="inlineStr">
        <is>
          <t xml:space="preserve">Ing. Sonia Chicaiza Mgtr. </t>
        </is>
      </c>
      <c r="G47" s="248" t="inlineStr">
        <is>
          <t xml:space="preserve">Lcda. Lucia Uzhca Mgtr. </t>
        </is>
      </c>
      <c r="H47" s="249" t="n"/>
      <c r="I47" s="249" t="n"/>
      <c r="J47" s="250" t="n"/>
      <c r="K47" s="72" t="n"/>
      <c r="L47" s="248" t="inlineStr">
        <is>
          <t xml:space="preserve">Lcdo. Oscar Ojeda Mgtr. </t>
        </is>
      </c>
      <c r="M47" s="249" t="n"/>
      <c r="N47" s="249" t="n"/>
      <c r="O47" s="249" t="n"/>
      <c r="P47" s="250" t="n"/>
    </row>
    <row r="48" ht="14.25" customHeight="1" s="225">
      <c r="B48" s="247" t="inlineStr">
        <is>
          <t>Rectora (e)</t>
        </is>
      </c>
      <c r="G48" s="248" t="inlineStr">
        <is>
          <t>Vicerrectora (e) Vespertina</t>
        </is>
      </c>
      <c r="H48" s="249" t="n"/>
      <c r="I48" s="249" t="n"/>
      <c r="J48" s="249" t="n"/>
      <c r="K48" s="250" t="n"/>
      <c r="L48" s="248" t="inlineStr">
        <is>
          <t>Docente Tutor</t>
        </is>
      </c>
      <c r="M48" s="249" t="n"/>
      <c r="N48" s="249" t="n"/>
      <c r="O48" s="250" t="n"/>
      <c r="P48" s="10" t="n"/>
    </row>
    <row r="49" ht="14.25" customHeight="1" s="225"/>
    <row r="50" ht="14.25" customHeight="1" s="225"/>
    <row r="51" ht="14.25" customHeight="1" s="225"/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4.25" customHeight="1" s="225"/>
    <row r="222" ht="14.25" customHeight="1" s="225"/>
    <row r="223" ht="14.25" customHeight="1" s="225"/>
    <row r="224" ht="14.25" customHeight="1" s="225"/>
    <row r="225" ht="14.25" customHeight="1" s="225"/>
    <row r="226" ht="14.25" customHeight="1" s="225"/>
    <row r="227" ht="14.25" customHeight="1" s="225"/>
    <row r="228" ht="14.25" customHeight="1" s="225"/>
    <row r="229" ht="14.25" customHeight="1" s="225"/>
    <row r="230" ht="14.25" customHeight="1" s="225"/>
    <row r="231" ht="14.25" customHeight="1" s="225"/>
    <row r="232" ht="14.25" customHeight="1" s="225"/>
    <row r="233" ht="14.25" customHeight="1" s="225"/>
    <row r="234" ht="14.25" customHeight="1" s="225"/>
    <row r="235" ht="14.25" customHeight="1" s="225"/>
    <row r="236" ht="14.25" customHeight="1" s="225"/>
    <row r="237" ht="14.25" customHeight="1" s="225"/>
    <row r="238" ht="14.25" customHeight="1" s="225"/>
    <row r="239" ht="14.25" customHeight="1" s="225"/>
    <row r="240" ht="14.2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</sheetData>
  <mergeCells count="12">
    <mergeCell ref="B47:C47"/>
    <mergeCell ref="B48:C48"/>
    <mergeCell ref="I4:J4"/>
    <mergeCell ref="B2:P2"/>
    <mergeCell ref="K3:N3"/>
    <mergeCell ref="A1:P1"/>
    <mergeCell ref="L48:O48"/>
    <mergeCell ref="I3:J3"/>
    <mergeCell ref="G47:J47"/>
    <mergeCell ref="C3:E3"/>
    <mergeCell ref="L47:P47"/>
    <mergeCell ref="G48:K48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25" min="1" max="2"/>
    <col width="80.86" customWidth="1" style="225" min="3" max="3"/>
    <col width="10.71" customWidth="1" style="225" min="4" max="6"/>
    <col width="14" customWidth="1" style="225" min="7" max="26"/>
  </cols>
  <sheetData>
    <row r="1" ht="14.25" customHeight="1" s="225"/>
    <row r="2" ht="14.25" customHeight="1" s="225">
      <c r="B2" s="11" t="inlineStr">
        <is>
          <t>S</t>
        </is>
      </c>
      <c r="C2" s="11" t="inlineStr">
        <is>
          <t>Transforma los desacuerdos en oportunidades de crecimiento y cooperación.</t>
        </is>
      </c>
    </row>
    <row r="3" ht="14.25" customHeight="1" s="225">
      <c r="B3" s="11" t="inlineStr">
        <is>
          <t>F</t>
        </is>
      </c>
      <c r="C3" s="11" t="inlineStr">
        <is>
          <t>Se involucra y participa en iniciativas que favorecen la convivencia pacífica.</t>
        </is>
      </c>
    </row>
    <row r="4" ht="14.25" customHeight="1" s="225">
      <c r="B4" s="11" t="inlineStr">
        <is>
          <t>O</t>
        </is>
      </c>
      <c r="C4" s="11" t="inlineStr">
        <is>
          <t>Demuestra habilidades para llegar a acuerdos y asumir compromisos.</t>
        </is>
      </c>
    </row>
    <row r="5" ht="14.25" customHeight="1" s="225">
      <c r="B5" s="11" t="inlineStr">
        <is>
          <t>N</t>
        </is>
      </c>
      <c r="C5" s="11" t="inlineStr">
        <is>
          <t>Muestra limitaciones para llegar a acuerdos y asumir compromisos.</t>
        </is>
      </c>
    </row>
    <row r="6" ht="14.25" customHeight="1" s="225"/>
    <row r="7" ht="14.25" customHeight="1" s="225"/>
    <row r="8" ht="14.25" customHeight="1" s="225"/>
    <row r="9" ht="14.25" customHeight="1" s="225"/>
    <row r="10" ht="14.25" customHeight="1" s="225"/>
    <row r="11" ht="14.25" customHeight="1" s="225"/>
    <row r="12" ht="14.25" customHeight="1" s="225"/>
    <row r="13" ht="14.25" customHeight="1" s="225"/>
    <row r="14" ht="14.25" customHeight="1" s="225"/>
    <row r="15" ht="14.25" customHeight="1" s="225"/>
    <row r="16" ht="14.25" customHeight="1" s="225"/>
    <row r="17" ht="14.25" customHeight="1" s="225"/>
    <row r="18" ht="14.25" customHeight="1" s="225"/>
    <row r="19" ht="14.25" customHeight="1" s="225"/>
    <row r="20" ht="14.25" customHeight="1" s="225"/>
    <row r="21" ht="14.25" customHeight="1" s="225"/>
    <row r="22" ht="14.25" customHeight="1" s="225"/>
    <row r="23" ht="14.25" customHeight="1" s="225"/>
    <row r="24" ht="14.25" customHeight="1" s="225"/>
    <row r="25" ht="14.25" customHeight="1" s="225"/>
    <row r="26" ht="14.25" customHeight="1" s="225"/>
    <row r="27" ht="14.25" customHeight="1" s="225"/>
    <row r="28" ht="14.25" customHeight="1" s="225"/>
    <row r="29" ht="14.25" customHeight="1" s="225"/>
    <row r="30" ht="14.25" customHeight="1" s="225"/>
    <row r="31" ht="14.25" customHeight="1" s="225"/>
    <row r="32" ht="14.25" customHeight="1" s="225"/>
    <row r="33" ht="14.25" customHeight="1" s="225"/>
    <row r="34" ht="14.25" customHeight="1" s="225"/>
    <row r="35" ht="14.25" customHeight="1" s="225"/>
    <row r="36" ht="14.25" customHeight="1" s="225"/>
    <row r="37" ht="14.25" customHeight="1" s="225"/>
    <row r="38" ht="14.25" customHeight="1" s="225"/>
    <row r="39" ht="14.25" customHeight="1" s="225"/>
    <row r="40" ht="14.25" customHeight="1" s="225"/>
    <row r="41" ht="14.25" customHeight="1" s="225"/>
    <row r="42" ht="14.25" customHeight="1" s="225"/>
    <row r="43" ht="14.25" customHeight="1" s="225"/>
    <row r="44" ht="14.25" customHeight="1" s="225"/>
    <row r="45" ht="14.25" customHeight="1" s="225"/>
    <row r="46" ht="14.25" customHeight="1" s="225"/>
    <row r="47" ht="14.25" customHeight="1" s="225"/>
    <row r="48" ht="14.25" customHeight="1" s="225"/>
    <row r="49" ht="14.25" customHeight="1" s="225"/>
    <row r="50" ht="14.25" customHeight="1" s="225"/>
    <row r="51" ht="14.25" customHeight="1" s="225"/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5.75" customHeight="1" s="225"/>
    <row r="222" ht="15.75" customHeight="1" s="225"/>
    <row r="223" ht="15.75" customHeight="1" s="225"/>
    <row r="224" ht="15.75" customHeight="1" s="225"/>
    <row r="225" ht="15.75" customHeight="1" s="225"/>
    <row r="226" ht="15.75" customHeight="1" s="225"/>
    <row r="227" ht="15.75" customHeight="1" s="225"/>
    <row r="228" ht="15.75" customHeight="1" s="225"/>
    <row r="229" ht="15.75" customHeight="1" s="225"/>
    <row r="230" ht="15.75" customHeight="1" s="225"/>
    <row r="231" ht="15.75" customHeight="1" s="225"/>
    <row r="232" ht="15.75" customHeight="1" s="225"/>
    <row r="233" ht="15.75" customHeight="1" s="225"/>
    <row r="234" ht="15.75" customHeight="1" s="225"/>
    <row r="235" ht="15.75" customHeight="1" s="225"/>
    <row r="236" ht="15.75" customHeight="1" s="225"/>
    <row r="237" ht="15.75" customHeight="1" s="225"/>
    <row r="238" ht="15.75" customHeight="1" s="225"/>
    <row r="239" ht="15.75" customHeight="1" s="225"/>
    <row r="240" ht="15.7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pageMargins left="0.7" right="0.7" top="0.75" bottom="0.75" header="0" footer="0"/>
  <pageSetup orientation="landscape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D4:E13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25" min="1" max="4"/>
    <col width="184.29" customWidth="1" style="225" min="5" max="5"/>
    <col width="10.71" customWidth="1" style="225" min="6" max="6"/>
    <col width="14" customWidth="1" style="225" min="7" max="26"/>
  </cols>
  <sheetData>
    <row r="1" ht="14.25" customHeight="1" s="225"/>
    <row r="2" ht="14.25" customHeight="1" s="225"/>
    <row r="3" ht="14.25" customHeight="1" s="225"/>
    <row r="4" ht="14.25" customHeight="1" s="225">
      <c r="D4" s="142" t="inlineStr">
        <is>
          <t>A+</t>
        </is>
      </c>
      <c r="E4" s="224" t="inlineStr">
        <is>
          <t>Demuestra dominio y comprensión de las habilidades, conocimientos y procedimientos desarrollados con capacidad para aplicarlos en situaciones prácticas y de la cotidianidad, simples y complejas, de forma independiente y colectiva.</t>
        </is>
      </c>
    </row>
    <row r="5" ht="17.25" customHeight="1" s="225">
      <c r="D5" s="142" t="inlineStr">
        <is>
          <t>A-</t>
        </is>
      </c>
      <c r="E5" s="224" t="inlineStr">
        <is>
          <t>Demuestra comprensión de habilidades y conocimientos desarrollados para aplicarlos en situaciones de la cotidianidad, de forma independiente y colectiva.</t>
        </is>
      </c>
    </row>
    <row r="6" ht="14.25" customHeight="1" s="225">
      <c r="D6" s="142" t="inlineStr">
        <is>
          <t>B+</t>
        </is>
      </c>
      <c r="E6" s="11" t="inlineStr">
        <is>
          <t>Aplica sus habilidades en situaciones comunes y predecibles, simples y no complejas de forma independiente. Evidencia habilidades para trabajar en equipo y de manera colaborativa, siguiendo instrucciones.</t>
        </is>
      </c>
    </row>
    <row r="7" ht="30.75" customHeight="1" s="225">
      <c r="D7" s="142" t="inlineStr">
        <is>
          <t>B-</t>
        </is>
      </c>
      <c r="E7" s="224" t="inlineStr">
        <is>
      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      </is>
      </c>
    </row>
    <row r="8" ht="14.25" customHeight="1" s="225">
      <c r="D8" s="11" t="inlineStr">
        <is>
          <t>C+</t>
        </is>
      </c>
      <c r="E8" s="224" t="inlineStr">
        <is>
          <t>Demuestra habilidades, conocimientos y procedimientos de manera integral, predominando el trabajo individual al trabajo en equipo. Requiere apoyo del equipo docente para el aprendizaje mediado.</t>
        </is>
      </c>
    </row>
    <row r="9" ht="14.25" customHeight="1" s="225">
      <c r="D9" s="11" t="inlineStr">
        <is>
          <t>C-</t>
        </is>
      </c>
      <c r="E9" s="224" t="inlineStr">
        <is>
          <t>Resuelve tareas o actividades simples sobre la base de sus habilidades, conocimientos y procedimientos adquiridos. Evidencia habilidades básicas de trabajo en equipo. Requiere apoyo del equipo docente para el aprendizaje mediado.</t>
        </is>
      </c>
    </row>
    <row r="10" ht="14.25" customHeight="1" s="225">
      <c r="D10" s="11" t="inlineStr">
        <is>
          <t>D+</t>
        </is>
      </c>
      <c r="E10" s="224" t="inlineStr">
        <is>
          <t>Resuelve tareas o actividades simples sobre la base de sus habilidades, conocimientos y procedimientos adquiridos guiados con el docente. Evidencia limitaciones para trabajar en equipo.</t>
        </is>
      </c>
    </row>
    <row r="11" ht="14.25" customHeight="1" s="225">
      <c r="D11" s="11" t="inlineStr">
        <is>
          <t>D-</t>
        </is>
      </c>
      <c r="E11" s="224" t="inlineStr">
        <is>
          <t>Realiza tareas simples, demuestra dificultad para seguir instrucciones y completarlas, requiriendo la orientación frecuente del equipo docente.</t>
        </is>
      </c>
    </row>
    <row r="12" ht="14.25" customHeight="1" s="225">
      <c r="D12" s="11" t="inlineStr">
        <is>
          <t>E+</t>
        </is>
      </c>
      <c r="E12" s="224" t="inlineStr">
        <is>
          <t>Demuestra dificultades para desarrollar tareas simples y complejas a partir de las habilidades, conocimientos y procedimientos. Requiere intervención permanente del equipo docente para la culminación de sus tareas.</t>
        </is>
      </c>
    </row>
    <row r="13" ht="14.25" customHeight="1" s="225">
      <c r="D13" s="11" t="inlineStr">
        <is>
          <t>E-</t>
        </is>
      </c>
      <c r="E13" s="224" t="inlineStr">
        <is>
          <t>Expone un desarrollo inicial de conocimientos, habilidades y procedimientos para aplicarlos. Requiere intervención inmediata y apoyo continuo del equipo docente para completar las tareas o actividades asignadas.</t>
        </is>
      </c>
    </row>
    <row r="14" ht="14.25" customHeight="1" s="225"/>
    <row r="15" ht="14.25" customHeight="1" s="225"/>
    <row r="16" ht="14.25" customHeight="1" s="225"/>
    <row r="17" ht="14.25" customHeight="1" s="225"/>
    <row r="18" ht="14.25" customHeight="1" s="225"/>
    <row r="19" ht="14.25" customHeight="1" s="225"/>
    <row r="20" ht="14.25" customHeight="1" s="225"/>
    <row r="21" ht="14.25" customHeight="1" s="225"/>
    <row r="22" ht="14.25" customHeight="1" s="225"/>
    <row r="23" ht="14.25" customHeight="1" s="225"/>
    <row r="24" ht="14.25" customHeight="1" s="225"/>
    <row r="25" ht="14.25" customHeight="1" s="225"/>
    <row r="26" ht="14.25" customHeight="1" s="225"/>
    <row r="27" ht="14.25" customHeight="1" s="225"/>
    <row r="28" ht="14.25" customHeight="1" s="225"/>
    <row r="29" ht="14.25" customHeight="1" s="225"/>
    <row r="30" ht="14.25" customHeight="1" s="225"/>
    <row r="31" ht="14.25" customHeight="1" s="225"/>
    <row r="32" ht="14.25" customHeight="1" s="225"/>
    <row r="33" ht="14.25" customHeight="1" s="225"/>
    <row r="34" ht="14.25" customHeight="1" s="225"/>
    <row r="35" ht="14.25" customHeight="1" s="225"/>
    <row r="36" ht="14.25" customHeight="1" s="225"/>
    <row r="37" ht="14.25" customHeight="1" s="225"/>
    <row r="38" ht="14.25" customHeight="1" s="225"/>
    <row r="39" ht="14.25" customHeight="1" s="225"/>
    <row r="40" ht="14.25" customHeight="1" s="225"/>
    <row r="41" ht="14.25" customHeight="1" s="225"/>
    <row r="42" ht="14.25" customHeight="1" s="225"/>
    <row r="43" ht="14.25" customHeight="1" s="225"/>
    <row r="44" ht="14.25" customHeight="1" s="225"/>
    <row r="45" ht="14.25" customHeight="1" s="225"/>
    <row r="46" ht="14.25" customHeight="1" s="225"/>
    <row r="47" ht="14.25" customHeight="1" s="225"/>
    <row r="48" ht="14.25" customHeight="1" s="225"/>
    <row r="49" ht="14.25" customHeight="1" s="225"/>
    <row r="50" ht="14.25" customHeight="1" s="225"/>
    <row r="51" ht="14.25" customHeight="1" s="225"/>
    <row r="52" ht="14.25" customHeight="1" s="225"/>
    <row r="53" ht="14.25" customHeight="1" s="225"/>
    <row r="54" ht="14.25" customHeight="1" s="225"/>
    <row r="55" ht="14.25" customHeight="1" s="225"/>
    <row r="56" ht="14.25" customHeight="1" s="225"/>
    <row r="57" ht="14.25" customHeight="1" s="225"/>
    <row r="58" ht="14.25" customHeight="1" s="225"/>
    <row r="59" ht="14.25" customHeight="1" s="225"/>
    <row r="60" ht="14.25" customHeight="1" s="225"/>
    <row r="61" ht="14.25" customHeight="1" s="225"/>
    <row r="62" ht="14.25" customHeight="1" s="225"/>
    <row r="63" ht="14.25" customHeight="1" s="225"/>
    <row r="64" ht="14.25" customHeight="1" s="225"/>
    <row r="65" ht="14.25" customHeight="1" s="225"/>
    <row r="66" ht="14.25" customHeight="1" s="225"/>
    <row r="67" ht="14.25" customHeight="1" s="225"/>
    <row r="68" ht="14.25" customHeight="1" s="225"/>
    <row r="69" ht="14.25" customHeight="1" s="225"/>
    <row r="70" ht="14.25" customHeight="1" s="225"/>
    <row r="71" ht="14.25" customHeight="1" s="225"/>
    <row r="72" ht="14.25" customHeight="1" s="225"/>
    <row r="73" ht="14.25" customHeight="1" s="225"/>
    <row r="74" ht="14.25" customHeight="1" s="225"/>
    <row r="75" ht="14.25" customHeight="1" s="225"/>
    <row r="76" ht="14.25" customHeight="1" s="225"/>
    <row r="77" ht="14.25" customHeight="1" s="225"/>
    <row r="78" ht="14.25" customHeight="1" s="225"/>
    <row r="79" ht="14.25" customHeight="1" s="225"/>
    <row r="80" ht="14.25" customHeight="1" s="225"/>
    <row r="81" ht="14.25" customHeight="1" s="225"/>
    <row r="82" ht="14.25" customHeight="1" s="225"/>
    <row r="83" ht="14.25" customHeight="1" s="225"/>
    <row r="84" ht="14.25" customHeight="1" s="225"/>
    <row r="85" ht="14.25" customHeight="1" s="225"/>
    <row r="86" ht="14.25" customHeight="1" s="225"/>
    <row r="87" ht="14.25" customHeight="1" s="225"/>
    <row r="88" ht="14.25" customHeight="1" s="225"/>
    <row r="89" ht="14.25" customHeight="1" s="225"/>
    <row r="90" ht="14.25" customHeight="1" s="225"/>
    <row r="91" ht="14.25" customHeight="1" s="225"/>
    <row r="92" ht="14.25" customHeight="1" s="225"/>
    <row r="93" ht="14.25" customHeight="1" s="225"/>
    <row r="94" ht="14.25" customHeight="1" s="225"/>
    <row r="95" ht="14.25" customHeight="1" s="225"/>
    <row r="96" ht="14.25" customHeight="1" s="225"/>
    <row r="97" ht="14.25" customHeight="1" s="225"/>
    <row r="98" ht="14.25" customHeight="1" s="225"/>
    <row r="99" ht="14.25" customHeight="1" s="225"/>
    <row r="100" ht="14.25" customHeight="1" s="225"/>
    <row r="101" ht="14.25" customHeight="1" s="225"/>
    <row r="102" ht="14.25" customHeight="1" s="225"/>
    <row r="103" ht="14.25" customHeight="1" s="225"/>
    <row r="104" ht="14.25" customHeight="1" s="225"/>
    <row r="105" ht="14.25" customHeight="1" s="225"/>
    <row r="106" ht="14.25" customHeight="1" s="225"/>
    <row r="107" ht="14.25" customHeight="1" s="225"/>
    <row r="108" ht="14.25" customHeight="1" s="225"/>
    <row r="109" ht="14.25" customHeight="1" s="225"/>
    <row r="110" ht="14.25" customHeight="1" s="225"/>
    <row r="111" ht="14.25" customHeight="1" s="225"/>
    <row r="112" ht="14.25" customHeight="1" s="225"/>
    <row r="113" ht="14.25" customHeight="1" s="225"/>
    <row r="114" ht="14.25" customHeight="1" s="225"/>
    <row r="115" ht="14.25" customHeight="1" s="225"/>
    <row r="116" ht="14.25" customHeight="1" s="225"/>
    <row r="117" ht="14.25" customHeight="1" s="225"/>
    <row r="118" ht="14.25" customHeight="1" s="225"/>
    <row r="119" ht="14.25" customHeight="1" s="225"/>
    <row r="120" ht="14.25" customHeight="1" s="225"/>
    <row r="121" ht="14.25" customHeight="1" s="225"/>
    <row r="122" ht="14.25" customHeight="1" s="225"/>
    <row r="123" ht="14.25" customHeight="1" s="225"/>
    <row r="124" ht="14.25" customHeight="1" s="225"/>
    <row r="125" ht="14.25" customHeight="1" s="225"/>
    <row r="126" ht="14.25" customHeight="1" s="225"/>
    <row r="127" ht="14.25" customHeight="1" s="225"/>
    <row r="128" ht="14.25" customHeight="1" s="225"/>
    <row r="129" ht="14.25" customHeight="1" s="225"/>
    <row r="130" ht="14.25" customHeight="1" s="225"/>
    <row r="131" ht="14.25" customHeight="1" s="225"/>
    <row r="132" ht="14.25" customHeight="1" s="225"/>
    <row r="133" ht="14.25" customHeight="1" s="225"/>
    <row r="134" ht="14.25" customHeight="1" s="225"/>
    <row r="135" ht="14.25" customHeight="1" s="225"/>
    <row r="136" ht="14.25" customHeight="1" s="225"/>
    <row r="137" ht="14.25" customHeight="1" s="225"/>
    <row r="138" ht="14.25" customHeight="1" s="225"/>
    <row r="139" ht="14.25" customHeight="1" s="225"/>
    <row r="140" ht="14.25" customHeight="1" s="225"/>
    <row r="141" ht="14.25" customHeight="1" s="225"/>
    <row r="142" ht="14.25" customHeight="1" s="225"/>
    <row r="143" ht="14.25" customHeight="1" s="225"/>
    <row r="144" ht="14.25" customHeight="1" s="225"/>
    <row r="145" ht="14.25" customHeight="1" s="225"/>
    <row r="146" ht="14.25" customHeight="1" s="225"/>
    <row r="147" ht="14.25" customHeight="1" s="225"/>
    <row r="148" ht="14.25" customHeight="1" s="225"/>
    <row r="149" ht="14.25" customHeight="1" s="225"/>
    <row r="150" ht="14.25" customHeight="1" s="225"/>
    <row r="151" ht="14.25" customHeight="1" s="225"/>
    <row r="152" ht="14.25" customHeight="1" s="225"/>
    <row r="153" ht="14.25" customHeight="1" s="225"/>
    <row r="154" ht="14.25" customHeight="1" s="225"/>
    <row r="155" ht="14.25" customHeight="1" s="225"/>
    <row r="156" ht="14.25" customHeight="1" s="225"/>
    <row r="157" ht="14.25" customHeight="1" s="225"/>
    <row r="158" ht="14.25" customHeight="1" s="225"/>
    <row r="159" ht="14.25" customHeight="1" s="225"/>
    <row r="160" ht="14.25" customHeight="1" s="225"/>
    <row r="161" ht="14.25" customHeight="1" s="225"/>
    <row r="162" ht="14.25" customHeight="1" s="225"/>
    <row r="163" ht="14.25" customHeight="1" s="225"/>
    <row r="164" ht="14.25" customHeight="1" s="225"/>
    <row r="165" ht="14.25" customHeight="1" s="225"/>
    <row r="166" ht="14.25" customHeight="1" s="225"/>
    <row r="167" ht="14.25" customHeight="1" s="225"/>
    <row r="168" ht="14.25" customHeight="1" s="225"/>
    <row r="169" ht="14.25" customHeight="1" s="225"/>
    <row r="170" ht="14.25" customHeight="1" s="225"/>
    <row r="171" ht="14.25" customHeight="1" s="225"/>
    <row r="172" ht="14.25" customHeight="1" s="225"/>
    <row r="173" ht="14.25" customHeight="1" s="225"/>
    <row r="174" ht="14.25" customHeight="1" s="225"/>
    <row r="175" ht="14.25" customHeight="1" s="225"/>
    <row r="176" ht="14.25" customHeight="1" s="225"/>
    <row r="177" ht="14.25" customHeight="1" s="225"/>
    <row r="178" ht="14.25" customHeight="1" s="225"/>
    <row r="179" ht="14.25" customHeight="1" s="225"/>
    <row r="180" ht="14.25" customHeight="1" s="225"/>
    <row r="181" ht="14.25" customHeight="1" s="225"/>
    <row r="182" ht="14.25" customHeight="1" s="225"/>
    <row r="183" ht="14.25" customHeight="1" s="225"/>
    <row r="184" ht="14.25" customHeight="1" s="225"/>
    <row r="185" ht="14.25" customHeight="1" s="225"/>
    <row r="186" ht="14.25" customHeight="1" s="225"/>
    <row r="187" ht="14.25" customHeight="1" s="225"/>
    <row r="188" ht="14.25" customHeight="1" s="225"/>
    <row r="189" ht="14.25" customHeight="1" s="225"/>
    <row r="190" ht="14.25" customHeight="1" s="225"/>
    <row r="191" ht="14.25" customHeight="1" s="225"/>
    <row r="192" ht="14.25" customHeight="1" s="225"/>
    <row r="193" ht="14.25" customHeight="1" s="225"/>
    <row r="194" ht="14.25" customHeight="1" s="225"/>
    <row r="195" ht="14.25" customHeight="1" s="225"/>
    <row r="196" ht="14.25" customHeight="1" s="225"/>
    <row r="197" ht="14.25" customHeight="1" s="225"/>
    <row r="198" ht="14.25" customHeight="1" s="225"/>
    <row r="199" ht="14.25" customHeight="1" s="225"/>
    <row r="200" ht="14.25" customHeight="1" s="225"/>
    <row r="201" ht="14.25" customHeight="1" s="225"/>
    <row r="202" ht="14.25" customHeight="1" s="225"/>
    <row r="203" ht="14.25" customHeight="1" s="225"/>
    <row r="204" ht="14.25" customHeight="1" s="225"/>
    <row r="205" ht="14.25" customHeight="1" s="225"/>
    <row r="206" ht="14.25" customHeight="1" s="225"/>
    <row r="207" ht="14.25" customHeight="1" s="225"/>
    <row r="208" ht="14.25" customHeight="1" s="225"/>
    <row r="209" ht="14.25" customHeight="1" s="225"/>
    <row r="210" ht="14.25" customHeight="1" s="225"/>
    <row r="211" ht="14.25" customHeight="1" s="225"/>
    <row r="212" ht="14.25" customHeight="1" s="225"/>
    <row r="213" ht="14.25" customHeight="1" s="225"/>
    <row r="214" ht="14.25" customHeight="1" s="225"/>
    <row r="215" ht="14.25" customHeight="1" s="225"/>
    <row r="216" ht="14.25" customHeight="1" s="225"/>
    <row r="217" ht="14.25" customHeight="1" s="225"/>
    <row r="218" ht="14.25" customHeight="1" s="225"/>
    <row r="219" ht="14.25" customHeight="1" s="225"/>
    <row r="220" ht="14.25" customHeight="1" s="225"/>
    <row r="221" ht="15.75" customHeight="1" s="225"/>
    <row r="222" ht="15.75" customHeight="1" s="225"/>
    <row r="223" ht="15.75" customHeight="1" s="225"/>
    <row r="224" ht="15.75" customHeight="1" s="225"/>
    <row r="225" ht="15.75" customHeight="1" s="225"/>
    <row r="226" ht="15.75" customHeight="1" s="225"/>
    <row r="227" ht="15.75" customHeight="1" s="225"/>
    <row r="228" ht="15.75" customHeight="1" s="225"/>
    <row r="229" ht="15.75" customHeight="1" s="225"/>
    <row r="230" ht="15.75" customHeight="1" s="225"/>
    <row r="231" ht="15.75" customHeight="1" s="225"/>
    <row r="232" ht="15.75" customHeight="1" s="225"/>
    <row r="233" ht="15.75" customHeight="1" s="225"/>
    <row r="234" ht="15.75" customHeight="1" s="225"/>
    <row r="235" ht="15.75" customHeight="1" s="225"/>
    <row r="236" ht="15.75" customHeight="1" s="225"/>
    <row r="237" ht="15.75" customHeight="1" s="225"/>
    <row r="238" ht="15.75" customHeight="1" s="225"/>
    <row r="239" ht="15.75" customHeight="1" s="225"/>
    <row r="240" ht="15.75" customHeight="1" s="225"/>
    <row r="241" ht="15.75" customHeight="1" s="225"/>
    <row r="242" ht="15.75" customHeight="1" s="225"/>
    <row r="243" ht="15.75" customHeight="1" s="225"/>
    <row r="244" ht="15.75" customHeight="1" s="225"/>
    <row r="245" ht="15.75" customHeight="1" s="225"/>
    <row r="246" ht="15.75" customHeight="1" s="225"/>
    <row r="247" ht="15.75" customHeight="1" s="225"/>
    <row r="248" ht="15.75" customHeight="1" s="225"/>
    <row r="249" ht="15.75" customHeight="1" s="225"/>
    <row r="250" ht="15.75" customHeight="1" s="225"/>
    <row r="251" ht="15.75" customHeight="1" s="225"/>
    <row r="252" ht="15.75" customHeight="1" s="225"/>
    <row r="253" ht="15.75" customHeight="1" s="225"/>
    <row r="254" ht="15.75" customHeight="1" s="225"/>
    <row r="255" ht="15.75" customHeight="1" s="225"/>
    <row r="256" ht="15.75" customHeight="1" s="225"/>
    <row r="257" ht="15.75" customHeight="1" s="225"/>
    <row r="258" ht="15.75" customHeight="1" s="225"/>
    <row r="259" ht="15.75" customHeight="1" s="225"/>
    <row r="260" ht="15.75" customHeight="1" s="225"/>
    <row r="261" ht="15.75" customHeight="1" s="225"/>
    <row r="262" ht="15.75" customHeight="1" s="225"/>
    <row r="263" ht="15.75" customHeight="1" s="225"/>
    <row r="264" ht="15.75" customHeight="1" s="225"/>
    <row r="265" ht="15.75" customHeight="1" s="225"/>
    <row r="266" ht="15.75" customHeight="1" s="225"/>
    <row r="267" ht="15.75" customHeight="1" s="225"/>
    <row r="268" ht="15.75" customHeight="1" s="225"/>
    <row r="269" ht="15.75" customHeight="1" s="225"/>
    <row r="270" ht="15.75" customHeight="1" s="225"/>
    <row r="271" ht="15.75" customHeight="1" s="225"/>
    <row r="272" ht="15.75" customHeight="1" s="225"/>
    <row r="273" ht="15.75" customHeight="1" s="225"/>
    <row r="274" ht="15.75" customHeight="1" s="225"/>
    <row r="275" ht="15.75" customHeight="1" s="225"/>
    <row r="276" ht="15.75" customHeight="1" s="225"/>
    <row r="277" ht="15.75" customHeight="1" s="225"/>
    <row r="278" ht="15.75" customHeight="1" s="225"/>
    <row r="279" ht="15.75" customHeight="1" s="225"/>
    <row r="280" ht="15.75" customHeight="1" s="225"/>
    <row r="281" ht="15.75" customHeight="1" s="225"/>
    <row r="282" ht="15.75" customHeight="1" s="225"/>
    <row r="283" ht="15.75" customHeight="1" s="225"/>
    <row r="284" ht="15.75" customHeight="1" s="225"/>
    <row r="285" ht="15.75" customHeight="1" s="225"/>
    <row r="286" ht="15.75" customHeight="1" s="225"/>
    <row r="287" ht="15.75" customHeight="1" s="225"/>
    <row r="288" ht="15.75" customHeight="1" s="225"/>
    <row r="289" ht="15.75" customHeight="1" s="225"/>
    <row r="290" ht="15.75" customHeight="1" s="225"/>
    <row r="291" ht="15.75" customHeight="1" s="225"/>
    <row r="292" ht="15.75" customHeight="1" s="225"/>
    <row r="293" ht="15.75" customHeight="1" s="225"/>
    <row r="294" ht="15.75" customHeight="1" s="225"/>
    <row r="295" ht="15.75" customHeight="1" s="225"/>
    <row r="296" ht="15.75" customHeight="1" s="225"/>
    <row r="297" ht="15.75" customHeight="1" s="225"/>
    <row r="298" ht="15.75" customHeight="1" s="225"/>
    <row r="299" ht="15.75" customHeight="1" s="225"/>
    <row r="300" ht="15.75" customHeight="1" s="225"/>
    <row r="301" ht="15.75" customHeight="1" s="225"/>
    <row r="302" ht="15.75" customHeight="1" s="225"/>
    <row r="303" ht="15.75" customHeight="1" s="225"/>
    <row r="304" ht="15.75" customHeight="1" s="225"/>
    <row r="305" ht="15.75" customHeight="1" s="225"/>
    <row r="306" ht="15.75" customHeight="1" s="225"/>
    <row r="307" ht="15.75" customHeight="1" s="225"/>
    <row r="308" ht="15.75" customHeight="1" s="225"/>
    <row r="309" ht="15.75" customHeight="1" s="225"/>
    <row r="310" ht="15.75" customHeight="1" s="225"/>
    <row r="311" ht="15.75" customHeight="1" s="225"/>
    <row r="312" ht="15.75" customHeight="1" s="225"/>
    <row r="313" ht="15.75" customHeight="1" s="225"/>
    <row r="314" ht="15.75" customHeight="1" s="225"/>
    <row r="315" ht="15.75" customHeight="1" s="225"/>
    <row r="316" ht="15.75" customHeight="1" s="225"/>
    <row r="317" ht="15.75" customHeight="1" s="225"/>
    <row r="318" ht="15.75" customHeight="1" s="225"/>
    <row r="319" ht="15.75" customHeight="1" s="225"/>
    <row r="320" ht="15.75" customHeight="1" s="225"/>
    <row r="321" ht="15.75" customHeight="1" s="225"/>
    <row r="322" ht="15.75" customHeight="1" s="225"/>
    <row r="323" ht="15.75" customHeight="1" s="225"/>
    <row r="324" ht="15.75" customHeight="1" s="225"/>
    <row r="325" ht="15.75" customHeight="1" s="225"/>
    <row r="326" ht="15.75" customHeight="1" s="225"/>
    <row r="327" ht="15.75" customHeight="1" s="225"/>
    <row r="328" ht="15.75" customHeight="1" s="225"/>
    <row r="329" ht="15.75" customHeight="1" s="225"/>
    <row r="330" ht="15.75" customHeight="1" s="225"/>
    <row r="331" ht="15.75" customHeight="1" s="225"/>
    <row r="332" ht="15.75" customHeight="1" s="225"/>
    <row r="333" ht="15.75" customHeight="1" s="225"/>
    <row r="334" ht="15.75" customHeight="1" s="225"/>
    <row r="335" ht="15.75" customHeight="1" s="225"/>
    <row r="336" ht="15.75" customHeight="1" s="225"/>
    <row r="337" ht="15.75" customHeight="1" s="225"/>
    <row r="338" ht="15.75" customHeight="1" s="225"/>
    <row r="339" ht="15.75" customHeight="1" s="225"/>
    <row r="340" ht="15.75" customHeight="1" s="225"/>
    <row r="341" ht="15.75" customHeight="1" s="225"/>
    <row r="342" ht="15.75" customHeight="1" s="225"/>
    <row r="343" ht="15.75" customHeight="1" s="225"/>
    <row r="344" ht="15.75" customHeight="1" s="225"/>
    <row r="345" ht="15.75" customHeight="1" s="225"/>
    <row r="346" ht="15.75" customHeight="1" s="225"/>
    <row r="347" ht="15.75" customHeight="1" s="225"/>
    <row r="348" ht="15.75" customHeight="1" s="225"/>
    <row r="349" ht="15.75" customHeight="1" s="225"/>
    <row r="350" ht="15.75" customHeight="1" s="225"/>
    <row r="351" ht="15.75" customHeight="1" s="225"/>
    <row r="352" ht="15.75" customHeight="1" s="225"/>
    <row r="353" ht="15.75" customHeight="1" s="225"/>
    <row r="354" ht="15.75" customHeight="1" s="225"/>
    <row r="355" ht="15.75" customHeight="1" s="225"/>
    <row r="356" ht="15.75" customHeight="1" s="225"/>
    <row r="357" ht="15.75" customHeight="1" s="225"/>
    <row r="358" ht="15.75" customHeight="1" s="225"/>
    <row r="359" ht="15.75" customHeight="1" s="225"/>
    <row r="360" ht="15.75" customHeight="1" s="225"/>
    <row r="361" ht="15.75" customHeight="1" s="225"/>
    <row r="362" ht="15.75" customHeight="1" s="225"/>
    <row r="363" ht="15.75" customHeight="1" s="225"/>
    <row r="364" ht="15.75" customHeight="1" s="225"/>
    <row r="365" ht="15.75" customHeight="1" s="225"/>
    <row r="366" ht="15.75" customHeight="1" s="225"/>
    <row r="367" ht="15.75" customHeight="1" s="225"/>
    <row r="368" ht="15.75" customHeight="1" s="225"/>
    <row r="369" ht="15.75" customHeight="1" s="225"/>
    <row r="370" ht="15.75" customHeight="1" s="225"/>
    <row r="371" ht="15.75" customHeight="1" s="225"/>
    <row r="372" ht="15.75" customHeight="1" s="225"/>
    <row r="373" ht="15.75" customHeight="1" s="225"/>
    <row r="374" ht="15.75" customHeight="1" s="225"/>
    <row r="375" ht="15.75" customHeight="1" s="225"/>
    <row r="376" ht="15.75" customHeight="1" s="225"/>
    <row r="377" ht="15.75" customHeight="1" s="225"/>
    <row r="378" ht="15.75" customHeight="1" s="225"/>
    <row r="379" ht="15.75" customHeight="1" s="225"/>
    <row r="380" ht="15.75" customHeight="1" s="225"/>
    <row r="381" ht="15.75" customHeight="1" s="225"/>
    <row r="382" ht="15.75" customHeight="1" s="225"/>
    <row r="383" ht="15.75" customHeight="1" s="225"/>
    <row r="384" ht="15.75" customHeight="1" s="225"/>
    <row r="385" ht="15.75" customHeight="1" s="225"/>
    <row r="386" ht="15.75" customHeight="1" s="225"/>
    <row r="387" ht="15.75" customHeight="1" s="225"/>
    <row r="388" ht="15.75" customHeight="1" s="225"/>
    <row r="389" ht="15.75" customHeight="1" s="225"/>
    <row r="390" ht="15.75" customHeight="1" s="225"/>
    <row r="391" ht="15.75" customHeight="1" s="225"/>
    <row r="392" ht="15.75" customHeight="1" s="225"/>
    <row r="393" ht="15.75" customHeight="1" s="225"/>
    <row r="394" ht="15.75" customHeight="1" s="225"/>
    <row r="395" ht="15.75" customHeight="1" s="225"/>
    <row r="396" ht="15.75" customHeight="1" s="225"/>
    <row r="397" ht="15.75" customHeight="1" s="225"/>
    <row r="398" ht="15.75" customHeight="1" s="225"/>
    <row r="399" ht="15.75" customHeight="1" s="225"/>
    <row r="400" ht="15.75" customHeight="1" s="225"/>
    <row r="401" ht="15.75" customHeight="1" s="225"/>
    <row r="402" ht="15.75" customHeight="1" s="225"/>
    <row r="403" ht="15.75" customHeight="1" s="225"/>
    <row r="404" ht="15.75" customHeight="1" s="225"/>
    <row r="405" ht="15.75" customHeight="1" s="225"/>
    <row r="406" ht="15.75" customHeight="1" s="225"/>
    <row r="407" ht="15.75" customHeight="1" s="225"/>
    <row r="408" ht="15.75" customHeight="1" s="225"/>
    <row r="409" ht="15.75" customHeight="1" s="225"/>
    <row r="410" ht="15.75" customHeight="1" s="225"/>
    <row r="411" ht="15.75" customHeight="1" s="225"/>
    <row r="412" ht="15.75" customHeight="1" s="225"/>
    <row r="413" ht="15.75" customHeight="1" s="225"/>
    <row r="414" ht="15.75" customHeight="1" s="225"/>
    <row r="415" ht="15.75" customHeight="1" s="225"/>
    <row r="416" ht="15.75" customHeight="1" s="225"/>
    <row r="417" ht="15.75" customHeight="1" s="225"/>
    <row r="418" ht="15.75" customHeight="1" s="225"/>
    <row r="419" ht="15.75" customHeight="1" s="225"/>
    <row r="420" ht="15.75" customHeight="1" s="225"/>
    <row r="421" ht="15.75" customHeight="1" s="225"/>
    <row r="422" ht="15.75" customHeight="1" s="225"/>
    <row r="423" ht="15.75" customHeight="1" s="225"/>
    <row r="424" ht="15.75" customHeight="1" s="225"/>
    <row r="425" ht="15.75" customHeight="1" s="225"/>
    <row r="426" ht="15.75" customHeight="1" s="225"/>
    <row r="427" ht="15.75" customHeight="1" s="225"/>
    <row r="428" ht="15.75" customHeight="1" s="225"/>
    <row r="429" ht="15.75" customHeight="1" s="225"/>
    <row r="430" ht="15.75" customHeight="1" s="225"/>
    <row r="431" ht="15.75" customHeight="1" s="225"/>
    <row r="432" ht="15.75" customHeight="1" s="225"/>
    <row r="433" ht="15.75" customHeight="1" s="225"/>
    <row r="434" ht="15.75" customHeight="1" s="225"/>
    <row r="435" ht="15.75" customHeight="1" s="225"/>
    <row r="436" ht="15.75" customHeight="1" s="225"/>
    <row r="437" ht="15.75" customHeight="1" s="225"/>
    <row r="438" ht="15.75" customHeight="1" s="225"/>
    <row r="439" ht="15.75" customHeight="1" s="225"/>
    <row r="440" ht="15.75" customHeight="1" s="225"/>
    <row r="441" ht="15.75" customHeight="1" s="225"/>
    <row r="442" ht="15.75" customHeight="1" s="225"/>
    <row r="443" ht="15.75" customHeight="1" s="225"/>
    <row r="444" ht="15.75" customHeight="1" s="225"/>
    <row r="445" ht="15.75" customHeight="1" s="225"/>
    <row r="446" ht="15.75" customHeight="1" s="225"/>
    <row r="447" ht="15.75" customHeight="1" s="225"/>
    <row r="448" ht="15.75" customHeight="1" s="225"/>
    <row r="449" ht="15.75" customHeight="1" s="225"/>
    <row r="450" ht="15.75" customHeight="1" s="225"/>
    <row r="451" ht="15.75" customHeight="1" s="225"/>
    <row r="452" ht="15.75" customHeight="1" s="225"/>
    <row r="453" ht="15.75" customHeight="1" s="225"/>
    <row r="454" ht="15.75" customHeight="1" s="225"/>
    <row r="455" ht="15.75" customHeight="1" s="225"/>
    <row r="456" ht="15.75" customHeight="1" s="225"/>
    <row r="457" ht="15.75" customHeight="1" s="225"/>
    <row r="458" ht="15.75" customHeight="1" s="225"/>
    <row r="459" ht="15.75" customHeight="1" s="225"/>
    <row r="460" ht="15.75" customHeight="1" s="225"/>
    <row r="461" ht="15.75" customHeight="1" s="225"/>
    <row r="462" ht="15.75" customHeight="1" s="225"/>
    <row r="463" ht="15.75" customHeight="1" s="225"/>
    <row r="464" ht="15.75" customHeight="1" s="225"/>
    <row r="465" ht="15.75" customHeight="1" s="225"/>
    <row r="466" ht="15.75" customHeight="1" s="225"/>
    <row r="467" ht="15.75" customHeight="1" s="225"/>
    <row r="468" ht="15.75" customHeight="1" s="225"/>
    <row r="469" ht="15.75" customHeight="1" s="225"/>
    <row r="470" ht="15.75" customHeight="1" s="225"/>
    <row r="471" ht="15.75" customHeight="1" s="225"/>
    <row r="472" ht="15.75" customHeight="1" s="225"/>
    <row r="473" ht="15.75" customHeight="1" s="225"/>
    <row r="474" ht="15.75" customHeight="1" s="225"/>
    <row r="475" ht="15.75" customHeight="1" s="225"/>
    <row r="476" ht="15.75" customHeight="1" s="225"/>
    <row r="477" ht="15.75" customHeight="1" s="225"/>
    <row r="478" ht="15.75" customHeight="1" s="225"/>
    <row r="479" ht="15.75" customHeight="1" s="225"/>
    <row r="480" ht="15.75" customHeight="1" s="225"/>
    <row r="481" ht="15.75" customHeight="1" s="225"/>
    <row r="482" ht="15.75" customHeight="1" s="225"/>
    <row r="483" ht="15.75" customHeight="1" s="225"/>
    <row r="484" ht="15.75" customHeight="1" s="225"/>
    <row r="485" ht="15.75" customHeight="1" s="225"/>
    <row r="486" ht="15.75" customHeight="1" s="225"/>
    <row r="487" ht="15.75" customHeight="1" s="225"/>
    <row r="488" ht="15.75" customHeight="1" s="225"/>
    <row r="489" ht="15.75" customHeight="1" s="225"/>
    <row r="490" ht="15.75" customHeight="1" s="225"/>
    <row r="491" ht="15.75" customHeight="1" s="225"/>
    <row r="492" ht="15.75" customHeight="1" s="225"/>
    <row r="493" ht="15.75" customHeight="1" s="225"/>
    <row r="494" ht="15.75" customHeight="1" s="225"/>
    <row r="495" ht="15.75" customHeight="1" s="225"/>
    <row r="496" ht="15.75" customHeight="1" s="225"/>
    <row r="497" ht="15.75" customHeight="1" s="225"/>
    <row r="498" ht="15.75" customHeight="1" s="225"/>
    <row r="499" ht="15.75" customHeight="1" s="225"/>
    <row r="500" ht="15.75" customHeight="1" s="225"/>
    <row r="501" ht="15.75" customHeight="1" s="225"/>
    <row r="502" ht="15.75" customHeight="1" s="225"/>
    <row r="503" ht="15.75" customHeight="1" s="225"/>
    <row r="504" ht="15.75" customHeight="1" s="225"/>
    <row r="505" ht="15.75" customHeight="1" s="225"/>
    <row r="506" ht="15.75" customHeight="1" s="225"/>
    <row r="507" ht="15.75" customHeight="1" s="225"/>
    <row r="508" ht="15.75" customHeight="1" s="225"/>
    <row r="509" ht="15.75" customHeight="1" s="225"/>
    <row r="510" ht="15.75" customHeight="1" s="225"/>
    <row r="511" ht="15.75" customHeight="1" s="225"/>
    <row r="512" ht="15.75" customHeight="1" s="225"/>
    <row r="513" ht="15.75" customHeight="1" s="225"/>
    <row r="514" ht="15.75" customHeight="1" s="225"/>
    <row r="515" ht="15.75" customHeight="1" s="225"/>
    <row r="516" ht="15.75" customHeight="1" s="225"/>
    <row r="517" ht="15.75" customHeight="1" s="225"/>
    <row r="518" ht="15.75" customHeight="1" s="225"/>
    <row r="519" ht="15.75" customHeight="1" s="225"/>
    <row r="520" ht="15.75" customHeight="1" s="225"/>
    <row r="521" ht="15.75" customHeight="1" s="225"/>
    <row r="522" ht="15.75" customHeight="1" s="225"/>
    <row r="523" ht="15.75" customHeight="1" s="225"/>
    <row r="524" ht="15.75" customHeight="1" s="225"/>
    <row r="525" ht="15.75" customHeight="1" s="225"/>
    <row r="526" ht="15.75" customHeight="1" s="225"/>
    <row r="527" ht="15.75" customHeight="1" s="225"/>
    <row r="528" ht="15.75" customHeight="1" s="225"/>
    <row r="529" ht="15.75" customHeight="1" s="225"/>
    <row r="530" ht="15.75" customHeight="1" s="225"/>
    <row r="531" ht="15.75" customHeight="1" s="225"/>
    <row r="532" ht="15.75" customHeight="1" s="225"/>
    <row r="533" ht="15.75" customHeight="1" s="225"/>
    <row r="534" ht="15.75" customHeight="1" s="225"/>
    <row r="535" ht="15.75" customHeight="1" s="225"/>
    <row r="536" ht="15.75" customHeight="1" s="225"/>
    <row r="537" ht="15.75" customHeight="1" s="225"/>
    <row r="538" ht="15.75" customHeight="1" s="225"/>
    <row r="539" ht="15.75" customHeight="1" s="225"/>
    <row r="540" ht="15.75" customHeight="1" s="225"/>
    <row r="541" ht="15.75" customHeight="1" s="225"/>
    <row r="542" ht="15.75" customHeight="1" s="225"/>
    <row r="543" ht="15.75" customHeight="1" s="225"/>
    <row r="544" ht="15.75" customHeight="1" s="225"/>
    <row r="545" ht="15.75" customHeight="1" s="225"/>
    <row r="546" ht="15.75" customHeight="1" s="225"/>
    <row r="547" ht="15.75" customHeight="1" s="225"/>
    <row r="548" ht="15.75" customHeight="1" s="225"/>
    <row r="549" ht="15.75" customHeight="1" s="225"/>
    <row r="550" ht="15.75" customHeight="1" s="225"/>
    <row r="551" ht="15.75" customHeight="1" s="225"/>
    <row r="552" ht="15.75" customHeight="1" s="225"/>
    <row r="553" ht="15.75" customHeight="1" s="225"/>
    <row r="554" ht="15.75" customHeight="1" s="225"/>
    <row r="555" ht="15.75" customHeight="1" s="225"/>
    <row r="556" ht="15.75" customHeight="1" s="225"/>
    <row r="557" ht="15.75" customHeight="1" s="225"/>
    <row r="558" ht="15.75" customHeight="1" s="225"/>
    <row r="559" ht="15.75" customHeight="1" s="225"/>
    <row r="560" ht="15.75" customHeight="1" s="225"/>
    <row r="561" ht="15.75" customHeight="1" s="225"/>
    <row r="562" ht="15.75" customHeight="1" s="225"/>
    <row r="563" ht="15.75" customHeight="1" s="225"/>
    <row r="564" ht="15.75" customHeight="1" s="225"/>
    <row r="565" ht="15.75" customHeight="1" s="225"/>
    <row r="566" ht="15.75" customHeight="1" s="225"/>
    <row r="567" ht="15.75" customHeight="1" s="225"/>
    <row r="568" ht="15.75" customHeight="1" s="225"/>
    <row r="569" ht="15.75" customHeight="1" s="225"/>
    <row r="570" ht="15.75" customHeight="1" s="225"/>
    <row r="571" ht="15.75" customHeight="1" s="225"/>
    <row r="572" ht="15.75" customHeight="1" s="225"/>
    <row r="573" ht="15.75" customHeight="1" s="225"/>
    <row r="574" ht="15.75" customHeight="1" s="225"/>
    <row r="575" ht="15.75" customHeight="1" s="225"/>
    <row r="576" ht="15.75" customHeight="1" s="225"/>
    <row r="577" ht="15.75" customHeight="1" s="225"/>
    <row r="578" ht="15.75" customHeight="1" s="225"/>
    <row r="579" ht="15.75" customHeight="1" s="225"/>
    <row r="580" ht="15.75" customHeight="1" s="225"/>
    <row r="581" ht="15.75" customHeight="1" s="225"/>
    <row r="582" ht="15.75" customHeight="1" s="225"/>
    <row r="583" ht="15.75" customHeight="1" s="225"/>
    <row r="584" ht="15.75" customHeight="1" s="225"/>
    <row r="585" ht="15.75" customHeight="1" s="225"/>
    <row r="586" ht="15.75" customHeight="1" s="225"/>
    <row r="587" ht="15.75" customHeight="1" s="225"/>
    <row r="588" ht="15.75" customHeight="1" s="225"/>
    <row r="589" ht="15.75" customHeight="1" s="225"/>
    <row r="590" ht="15.75" customHeight="1" s="225"/>
    <row r="591" ht="15.75" customHeight="1" s="225"/>
    <row r="592" ht="15.75" customHeight="1" s="225"/>
    <row r="593" ht="15.75" customHeight="1" s="225"/>
    <row r="594" ht="15.75" customHeight="1" s="225"/>
    <row r="595" ht="15.75" customHeight="1" s="225"/>
    <row r="596" ht="15.75" customHeight="1" s="225"/>
    <row r="597" ht="15.75" customHeight="1" s="225"/>
    <row r="598" ht="15.75" customHeight="1" s="225"/>
    <row r="599" ht="15.75" customHeight="1" s="225"/>
    <row r="600" ht="15.75" customHeight="1" s="225"/>
    <row r="601" ht="15.75" customHeight="1" s="225"/>
    <row r="602" ht="15.75" customHeight="1" s="225"/>
    <row r="603" ht="15.75" customHeight="1" s="225"/>
    <row r="604" ht="15.75" customHeight="1" s="225"/>
    <row r="605" ht="15.75" customHeight="1" s="225"/>
    <row r="606" ht="15.75" customHeight="1" s="225"/>
    <row r="607" ht="15.75" customHeight="1" s="225"/>
    <row r="608" ht="15.75" customHeight="1" s="225"/>
    <row r="609" ht="15.75" customHeight="1" s="225"/>
    <row r="610" ht="15.75" customHeight="1" s="225"/>
    <row r="611" ht="15.75" customHeight="1" s="225"/>
    <row r="612" ht="15.75" customHeight="1" s="225"/>
    <row r="613" ht="15.75" customHeight="1" s="225"/>
    <row r="614" ht="15.75" customHeight="1" s="225"/>
    <row r="615" ht="15.75" customHeight="1" s="225"/>
    <row r="616" ht="15.75" customHeight="1" s="225"/>
    <row r="617" ht="15.75" customHeight="1" s="225"/>
    <row r="618" ht="15.75" customHeight="1" s="225"/>
    <row r="619" ht="15.75" customHeight="1" s="225"/>
    <row r="620" ht="15.75" customHeight="1" s="225"/>
    <row r="621" ht="15.75" customHeight="1" s="225"/>
    <row r="622" ht="15.75" customHeight="1" s="225"/>
    <row r="623" ht="15.75" customHeight="1" s="225"/>
    <row r="624" ht="15.75" customHeight="1" s="225"/>
    <row r="625" ht="15.75" customHeight="1" s="225"/>
    <row r="626" ht="15.75" customHeight="1" s="225"/>
    <row r="627" ht="15.75" customHeight="1" s="225"/>
    <row r="628" ht="15.75" customHeight="1" s="225"/>
    <row r="629" ht="15.75" customHeight="1" s="225"/>
    <row r="630" ht="15.75" customHeight="1" s="225"/>
    <row r="631" ht="15.75" customHeight="1" s="225"/>
    <row r="632" ht="15.75" customHeight="1" s="225"/>
    <row r="633" ht="15.75" customHeight="1" s="225"/>
    <row r="634" ht="15.75" customHeight="1" s="225"/>
    <row r="635" ht="15.75" customHeight="1" s="225"/>
    <row r="636" ht="15.75" customHeight="1" s="225"/>
    <row r="637" ht="15.75" customHeight="1" s="225"/>
    <row r="638" ht="15.75" customHeight="1" s="225"/>
    <row r="639" ht="15.75" customHeight="1" s="225"/>
    <row r="640" ht="15.75" customHeight="1" s="225"/>
    <row r="641" ht="15.75" customHeight="1" s="225"/>
    <row r="642" ht="15.75" customHeight="1" s="225"/>
    <row r="643" ht="15.75" customHeight="1" s="225"/>
    <row r="644" ht="15.75" customHeight="1" s="225"/>
    <row r="645" ht="15.75" customHeight="1" s="225"/>
    <row r="646" ht="15.75" customHeight="1" s="225"/>
    <row r="647" ht="15.75" customHeight="1" s="225"/>
    <row r="648" ht="15.75" customHeight="1" s="225"/>
    <row r="649" ht="15.75" customHeight="1" s="225"/>
    <row r="650" ht="15.75" customHeight="1" s="225"/>
    <row r="651" ht="15.75" customHeight="1" s="225"/>
    <row r="652" ht="15.75" customHeight="1" s="225"/>
    <row r="653" ht="15.75" customHeight="1" s="225"/>
    <row r="654" ht="15.75" customHeight="1" s="225"/>
    <row r="655" ht="15.75" customHeight="1" s="225"/>
    <row r="656" ht="15.75" customHeight="1" s="225"/>
    <row r="657" ht="15.75" customHeight="1" s="225"/>
    <row r="658" ht="15.75" customHeight="1" s="225"/>
    <row r="659" ht="15.75" customHeight="1" s="225"/>
    <row r="660" ht="15.75" customHeight="1" s="225"/>
    <row r="661" ht="15.75" customHeight="1" s="225"/>
    <row r="662" ht="15.75" customHeight="1" s="225"/>
    <row r="663" ht="15.75" customHeight="1" s="225"/>
    <row r="664" ht="15.75" customHeight="1" s="225"/>
    <row r="665" ht="15.75" customHeight="1" s="225"/>
    <row r="666" ht="15.75" customHeight="1" s="225"/>
    <row r="667" ht="15.75" customHeight="1" s="225"/>
    <row r="668" ht="15.75" customHeight="1" s="225"/>
    <row r="669" ht="15.75" customHeight="1" s="225"/>
    <row r="670" ht="15.75" customHeight="1" s="225"/>
    <row r="671" ht="15.75" customHeight="1" s="225"/>
    <row r="672" ht="15.75" customHeight="1" s="225"/>
    <row r="673" ht="15.75" customHeight="1" s="225"/>
    <row r="674" ht="15.75" customHeight="1" s="225"/>
    <row r="675" ht="15.75" customHeight="1" s="225"/>
    <row r="676" ht="15.75" customHeight="1" s="225"/>
    <row r="677" ht="15.75" customHeight="1" s="225"/>
    <row r="678" ht="15.75" customHeight="1" s="225"/>
    <row r="679" ht="15.75" customHeight="1" s="225"/>
    <row r="680" ht="15.75" customHeight="1" s="225"/>
    <row r="681" ht="15.75" customHeight="1" s="225"/>
    <row r="682" ht="15.75" customHeight="1" s="225"/>
    <row r="683" ht="15.75" customHeight="1" s="225"/>
    <row r="684" ht="15.75" customHeight="1" s="225"/>
    <row r="685" ht="15.75" customHeight="1" s="225"/>
    <row r="686" ht="15.75" customHeight="1" s="225"/>
    <row r="687" ht="15.75" customHeight="1" s="225"/>
    <row r="688" ht="15.75" customHeight="1" s="225"/>
    <row r="689" ht="15.75" customHeight="1" s="225"/>
    <row r="690" ht="15.75" customHeight="1" s="225"/>
    <row r="691" ht="15.75" customHeight="1" s="225"/>
    <row r="692" ht="15.75" customHeight="1" s="225"/>
    <row r="693" ht="15.75" customHeight="1" s="225"/>
    <row r="694" ht="15.75" customHeight="1" s="225"/>
    <row r="695" ht="15.75" customHeight="1" s="225"/>
    <row r="696" ht="15.75" customHeight="1" s="225"/>
    <row r="697" ht="15.75" customHeight="1" s="225"/>
    <row r="698" ht="15.75" customHeight="1" s="225"/>
    <row r="699" ht="15.75" customHeight="1" s="225"/>
    <row r="700" ht="15.75" customHeight="1" s="225"/>
    <row r="701" ht="15.75" customHeight="1" s="225"/>
    <row r="702" ht="15.75" customHeight="1" s="225"/>
    <row r="703" ht="15.75" customHeight="1" s="225"/>
    <row r="704" ht="15.75" customHeight="1" s="225"/>
    <row r="705" ht="15.75" customHeight="1" s="225"/>
    <row r="706" ht="15.75" customHeight="1" s="225"/>
    <row r="707" ht="15.75" customHeight="1" s="225"/>
    <row r="708" ht="15.75" customHeight="1" s="225"/>
    <row r="709" ht="15.75" customHeight="1" s="225"/>
    <row r="710" ht="15.75" customHeight="1" s="225"/>
    <row r="711" ht="15.75" customHeight="1" s="225"/>
    <row r="712" ht="15.75" customHeight="1" s="225"/>
    <row r="713" ht="15.75" customHeight="1" s="225"/>
    <row r="714" ht="15.75" customHeight="1" s="225"/>
    <row r="715" ht="15.75" customHeight="1" s="225"/>
    <row r="716" ht="15.75" customHeight="1" s="225"/>
    <row r="717" ht="15.75" customHeight="1" s="225"/>
    <row r="718" ht="15.75" customHeight="1" s="225"/>
    <row r="719" ht="15.75" customHeight="1" s="225"/>
    <row r="720" ht="15.75" customHeight="1" s="225"/>
    <row r="721" ht="15.75" customHeight="1" s="225"/>
    <row r="722" ht="15.75" customHeight="1" s="225"/>
    <row r="723" ht="15.75" customHeight="1" s="225"/>
    <row r="724" ht="15.75" customHeight="1" s="225"/>
    <row r="725" ht="15.75" customHeight="1" s="225"/>
    <row r="726" ht="15.75" customHeight="1" s="225"/>
    <row r="727" ht="15.75" customHeight="1" s="225"/>
    <row r="728" ht="15.75" customHeight="1" s="225"/>
    <row r="729" ht="15.75" customHeight="1" s="225"/>
    <row r="730" ht="15.75" customHeight="1" s="225"/>
    <row r="731" ht="15.75" customHeight="1" s="225"/>
    <row r="732" ht="15.75" customHeight="1" s="225"/>
    <row r="733" ht="15.75" customHeight="1" s="225"/>
    <row r="734" ht="15.75" customHeight="1" s="225"/>
    <row r="735" ht="15.75" customHeight="1" s="225"/>
    <row r="736" ht="15.75" customHeight="1" s="225"/>
    <row r="737" ht="15.75" customHeight="1" s="225"/>
    <row r="738" ht="15.75" customHeight="1" s="225"/>
    <row r="739" ht="15.75" customHeight="1" s="225"/>
    <row r="740" ht="15.75" customHeight="1" s="225"/>
    <row r="741" ht="15.75" customHeight="1" s="225"/>
    <row r="742" ht="15.75" customHeight="1" s="225"/>
    <row r="743" ht="15.75" customHeight="1" s="225"/>
    <row r="744" ht="15.75" customHeight="1" s="225"/>
    <row r="745" ht="15.75" customHeight="1" s="225"/>
    <row r="746" ht="15.75" customHeight="1" s="225"/>
    <row r="747" ht="15.75" customHeight="1" s="225"/>
    <row r="748" ht="15.75" customHeight="1" s="225"/>
    <row r="749" ht="15.75" customHeight="1" s="225"/>
    <row r="750" ht="15.75" customHeight="1" s="225"/>
    <row r="751" ht="15.75" customHeight="1" s="225"/>
    <row r="752" ht="15.75" customHeight="1" s="225"/>
    <row r="753" ht="15.75" customHeight="1" s="225"/>
    <row r="754" ht="15.75" customHeight="1" s="225"/>
    <row r="755" ht="15.75" customHeight="1" s="225"/>
    <row r="756" ht="15.75" customHeight="1" s="225"/>
    <row r="757" ht="15.75" customHeight="1" s="225"/>
    <row r="758" ht="15.75" customHeight="1" s="225"/>
    <row r="759" ht="15.75" customHeight="1" s="225"/>
    <row r="760" ht="15.75" customHeight="1" s="225"/>
    <row r="761" ht="15.75" customHeight="1" s="225"/>
    <row r="762" ht="15.75" customHeight="1" s="225"/>
    <row r="763" ht="15.75" customHeight="1" s="225"/>
    <row r="764" ht="15.75" customHeight="1" s="225"/>
    <row r="765" ht="15.75" customHeight="1" s="225"/>
    <row r="766" ht="15.75" customHeight="1" s="225"/>
    <row r="767" ht="15.75" customHeight="1" s="225"/>
    <row r="768" ht="15.75" customHeight="1" s="225"/>
    <row r="769" ht="15.75" customHeight="1" s="225"/>
    <row r="770" ht="15.75" customHeight="1" s="225"/>
    <row r="771" ht="15.75" customHeight="1" s="225"/>
    <row r="772" ht="15.75" customHeight="1" s="225"/>
    <row r="773" ht="15.75" customHeight="1" s="225"/>
    <row r="774" ht="15.75" customHeight="1" s="225"/>
    <row r="775" ht="15.75" customHeight="1" s="225"/>
    <row r="776" ht="15.75" customHeight="1" s="225"/>
    <row r="777" ht="15.75" customHeight="1" s="225"/>
    <row r="778" ht="15.75" customHeight="1" s="225"/>
    <row r="779" ht="15.75" customHeight="1" s="225"/>
    <row r="780" ht="15.75" customHeight="1" s="225"/>
    <row r="781" ht="15.75" customHeight="1" s="225"/>
    <row r="782" ht="15.75" customHeight="1" s="225"/>
    <row r="783" ht="15.75" customHeight="1" s="225"/>
    <row r="784" ht="15.75" customHeight="1" s="225"/>
    <row r="785" ht="15.75" customHeight="1" s="225"/>
    <row r="786" ht="15.75" customHeight="1" s="225"/>
    <row r="787" ht="15.75" customHeight="1" s="225"/>
    <row r="788" ht="15.75" customHeight="1" s="225"/>
    <row r="789" ht="15.75" customHeight="1" s="225"/>
    <row r="790" ht="15.75" customHeight="1" s="225"/>
    <row r="791" ht="15.75" customHeight="1" s="225"/>
    <row r="792" ht="15.75" customHeight="1" s="225"/>
    <row r="793" ht="15.75" customHeight="1" s="225"/>
    <row r="794" ht="15.75" customHeight="1" s="225"/>
    <row r="795" ht="15.75" customHeight="1" s="225"/>
    <row r="796" ht="15.75" customHeight="1" s="225"/>
    <row r="797" ht="15.75" customHeight="1" s="225"/>
    <row r="798" ht="15.75" customHeight="1" s="225"/>
    <row r="799" ht="15.75" customHeight="1" s="225"/>
    <row r="800" ht="15.75" customHeight="1" s="225"/>
    <row r="801" ht="15.75" customHeight="1" s="225"/>
    <row r="802" ht="15.75" customHeight="1" s="225"/>
    <row r="803" ht="15.75" customHeight="1" s="225"/>
    <row r="804" ht="15.75" customHeight="1" s="225"/>
    <row r="805" ht="15.75" customHeight="1" s="225"/>
    <row r="806" ht="15.75" customHeight="1" s="225"/>
    <row r="807" ht="15.75" customHeight="1" s="225"/>
    <row r="808" ht="15.75" customHeight="1" s="225"/>
    <row r="809" ht="15.75" customHeight="1" s="225"/>
    <row r="810" ht="15.75" customHeight="1" s="225"/>
    <row r="811" ht="15.75" customHeight="1" s="225"/>
    <row r="812" ht="15.75" customHeight="1" s="225"/>
    <row r="813" ht="15.75" customHeight="1" s="225"/>
    <row r="814" ht="15.75" customHeight="1" s="225"/>
    <row r="815" ht="15.75" customHeight="1" s="225"/>
    <row r="816" ht="15.75" customHeight="1" s="225"/>
    <row r="817" ht="15.75" customHeight="1" s="225"/>
    <row r="818" ht="15.75" customHeight="1" s="225"/>
    <row r="819" ht="15.75" customHeight="1" s="225"/>
    <row r="820" ht="15.75" customHeight="1" s="225"/>
    <row r="821" ht="15.75" customHeight="1" s="225"/>
    <row r="822" ht="15.75" customHeight="1" s="225"/>
    <row r="823" ht="15.75" customHeight="1" s="225"/>
    <row r="824" ht="15.75" customHeight="1" s="225"/>
    <row r="825" ht="15.75" customHeight="1" s="225"/>
    <row r="826" ht="15.75" customHeight="1" s="225"/>
    <row r="827" ht="15.75" customHeight="1" s="225"/>
    <row r="828" ht="15.75" customHeight="1" s="225"/>
    <row r="829" ht="15.75" customHeight="1" s="225"/>
    <row r="830" ht="15.75" customHeight="1" s="225"/>
    <row r="831" ht="15.75" customHeight="1" s="225"/>
    <row r="832" ht="15.75" customHeight="1" s="225"/>
    <row r="833" ht="15.75" customHeight="1" s="225"/>
    <row r="834" ht="15.75" customHeight="1" s="225"/>
    <row r="835" ht="15.75" customHeight="1" s="225"/>
    <row r="836" ht="15.75" customHeight="1" s="225"/>
    <row r="837" ht="15.75" customHeight="1" s="225"/>
    <row r="838" ht="15.75" customHeight="1" s="225"/>
    <row r="839" ht="15.75" customHeight="1" s="225"/>
    <row r="840" ht="15.75" customHeight="1" s="225"/>
    <row r="841" ht="15.75" customHeight="1" s="225"/>
    <row r="842" ht="15.75" customHeight="1" s="225"/>
    <row r="843" ht="15.75" customHeight="1" s="225"/>
    <row r="844" ht="15.75" customHeight="1" s="225"/>
    <row r="845" ht="15.75" customHeight="1" s="225"/>
    <row r="846" ht="15.75" customHeight="1" s="225"/>
    <row r="847" ht="15.75" customHeight="1" s="225"/>
    <row r="848" ht="15.75" customHeight="1" s="225"/>
    <row r="849" ht="15.75" customHeight="1" s="225"/>
    <row r="850" ht="15.75" customHeight="1" s="225"/>
    <row r="851" ht="15.75" customHeight="1" s="225"/>
    <row r="852" ht="15.75" customHeight="1" s="225"/>
    <row r="853" ht="15.75" customHeight="1" s="225"/>
    <row r="854" ht="15.75" customHeight="1" s="225"/>
    <row r="855" ht="15.75" customHeight="1" s="225"/>
    <row r="856" ht="15.75" customHeight="1" s="225"/>
    <row r="857" ht="15.75" customHeight="1" s="225"/>
    <row r="858" ht="15.75" customHeight="1" s="225"/>
    <row r="859" ht="15.75" customHeight="1" s="225"/>
    <row r="860" ht="15.75" customHeight="1" s="225"/>
    <row r="861" ht="15.75" customHeight="1" s="225"/>
    <row r="862" ht="15.75" customHeight="1" s="225"/>
    <row r="863" ht="15.75" customHeight="1" s="225"/>
    <row r="864" ht="15.75" customHeight="1" s="225"/>
    <row r="865" ht="15.75" customHeight="1" s="225"/>
    <row r="866" ht="15.75" customHeight="1" s="225"/>
    <row r="867" ht="15.75" customHeight="1" s="225"/>
    <row r="868" ht="15.75" customHeight="1" s="225"/>
    <row r="869" ht="15.75" customHeight="1" s="225"/>
    <row r="870" ht="15.75" customHeight="1" s="225"/>
    <row r="871" ht="15.75" customHeight="1" s="225"/>
    <row r="872" ht="15.75" customHeight="1" s="225"/>
    <row r="873" ht="15.75" customHeight="1" s="225"/>
    <row r="874" ht="15.75" customHeight="1" s="225"/>
    <row r="875" ht="15.75" customHeight="1" s="225"/>
    <row r="876" ht="15.75" customHeight="1" s="225"/>
    <row r="877" ht="15.75" customHeight="1" s="225"/>
    <row r="878" ht="15.75" customHeight="1" s="225"/>
    <row r="879" ht="15.75" customHeight="1" s="225"/>
    <row r="880" ht="15.75" customHeight="1" s="225"/>
    <row r="881" ht="15.75" customHeight="1" s="225"/>
    <row r="882" ht="15.75" customHeight="1" s="225"/>
    <row r="883" ht="15.75" customHeight="1" s="225"/>
    <row r="884" ht="15.75" customHeight="1" s="225"/>
    <row r="885" ht="15.75" customHeight="1" s="225"/>
    <row r="886" ht="15.75" customHeight="1" s="225"/>
    <row r="887" ht="15.75" customHeight="1" s="225"/>
    <row r="888" ht="15.75" customHeight="1" s="225"/>
    <row r="889" ht="15.75" customHeight="1" s="225"/>
    <row r="890" ht="15.75" customHeight="1" s="225"/>
    <row r="891" ht="15.75" customHeight="1" s="225"/>
    <row r="892" ht="15.75" customHeight="1" s="225"/>
    <row r="893" ht="15.75" customHeight="1" s="225"/>
    <row r="894" ht="15.75" customHeight="1" s="225"/>
    <row r="895" ht="15.75" customHeight="1" s="225"/>
    <row r="896" ht="15.75" customHeight="1" s="225"/>
    <row r="897" ht="15.75" customHeight="1" s="225"/>
    <row r="898" ht="15.75" customHeight="1" s="225"/>
    <row r="899" ht="15.75" customHeight="1" s="225"/>
    <row r="900" ht="15.75" customHeight="1" s="225"/>
    <row r="901" ht="15.75" customHeight="1" s="225"/>
    <row r="902" ht="15.75" customHeight="1" s="225"/>
    <row r="903" ht="15.75" customHeight="1" s="225"/>
    <row r="904" ht="15.75" customHeight="1" s="225"/>
    <row r="905" ht="15.75" customHeight="1" s="225"/>
    <row r="906" ht="15.75" customHeight="1" s="225"/>
    <row r="907" ht="15.75" customHeight="1" s="225"/>
    <row r="908" ht="15.75" customHeight="1" s="225"/>
    <row r="909" ht="15.75" customHeight="1" s="225"/>
    <row r="910" ht="15.75" customHeight="1" s="225"/>
    <row r="911" ht="15.75" customHeight="1" s="225"/>
    <row r="912" ht="15.75" customHeight="1" s="225"/>
    <row r="913" ht="15.75" customHeight="1" s="225"/>
    <row r="914" ht="15.75" customHeight="1" s="225"/>
    <row r="915" ht="15.75" customHeight="1" s="225"/>
    <row r="916" ht="15.75" customHeight="1" s="225"/>
    <row r="917" ht="15.75" customHeight="1" s="225"/>
    <row r="918" ht="15.75" customHeight="1" s="225"/>
    <row r="919" ht="15.75" customHeight="1" s="225"/>
    <row r="920" ht="15.75" customHeight="1" s="225"/>
    <row r="921" ht="15.75" customHeight="1" s="225"/>
    <row r="922" ht="15.75" customHeight="1" s="225"/>
    <row r="923" ht="15.75" customHeight="1" s="225"/>
    <row r="924" ht="15.75" customHeight="1" s="225"/>
    <row r="925" ht="15.75" customHeight="1" s="225"/>
    <row r="926" ht="15.75" customHeight="1" s="225"/>
    <row r="927" ht="15.75" customHeight="1" s="225"/>
    <row r="928" ht="15.75" customHeight="1" s="225"/>
    <row r="929" ht="15.75" customHeight="1" s="225"/>
    <row r="930" ht="15.75" customHeight="1" s="225"/>
    <row r="931" ht="15.75" customHeight="1" s="225"/>
    <row r="932" ht="15.75" customHeight="1" s="225"/>
    <row r="933" ht="15.75" customHeight="1" s="225"/>
    <row r="934" ht="15.75" customHeight="1" s="225"/>
    <row r="935" ht="15.75" customHeight="1" s="225"/>
    <row r="936" ht="15.75" customHeight="1" s="225"/>
    <row r="937" ht="15.75" customHeight="1" s="225"/>
    <row r="938" ht="15.75" customHeight="1" s="225"/>
    <row r="939" ht="15.75" customHeight="1" s="225"/>
    <row r="940" ht="15.75" customHeight="1" s="225"/>
    <row r="941" ht="15.75" customHeight="1" s="225"/>
    <row r="942" ht="15.75" customHeight="1" s="225"/>
    <row r="943" ht="15.75" customHeight="1" s="225"/>
    <row r="944" ht="15.75" customHeight="1" s="225"/>
    <row r="945" ht="15.75" customHeight="1" s="225"/>
    <row r="946" ht="15.75" customHeight="1" s="225"/>
    <row r="947" ht="15.75" customHeight="1" s="225"/>
    <row r="948" ht="15.75" customHeight="1" s="225"/>
    <row r="949" ht="15.75" customHeight="1" s="225"/>
    <row r="950" ht="15.75" customHeight="1" s="225"/>
    <row r="951" ht="15.75" customHeight="1" s="225"/>
    <row r="952" ht="15.75" customHeight="1" s="225"/>
    <row r="953" ht="15.75" customHeight="1" s="225"/>
    <row r="954" ht="15.75" customHeight="1" s="225"/>
    <row r="955" ht="15.75" customHeight="1" s="225"/>
    <row r="956" ht="15.75" customHeight="1" s="225"/>
    <row r="957" ht="15.75" customHeight="1" s="225"/>
    <row r="958" ht="15.75" customHeight="1" s="225"/>
    <row r="959" ht="15.75" customHeight="1" s="225"/>
    <row r="960" ht="15.75" customHeight="1" s="225"/>
    <row r="961" ht="15.75" customHeight="1" s="225"/>
    <row r="962" ht="15.75" customHeight="1" s="225"/>
    <row r="963" ht="15.75" customHeight="1" s="225"/>
    <row r="964" ht="15.75" customHeight="1" s="225"/>
    <row r="965" ht="15.75" customHeight="1" s="225"/>
    <row r="966" ht="15.75" customHeight="1" s="225"/>
    <row r="967" ht="15.75" customHeight="1" s="225"/>
    <row r="968" ht="15.75" customHeight="1" s="225"/>
    <row r="969" ht="15.75" customHeight="1" s="225"/>
    <row r="970" ht="15.75" customHeight="1" s="225"/>
    <row r="971" ht="15.75" customHeight="1" s="225"/>
    <row r="972" ht="15.75" customHeight="1" s="225"/>
    <row r="973" ht="15.75" customHeight="1" s="225"/>
    <row r="974" ht="15.75" customHeight="1" s="225"/>
    <row r="975" ht="15.75" customHeight="1" s="225"/>
    <row r="976" ht="15.75" customHeight="1" s="225"/>
    <row r="977" ht="15.75" customHeight="1" s="225"/>
    <row r="978" ht="15.75" customHeight="1" s="225"/>
    <row r="979" ht="15.75" customHeight="1" s="225"/>
    <row r="980" ht="15.75" customHeight="1" s="225"/>
    <row r="981" ht="15.75" customHeight="1" s="225"/>
    <row r="982" ht="15.75" customHeight="1" s="225"/>
    <row r="983" ht="15.75" customHeight="1" s="225"/>
    <row r="984" ht="15.75" customHeight="1" s="225"/>
    <row r="985" ht="15.75" customHeight="1" s="225"/>
    <row r="986" ht="15.75" customHeight="1" s="225"/>
    <row r="987" ht="15.75" customHeight="1" s="225"/>
    <row r="988" ht="15.75" customHeight="1" s="225"/>
    <row r="989" ht="15.75" customHeight="1" s="225"/>
    <row r="990" ht="15.75" customHeight="1" s="225"/>
    <row r="991" ht="15.75" customHeight="1" s="225"/>
    <row r="992" ht="15.75" customHeight="1" s="225"/>
    <row r="993" ht="15.75" customHeight="1" s="225"/>
    <row r="994" ht="15.75" customHeight="1" s="225"/>
    <row r="995" ht="15.75" customHeight="1" s="225"/>
    <row r="996" ht="15.75" customHeight="1" s="225"/>
    <row r="997" ht="15.75" customHeight="1" s="225"/>
    <row r="998" ht="15.75" customHeight="1" s="225"/>
    <row r="999" ht="15.75" customHeight="1" s="225"/>
    <row r="1000" ht="15.75" customHeight="1" s="225"/>
  </sheetData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Xavier Quintuna</dc:creator>
  <dcterms:created xsi:type="dcterms:W3CDTF">2024-11-04T07:26:50Z</dcterms:created>
  <dcterms:modified xsi:type="dcterms:W3CDTF">2026-09-09T17:59:12Z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b5dcf0d8fce0488ab956941de1e2062a</vt:lpwstr>
  </property>
</Properties>
</file>