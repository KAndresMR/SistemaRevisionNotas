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avo A" sheetId="1" r:id="rId4"/>
    <sheet state="visible" name="octavo B" sheetId="2" r:id="rId5"/>
    <sheet state="visible" name="noveno A" sheetId="3" r:id="rId6"/>
    <sheet state="visible" name="noveno B" sheetId="4" r:id="rId7"/>
    <sheet state="visible" name="décimo A" sheetId="5" r:id="rId8"/>
    <sheet state="visible" name="décimo B" sheetId="6" r:id="rId9"/>
    <sheet state="visible" name="Hoja 2" sheetId="7" r:id="rId10"/>
    <sheet state="hidden" name="ESCALA EVALUACION" sheetId="8" r:id="rId11"/>
    <sheet state="hidden" name="Hoja1" sheetId="9" r:id="rId12"/>
  </sheets>
  <externalReferences>
    <externalReference r:id="rId13"/>
  </externalReferences>
  <definedNames>
    <definedName name="DECIMO_A_MAT">[1]LISTADOS!$M$3:$N$42</definedName>
    <definedName name="DECIMO_A_VESP">[1]LISTADOS!$M$56:$N$90</definedName>
    <definedName name="DECIMO_B_MAT">[1]LISTADOS!$P$3:$Q$42</definedName>
    <definedName name="DECIMO_B_VESP">[1]LISTADOS!$P$56:$Q$90</definedName>
    <definedName name="NOVENO_A_MAT">[1]LISTADOS!$G$3:$H$42</definedName>
    <definedName name="NOVENO_A_VESP">[1]LISTADOS!$G$56:$H$94</definedName>
    <definedName name="NOVENO_B_MAT">[1]LISTADOS!$J$3:$K$42</definedName>
    <definedName name="NOVENO_B_VESP">[1]LISTADOS!$J$56:$K$95</definedName>
    <definedName name="OCTAVO_A_MAT">[1]LISTADOS!$A$3:$B$43</definedName>
    <definedName name="OCTAVO_A_VESP">[1]LISTADOS!$A$56:$B$97</definedName>
    <definedName name="OCTAVO_B_MAT">[1]LISTADOS!$D$3:$E$42</definedName>
    <definedName name="OCTAVO_B_VESP">[1]LISTADOS!$D$56:$E$96</definedName>
    <definedName name="QUINTO_A_MAT">[1]LISTADOS!$A$101:$B$145</definedName>
    <definedName name="QUINTO_B_MAT">[1]LISTADOS!$D$101:$E$145</definedName>
    <definedName name="SÉPTIMO_A_MAT">[1]LISTADOS!$M$101:$N$145</definedName>
    <definedName name="SEPTIMO_B_MAT">[1]LISTADOS!$P$101:$Q$145</definedName>
    <definedName name="SEXTO_A_MAT">[1]LISTADOS!$G$101:$H$145</definedName>
    <definedName name="SEXTO_B_MAT">[1]LISTADOS!$J$101:$K$145</definedName>
    <definedName name="QUINTO_B_MATU">#REF!</definedName>
    <definedName name="SEXTO_B_VES">#REF!</definedName>
    <definedName name="SEXTO_A_VES">#REF!</definedName>
    <definedName name="SEPTIMO_B_VES">#REF!</definedName>
    <definedName name="INFORME_2">#REF!</definedName>
    <definedName name="DECIMO_A_VES">#REF!</definedName>
    <definedName name="MATRIZ_COMPORTAMENTAL">'ESCALA EVALUACION'!$B$2:$C$11</definedName>
    <definedName name="DESCRIPCION_OV_AL">Hoja1!$D$4:$E$13</definedName>
    <definedName name="ESCALA_CUALITATIVA_SUPERIOR">#REF!</definedName>
    <definedName name="DÉCIMO_B_MATU">#REF!</definedName>
    <definedName localSheetId="4" name="MATRIZ_TUTOR_1">'décimo A'!$A$7:$O$45</definedName>
    <definedName name="SEPTIMO_A_VES">#REF!</definedName>
    <definedName name="OCTAVO_B_MATU">#REF!</definedName>
    <definedName name="INFORME_DE_PRENDIZAJES_DEL_SEGUNDO_TRIMESTRE">#REF!</definedName>
    <definedName name="OCTAVO_A_VES">#REF!</definedName>
    <definedName name="DÉCIMO_A_MATU">#REF!</definedName>
    <definedName name="CUALITATIVA_ECA">'noveno A'!$AD$6:$AE$13</definedName>
    <definedName name="NOVENO_A_VES">#REF!</definedName>
    <definedName name="SEXTO_A_MATU">#REF!</definedName>
    <definedName name="OCTAVO_A_MATU">#REF!</definedName>
    <definedName name="MATRIZ_TUTOR_3">#REF!</definedName>
    <definedName name="CAI">#REF!</definedName>
    <definedName name="QUINTO_A_MATU">#REF!</definedName>
    <definedName localSheetId="3" name="MATRIZ_TUTOR_1">'noveno B'!$A$7:$O$46</definedName>
    <definedName name="MATRIZ_TUTOR_2">#REF!</definedName>
    <definedName name="QUINTO_A_VES">#REF!</definedName>
    <definedName name="MATRIZ_TUTOR_1">'décimo B'!$A$7:$O$39</definedName>
    <definedName name="SEXTO_B_MATU">#REF!</definedName>
    <definedName name="SEPTIMO_B_MATU">#REF!</definedName>
    <definedName name="QUINTO_B_VES">#REF!</definedName>
    <definedName name="OCTAVO_B_VES">#REF!</definedName>
    <definedName localSheetId="2" name="MATRIZ_TUTOR_1">'noveno A'!$A$7:$O$47</definedName>
    <definedName name="NOVENO_B_MATU">#REF!</definedName>
    <definedName name="NOVENO_A_MATU">#REF!</definedName>
    <definedName localSheetId="1" name="MATRIZ_TUTOR_1">'octavo B'!$A$7:$O$41</definedName>
    <definedName name="NOVENO_B_VES">#REF!</definedName>
    <definedName name="SEPTIMO_A_MATU">#REF!</definedName>
    <definedName name="DÉCIMO_B_VES">#REF!</definedName>
    <definedName localSheetId="0" name="MATRIZ_TUTOR_1">'octavo A'!$A$7:$N$43</definedName>
    <definedName hidden="1" localSheetId="2" name="_xlnm._FilterDatabase">'noveno A'!$D$6:$P$48</definedName>
  </definedNames>
  <calcPr/>
  <extLst>
    <ext uri="GoogleSheetsCustomDataVersion2">
      <go:sheetsCustomData xmlns:go="http://customooxmlschemas.google.com/" r:id="rId14" roundtripDataChecksum="aSf434dOkDgDzqQRqnhFzwSmGh20PSaqefn2fxi7WB8="/>
    </ext>
  </extLst>
</workbook>
</file>

<file path=xl/sharedStrings.xml><?xml version="1.0" encoding="utf-8"?>
<sst xmlns="http://schemas.openxmlformats.org/spreadsheetml/2006/main" count="1611" uniqueCount="333">
  <si>
    <r>
      <rPr>
        <rFont val="Calibri"/>
        <b/>
        <color rgb="FF000000"/>
        <sz val="14.0"/>
      </rPr>
      <t xml:space="preserve">UNIDAD EDUCATIVA "ESTADOS UNIDOS DE NORTE AMÉRICA" </t>
    </r>
    <r>
      <rPr>
        <rFont val="Calibri"/>
        <b/>
        <color rgb="FF000000"/>
        <sz val="14.0"/>
      </rPr>
      <t xml:space="preserve">
</t>
    </r>
    <r>
      <rPr>
        <rFont val="Calibri"/>
        <b val="0"/>
        <color rgb="FF000000"/>
        <sz val="14.0"/>
      </rPr>
      <t>Correo electrónico: eeuuescuela@gmail.com  subdireccioneeuu@gmail.com
https://eeuuescuela.wixsite.com/website
Teléfono: (07)289-0677 Código: EEBeeuu-C17 Distrito: 01D01 Circuito: 17 Zona:6</t>
    </r>
  </si>
  <si>
    <t>AÑO LECTIVO: 2025-2026</t>
  </si>
  <si>
    <t>DOCENTE:           Mgs. Katherine Nugra</t>
  </si>
  <si>
    <t xml:space="preserve">JORNADA: </t>
  </si>
  <si>
    <t>VESPERTINA</t>
  </si>
  <si>
    <t xml:space="preserve">AÑO DE EGB:        </t>
  </si>
  <si>
    <t xml:space="preserve">Octavo </t>
  </si>
  <si>
    <t>A</t>
  </si>
  <si>
    <t>TRIMESTRE:</t>
  </si>
  <si>
    <t>PRIMERO, SEGUNDO, TERCERO</t>
  </si>
  <si>
    <t>No</t>
  </si>
  <si>
    <t>NOMINA</t>
  </si>
  <si>
    <t>LENGUA Y LITERATURA</t>
  </si>
  <si>
    <t>MATEMÁTICA</t>
  </si>
  <si>
    <t>CIENCIAS NATURALES</t>
  </si>
  <si>
    <t>ESTUDIOS SOCIALES</t>
  </si>
  <si>
    <t>INGLÉS</t>
  </si>
  <si>
    <t xml:space="preserve">EDUCACIÓN CULTURAL Y ARTISTICA </t>
  </si>
  <si>
    <t>EDUCACIÓN FÍSICA</t>
  </si>
  <si>
    <t>ANIMACION A LA LECTURA</t>
  </si>
  <si>
    <t>ACOMPAÑAMIENTO INTEGRAL EN EL AULA</t>
  </si>
  <si>
    <t>ORIENTACIÓN VOCACIONAL</t>
  </si>
  <si>
    <t>PROMEDIO FINAL</t>
  </si>
  <si>
    <t>CCOMPORTAMIENTO</t>
  </si>
  <si>
    <t>OBSERVACIONES</t>
  </si>
  <si>
    <t>-</t>
  </si>
  <si>
    <t>ALOMIA PRADO DOMINICK DARNEL</t>
  </si>
  <si>
    <t>B+</t>
  </si>
  <si>
    <t>A-</t>
  </si>
  <si>
    <t>S</t>
  </si>
  <si>
    <t>PROMOVIDO</t>
  </si>
  <si>
    <t>ARIAS MARIBEL</t>
  </si>
  <si>
    <t>ALTAMIRANO CARANGUI LEONARDO DAVID</t>
  </si>
  <si>
    <t>ANGUETA JHONATAN</t>
  </si>
  <si>
    <t>ANGUETA LOZADO JONATHAN ALEXIS</t>
  </si>
  <si>
    <t>A+</t>
  </si>
  <si>
    <t>CAGUANA CARLA</t>
  </si>
  <si>
    <t>ARIAS PACHECO MARIBEL FATIMA</t>
  </si>
  <si>
    <t>CAGUANA CHIRIBOGA CARLA NICOLLE</t>
  </si>
  <si>
    <t>CAMPOVERDE VALDEZ DAYANNA BELEN</t>
  </si>
  <si>
    <t>CORONEL CARRASCO BAYOLET BELEN</t>
  </si>
  <si>
    <t>CRIOLLO LEON NAYELI NICOLE</t>
  </si>
  <si>
    <t>CUMBE JIMENEZ CAMILA PATRICIA</t>
  </si>
  <si>
    <t>B-</t>
  </si>
  <si>
    <t>NO PROMOVIDO</t>
  </si>
  <si>
    <t>ESPINOSA GUAZHA SANTIAGO EFRAIN</t>
  </si>
  <si>
    <t>ESPINOZA POMA DOMENICA DEL CISNE</t>
  </si>
  <si>
    <t>GUAMAN SHIRAP DASHA ABIGAIL</t>
  </si>
  <si>
    <t>JARAMILLO LOAIZA RUTH NOEMI</t>
  </si>
  <si>
    <t>LLATAS MALLA KAREN JHINET</t>
  </si>
  <si>
    <t>MARCA PULGARIN ANTONY MATEO</t>
  </si>
  <si>
    <t>MENDEZ AVILA DAYANA LIZBETH</t>
  </si>
  <si>
    <t>MIZHQUIRI CABRERA MIA ANALIA</t>
  </si>
  <si>
    <t>MONTECE NARVAEZ YHULEXI PRICILA</t>
  </si>
  <si>
    <t>MORA SIGUENZA MARTHA GUADALUPE</t>
  </si>
  <si>
    <t>MORALES LOZANO MATEO ARIEL</t>
  </si>
  <si>
    <t>MUÑOZ ORELLANA NUBE NICOLE</t>
  </si>
  <si>
    <t>MUÑOZ VIÑANZACA ESCARLEN GUADALUPE</t>
  </si>
  <si>
    <t>OCHOA CALLE CAMILA ESTHEFANIA</t>
  </si>
  <si>
    <t>ORTIZ JIMENEZ CRISTHOFER LEONARDO</t>
  </si>
  <si>
    <t>PANDO CARVAJAL JUAN JOSE</t>
  </si>
  <si>
    <t>PARRA AGUILAR DEIVID ALEXANDER</t>
  </si>
  <si>
    <t>PATIÑO MINCHALA VALENTINA GALILEA</t>
  </si>
  <si>
    <t>QUINDE SARMIENTO BRITTANY NICOLE</t>
  </si>
  <si>
    <t>ROMERO MIRANDA BIANCA MAYERLI</t>
  </si>
  <si>
    <t>SANCHEZ URGILES KEVIN ALEXANDER</t>
  </si>
  <si>
    <t>SAUCE PEREZ MICHAEL ALEXANDER</t>
  </si>
  <si>
    <t>SIMBAÑA CABRERA NICOLE VALENTINA</t>
  </si>
  <si>
    <t>SINCHI CRIOLLO JEREMY ANDRES</t>
  </si>
  <si>
    <t>TAPIA YANZA DANIELA ALEXANDRA</t>
  </si>
  <si>
    <t>TROYA CUEVA MARIO FABIAN</t>
  </si>
  <si>
    <t>ZHINGRI AREVALO KAREN LISSBET</t>
  </si>
  <si>
    <t>ZHININ CORAYZACA ALISON VALENTINA</t>
  </si>
  <si>
    <t>Promedio</t>
  </si>
  <si>
    <t xml:space="preserve">Ing. Sonia Chicaiza Mgtr. </t>
  </si>
  <si>
    <t xml:space="preserve">Lcda. Lucia Uzhca Mgtr. </t>
  </si>
  <si>
    <t>Lic. Katherine Nugra Mgtr.</t>
  </si>
  <si>
    <t>Rectora (e)</t>
  </si>
  <si>
    <t>Vicerrectora (e) Vespertina</t>
  </si>
  <si>
    <t>Docente Tutor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</si>
  <si>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</si>
  <si>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</si>
  <si>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LIC. DORA ARGUDO</t>
  </si>
  <si>
    <t>OCTAVO B</t>
  </si>
  <si>
    <t>EDUCACIÓN CULTURAL Y ARTISTICA</t>
  </si>
  <si>
    <t>ANIMACIÓN A LA LECTURA</t>
  </si>
  <si>
    <t>BERNAL JARA MATIUS NICOLAS</t>
  </si>
  <si>
    <t>BUENO GUALLPA MARÍA FERNANDA</t>
  </si>
  <si>
    <t>CALLE HEREDIA JHANDY ROBERTO</t>
  </si>
  <si>
    <t>MEJOR PUNTUADOS</t>
  </si>
  <si>
    <t>CAMPOS PANDO FRANCISCO ANDRES</t>
  </si>
  <si>
    <t>CANDELARIO CARRERA JONATHAN JOSUE</t>
  </si>
  <si>
    <t>Campos Francisco 9,84</t>
  </si>
  <si>
    <t>DIAZ ESPINOZA BRITANY NICOL</t>
  </si>
  <si>
    <t>Ñauta Andrea 9,38</t>
  </si>
  <si>
    <t>DURAN QUINTUÑA MILAN RAFAEL</t>
  </si>
  <si>
    <t>Guzmán Mirella 9,24</t>
  </si>
  <si>
    <t>DUTAN CALLE GAEL MARTIN</t>
  </si>
  <si>
    <t>FAJARDO CARDENAS EDWIN ALEXANDER</t>
  </si>
  <si>
    <t>FARFAN MOROCHO DAMARIS ABIGAIL</t>
  </si>
  <si>
    <t>FIGUEROA PACHAR JUAN DIEGO</t>
  </si>
  <si>
    <t>GUARTASACA BUENO JORGE LUIS</t>
  </si>
  <si>
    <t>GUZMAN CORDOVA MIRELLA FERNANDA</t>
  </si>
  <si>
    <t>LEMA CUNUHAY GABRIELA ELIZABETH</t>
  </si>
  <si>
    <t>MOROCHO CABRERA DANIELA ALEJANDRA</t>
  </si>
  <si>
    <t>ORTIZ GUARACA ERICK ALEXANDER</t>
  </si>
  <si>
    <t>ORTIZ SAMANIEGO NAYLA PAMELA</t>
  </si>
  <si>
    <t>PAIDA CARVAJAL MARIEL SHANELA</t>
  </si>
  <si>
    <t>PALACIOS GUTIERREZ GUSTAVO ALEJANDRO</t>
  </si>
  <si>
    <t>PALLAZHCO CAMPOVERDE QUEVIN ALEXANDER</t>
  </si>
  <si>
    <t>PERES PERALTA CARLOS GEOVANN</t>
  </si>
  <si>
    <t>PUMA NAULA LUIS FERNANDO</t>
  </si>
  <si>
    <t>PUMA ZHAGUI JORDAN STALIN</t>
  </si>
  <si>
    <t>QUIROGA CHACA LESLIE NICOLE</t>
  </si>
  <si>
    <t>QUIZHPI ZUÑIGA MARIA PAZ</t>
  </si>
  <si>
    <t>y</t>
  </si>
  <si>
    <t>REA VERA ERIKA DANIELA</t>
  </si>
  <si>
    <t>RUIZ ARIAS MAGALY SALOME</t>
  </si>
  <si>
    <t>SANCHO TADAY DAYANA MICHELLE</t>
  </si>
  <si>
    <t>SARANGO AVILA JOSTIN ALEXANDER</t>
  </si>
  <si>
    <t>SIAVICHAY CANDO MARCO SEBASTIAN</t>
  </si>
  <si>
    <t>SINCHI LEMA VALERIA GUADALUPE</t>
  </si>
  <si>
    <t>SISALIMA MALLA HENRI DANIEL</t>
  </si>
  <si>
    <t>TONGOMBOL CARCHIPULLA VERONICA ALEXANDRA</t>
  </si>
  <si>
    <t>UZHCA JUELA EDWIN FABIAN</t>
  </si>
  <si>
    <t>VALDEZ BENAVIDES DENISE CAROLINA</t>
  </si>
  <si>
    <t>ÑAUTA BARRETO ANDREA MICHELLE</t>
  </si>
  <si>
    <t>9.67</t>
  </si>
  <si>
    <t>Lcda. Dora Argudo</t>
  </si>
  <si>
    <t>Docente Tutora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</si>
  <si>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</si>
  <si>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</si>
  <si>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MGTR. WALTER GUAMAN</t>
  </si>
  <si>
    <t>NOVENO A</t>
  </si>
  <si>
    <t>ABAD CUZCO ALEJANDRO GERARD</t>
  </si>
  <si>
    <t>AUCAPIÑA CAGUANA JHONEL MATEO</t>
  </si>
  <si>
    <t>AUCAPIÑA PINEDA LUIS ALEJANDRO</t>
  </si>
  <si>
    <t>F</t>
  </si>
  <si>
    <t>AUQUILLA PATIÑO AMANDA BELEN</t>
  </si>
  <si>
    <t>AVILA BENAVIDES MICHAEL ALEXANDER</t>
  </si>
  <si>
    <t>BONILLA CANDO PAULA GABRIELA</t>
  </si>
  <si>
    <t>CACHIGUANGO PINEDA JOSTYN DIDIER</t>
  </si>
  <si>
    <t>CALLE HURTADO CRISTOBAL SEBASTIAN</t>
  </si>
  <si>
    <t>CALLE SALTO MONICA ALEXANDRA</t>
  </si>
  <si>
    <t>CAMPOVERDE CARDENAS JOSUE ISRAEL</t>
  </si>
  <si>
    <t>CARDENAS ZARATE AMY DAMARIS</t>
  </si>
  <si>
    <t>CRUZ LALVAY CRISTOPHER MATIAS</t>
  </si>
  <si>
    <t>CRUZ TORRES MELANIE NICOLE</t>
  </si>
  <si>
    <t>ENRIQUEZ CAJAMARCA ELVIS LEONARDO</t>
  </si>
  <si>
    <t>FAJARDO SALINAS PAULA ALEJANDRA</t>
  </si>
  <si>
    <t>FLORES QUINTUÑA ANDERSON JOEL</t>
  </si>
  <si>
    <t>GUANUQUIZA PERALTA ARIEL SANTIAGO</t>
  </si>
  <si>
    <t>GUERRERO CUN YAMILETH DE LOS ANGELES</t>
  </si>
  <si>
    <t>ILLESCAS CAÑAR DANNY ISMAEL</t>
  </si>
  <si>
    <t>O</t>
  </si>
  <si>
    <t>JIMENEZ CUMBE ELVIS ARIEL</t>
  </si>
  <si>
    <t>LEMA SANISACA MATIAS SEBASTIAN</t>
  </si>
  <si>
    <t>LLIVICHUZHCA MENDOZA JORGE LUIS</t>
  </si>
  <si>
    <t>MATUTE GUTAMA ANTONI MATEO</t>
  </si>
  <si>
    <t>MEJIA VALDEZ JOSELINE NATHALY</t>
  </si>
  <si>
    <t>MENDEZ ORDOÑEZ EMILY JAYLIN</t>
  </si>
  <si>
    <t>MICHAY AVILA DAYANA NICOL</t>
  </si>
  <si>
    <t>MICHAY AVILA JAIME ENRIQUE</t>
  </si>
  <si>
    <t>NIOLA ALBANCANDO ESTRELLA ESTEFANIA</t>
  </si>
  <si>
    <t>OCHOA ARMIJOS STEEVEN ADRIEL</t>
  </si>
  <si>
    <t>ORTIZ JAMI KIMBERLY ALEXANDRA</t>
  </si>
  <si>
    <t>ORTIZ SAMANIEGO LIS FERNANDA</t>
  </si>
  <si>
    <t>PAÑEGA UZHCA JUSTIN ALEXANDER</t>
  </si>
  <si>
    <t>PUMA RAMON BRYAN ANTHONY</t>
  </si>
  <si>
    <t>QUINDE ZUMBA VALERIA ESTEFANIA</t>
  </si>
  <si>
    <t>QUIZHPI GUAMANCELA MELANY NICOLE</t>
  </si>
  <si>
    <t>RIVERA SALDAÑA CAROLINA ESTEFANIA</t>
  </si>
  <si>
    <t>ROSADO GUZÑAY MISHEL ESTEFANIA</t>
  </si>
  <si>
    <t>SINCHI MUÑOZ SONIA ALEXANDRA</t>
  </si>
  <si>
    <t>SONGOR BARBECHO ANGELICA GUADALUPE</t>
  </si>
  <si>
    <t>TINOCO MORENO MARCOS STALIN</t>
  </si>
  <si>
    <t>VIVEROS BRITO DYLAN JOSHUE</t>
  </si>
  <si>
    <t xml:space="preserve">Lcdo. Walter Guaman  Mgtr. 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</si>
  <si>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</si>
  <si>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</si>
  <si>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Lcdo. Juan Pablo González</t>
  </si>
  <si>
    <t>NOVENO B</t>
  </si>
  <si>
    <t>APOLO HERRERA RICHARD SEBASTIAN</t>
  </si>
  <si>
    <t>ARCE VILLAVICENCIO NATALIA ELIZABETH</t>
  </si>
  <si>
    <t>ARPI MOROCHO SOFIA KATHERINE</t>
  </si>
  <si>
    <t>CAGUANA VILLALTA NATALIA ISABELA</t>
  </si>
  <si>
    <t>CALLE CABRERA VICTORIA LORENA</t>
  </si>
  <si>
    <t>CHILLOGALLO NIEVES EVELYN MAGABY</t>
  </si>
  <si>
    <t>CRUZ LALVAY JHOSELIN DAYANNA</t>
  </si>
  <si>
    <t>ESPINOZA GUTIERREZ KELLY FERNANDA</t>
  </si>
  <si>
    <t>GONZALEZ CONTENTO YOSELIN FERNANDA</t>
  </si>
  <si>
    <t>GUAICHA CHUQUIMARCA DOMENICA CAMILA</t>
  </si>
  <si>
    <t>ILLESCAS PUMA DAVID ALEJANDRO</t>
  </si>
  <si>
    <t>JAIGUA CARDENAS MARIA VALENTINA</t>
  </si>
  <si>
    <t>MALLA GUARTAN JUAN DAVID</t>
  </si>
  <si>
    <t>MARCA LLANOS DANA VALENTINA</t>
  </si>
  <si>
    <t>MENDEZ FAJARDO EMILY YESENIA</t>
  </si>
  <si>
    <t>MORA GUACHICHULLCA MICHAEL PAUL</t>
  </si>
  <si>
    <t>MUÑOZ TUALOMBO KEYLA ROBERTA</t>
  </si>
  <si>
    <t>NAULA NAULA EVELYN MARICELA</t>
  </si>
  <si>
    <t>NAULA SIMBAÑA MELANI GABRIELA</t>
  </si>
  <si>
    <t>NIEVES VILLA JEICOL ANDRES</t>
  </si>
  <si>
    <t>NIOLA QUITO ASHLY TATIANA</t>
  </si>
  <si>
    <t>PAUCAR QUIZHPI DIEGO ARMANDO</t>
  </si>
  <si>
    <t>PERALTA MALLA JOSE ANTONIO</t>
  </si>
  <si>
    <t>PILLACELA CHILLOGALLI KAREN ELIZABETH</t>
  </si>
  <si>
    <t>QUEZADA NAULA KARLA NAYELI</t>
  </si>
  <si>
    <t>QUITO CAGUANA ASHLEY VALENTINA</t>
  </si>
  <si>
    <t>QUITO CORDERO NICOLE ARIANNA</t>
  </si>
  <si>
    <t>QUITO GUACHICHULLCA STEVEN JOEL</t>
  </si>
  <si>
    <t>QUIZHPE FAJARDO CRISTIAN SEBASTIAN</t>
  </si>
  <si>
    <t>QUIZHPE GUAMANCELA JORDY STEVEN</t>
  </si>
  <si>
    <t>RAMIREZ JEREZ SEBASTIAN MIGUEL</t>
  </si>
  <si>
    <t>REMACHE BARBECHO JORDY MIGUEL</t>
  </si>
  <si>
    <t>SANCHEZ CAMPOVERDE JEAN CARLOS</t>
  </si>
  <si>
    <t>SIMBAÑA GUZHÑAY JUSTIN DAVID</t>
  </si>
  <si>
    <t>SIMBAÑA QUEZADA GEOFFREY XAVIER</t>
  </si>
  <si>
    <t>VALDEZ SARANGO JHONNY SEBASTIAN</t>
  </si>
  <si>
    <t>VELASCO GUAMAN LUIS DAVID</t>
  </si>
  <si>
    <t>VELESACA ZUÑA KAMILA YULIETH</t>
  </si>
  <si>
    <t>VELIZ CARRION JEFFREY BENJAMIN</t>
  </si>
  <si>
    <t>ZARATE SIAVICHAY LADAY CATALINA</t>
  </si>
  <si>
    <t>Lcdo. Juan  González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</si>
  <si>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</si>
  <si>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</si>
  <si>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Lcdo. Marlon Criollo Castro</t>
  </si>
  <si>
    <t>DÉCIMO A</t>
  </si>
  <si>
    <t>ARIAS UZHCA JHONY XAVIER</t>
  </si>
  <si>
    <t>BARBECHO TELLO DANIELA ABIGAIL</t>
  </si>
  <si>
    <t>BERMEO LEMA MARCO ANTONIO</t>
  </si>
  <si>
    <t>BERREZUETA MARTOS NICOLAS PAUL</t>
  </si>
  <si>
    <t xml:space="preserve">PROMOVIDO </t>
  </si>
  <si>
    <t>CABRERA FAJARDO JOSUE ALEJANDRO</t>
  </si>
  <si>
    <t>CAGUANA CASTRO LUIS MATEO</t>
  </si>
  <si>
    <t>CALLE CAMPOVERDE ERIKA ABIGAHIL</t>
  </si>
  <si>
    <t>CAMPOVERDE MARIN ANAHI VALENTINA</t>
  </si>
  <si>
    <t>CAMPOVERDE PEÑA BETSABETH FERNANDA</t>
  </si>
  <si>
    <t>CAMPOVERDE VALDEZ DAVID ANDRES</t>
  </si>
  <si>
    <t>CEDEÑO VALENTIN MATIAS EDUARDO</t>
  </si>
  <si>
    <t>CHACA CAMPOVERDE DENISE VALESKA</t>
  </si>
  <si>
    <t>CHILLOGALLO PIZARRO STEVEN ADRIAN</t>
  </si>
  <si>
    <t>CORTE PROAÑO JAIME FERNANDO</t>
  </si>
  <si>
    <t>CUEVA UZHCA MARJURY LIZBETH</t>
  </si>
  <si>
    <t>CUMBE JIMENEZ JOSE ANDRES</t>
  </si>
  <si>
    <t>ELIZALDE CRUZ EMILY ALEXANDRA</t>
  </si>
  <si>
    <t>FAJARDO PANDIGUANA MILAGROS GUADALUPE</t>
  </si>
  <si>
    <t>FERNANDEZ FERNANDEZ ANAHI ROSARIO</t>
  </si>
  <si>
    <t>FERNANDEZ NAREA GABRIEL PATRICIO</t>
  </si>
  <si>
    <t>GOMEZ MINUCHE MARYURI YAMILETH</t>
  </si>
  <si>
    <t>GUAILLAS LEON KAREN AYELEN</t>
  </si>
  <si>
    <t>GUAMBAÑA AREVALO DAYSI ABIGAIL</t>
  </si>
  <si>
    <t>GUARTASACA BUENO PAULA ABIGAIL</t>
  </si>
  <si>
    <t>HERAS REYES KAISER MATIAS</t>
  </si>
  <si>
    <t>LLANES CUEVA OMAR RICARDO</t>
  </si>
  <si>
    <t>LLANGARI GOMEZ JHOEL SANTIAGO</t>
  </si>
  <si>
    <t>MARCA PULGARIN DAVID SEBASTIAN</t>
  </si>
  <si>
    <t>MENA FAJARDO KLEBER ALBINO</t>
  </si>
  <si>
    <t>MORA SIGUENZA HUGO ALEJANDRO</t>
  </si>
  <si>
    <t>MOROCHO PUCHA JOHNNY PATRICIO</t>
  </si>
  <si>
    <t>ORELLANA GUICHAY ALEXANDRA NICOL</t>
  </si>
  <si>
    <t>ORELLANA MENDEZ JOHN ALEXANDER</t>
  </si>
  <si>
    <t>PASATO UZHCA DENISSE PAOLA</t>
  </si>
  <si>
    <t>PERALTA LANDI JESSICA PATRICIA</t>
  </si>
  <si>
    <t>PEÑA CEDACERO SALOME GUADALUPE</t>
  </si>
  <si>
    <t>POZO ZHAÑAY JUAN DE DIOS</t>
  </si>
  <si>
    <t xml:space="preserve">NO PROMOVIDO </t>
  </si>
  <si>
    <t>SANCHEZ CHALCO ANAHI ALEXANDRA</t>
  </si>
  <si>
    <t>ZARUMA PAREDES MELANIE CAROLINA</t>
  </si>
  <si>
    <t xml:space="preserve">Lcdo. Marlon Criollo 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</si>
  <si>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</si>
  <si>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</si>
  <si>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MGS. OSCAR OJEDA</t>
  </si>
  <si>
    <t>DÉCIMO B</t>
  </si>
  <si>
    <t>ANGAMARCA VILE ERICK JOEL</t>
  </si>
  <si>
    <t>AREVALO CUZCO DYLAN SANTIAGO</t>
  </si>
  <si>
    <t>CAGUANA LANDY JOHN MATEO</t>
  </si>
  <si>
    <t>FD</t>
  </si>
  <si>
    <t>CARCHI ZHUNIO JOSTIN ALEXANDER</t>
  </si>
  <si>
    <t>CHACON GARZON ODALIS ANABEL</t>
  </si>
  <si>
    <t>CORONADO ZHUNIO LENIN SEBASTIAN</t>
  </si>
  <si>
    <t>CORONEL LOZADA BRENDA CAROLINA</t>
  </si>
  <si>
    <t>GOMEZ PERALTA MARIA VICTORIA</t>
  </si>
  <si>
    <t>JARA GONZALEZ BRAD LEANDRO</t>
  </si>
  <si>
    <t>LEON SIAVICHAY DIEGO ESTALIN</t>
  </si>
  <si>
    <t>LOPEZ PERALTA PABLO ANDRES</t>
  </si>
  <si>
    <t>MAYANCELA ROMERO ANGELES CAMILA</t>
  </si>
  <si>
    <t>MENDEZ LANDI EMILY DOMENICA</t>
  </si>
  <si>
    <t>MOROCHO URGILES BRIANA ANELY</t>
  </si>
  <si>
    <t>NACIPUCHA LEMA DANNY ANDRES</t>
  </si>
  <si>
    <t>NAULA QUIZHPE ALAN JOSUE</t>
  </si>
  <si>
    <t>NIVELO ORTIZ AMANDA VICTORIA</t>
  </si>
  <si>
    <t>PACHAR PIZARRO JESSICA ESTEFANIA</t>
  </si>
  <si>
    <t>PALACIOS GUTIERREZ MARIA BELEN</t>
  </si>
  <si>
    <t>PIZARRO IDROVO JHONATAN XAVIER</t>
  </si>
  <si>
    <t>PUETATE PLASENCIA PATRICIA NAYELI</t>
  </si>
  <si>
    <t>PUMA RAMON JHOSTIN ADRIAN</t>
  </si>
  <si>
    <t>QUIZHPI MOROCHO JOSUE MATIAS</t>
  </si>
  <si>
    <t>RAMIREZ JEREZ JOSKARY SARAI</t>
  </si>
  <si>
    <t>ROMERO RAMON KENNYN GABRIEL</t>
  </si>
  <si>
    <t>SANTANDER SIGUENCIA DAYANA PATRICIA</t>
  </si>
  <si>
    <t>SIBRI CHIQUI ANTOLINI JAVIER</t>
  </si>
  <si>
    <t>TENESACA GUAMAN DIANA ESTEFANIA</t>
  </si>
  <si>
    <t>VASQUEZ ASMAL ANGEL RAFAEL</t>
  </si>
  <si>
    <t>VASQUEZ MATUTE JOHN JAIRO</t>
  </si>
  <si>
    <t>VIZHÑAY CEDACERO GISSELIE ANABEL</t>
  </si>
  <si>
    <t>WAMPASH ATARIGUANA MICHAEL ANDERSON</t>
  </si>
  <si>
    <t>ZHINDON MENDEZ KAREN SOFIA</t>
  </si>
  <si>
    <t>ZHININ CORAYZACA ADRIANA DAMARIS</t>
  </si>
  <si>
    <t>ZUMBA CAGUANA NATHALY GISELLA</t>
  </si>
  <si>
    <t>ZUMBA CHABLAY ANTONY ISMAEL</t>
  </si>
  <si>
    <t>NIVICELA ESPINOZA LEIDY SULI</t>
  </si>
  <si>
    <t xml:space="preserve">Lcdo. Oscar Ojeda Mgtr. </t>
  </si>
  <si>
    <t>Transforma los desacuerdos en oportunidades de crecimiento y cooperación.</t>
  </si>
  <si>
    <t>Se involucra y participa en iniciativas que favorecen la convivencia pacífica.</t>
  </si>
  <si>
    <t>Demuestra habilidades para llegar a acuerdos y asumir compromisos.</t>
  </si>
  <si>
    <t>N</t>
  </si>
  <si>
    <t>Muestra limitaciones para llegar a acuerdos y asumir compromisos.</t>
  </si>
  <si>
    <t>Demuestra dominio y comprensión de las habilidades, conocimientos y procedimientos desarrollados con capacidad para aplicarlos en situaciones prácticas y de la cotidianidad, simples y complejas, de forma independiente y colectiva.</t>
  </si>
  <si>
    <t>Demuestra comprensión de habilidades y conocimientos desarrollados para aplicarlos en situaciones de la cotidianidad, de forma independiente y colectiva.</t>
  </si>
  <si>
    <t>Aplica sus habilidades en situaciones comunes y predecibles, simples y no complejas de forma independiente. Evidencia habilidades para trabajar en equipo y de manera colaborativa, siguiendo instrucciones.</t>
  </si>
  <si>
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</si>
  <si>
    <t>C+</t>
  </si>
  <si>
    <t>Demuestra habilidades, conocimientos y procedimientos de manera integral, predominando el trabajo individual al trabajo en equipo. Requiere apoyo del equipo docente para el aprendizaje mediado.</t>
  </si>
  <si>
    <t>C-</t>
  </si>
  <si>
    <t>Resuelve tareas o actividades simples sobre la base de sus habilidades, conocimientos y procedimientos adquiridos. Evidencia habilidades básicas de trabajo en equipo. Requiere apoyo del equipo docente para el aprendizaje mediado.</t>
  </si>
  <si>
    <t>D+</t>
  </si>
  <si>
    <t>Resuelve tareas o actividades simples sobre la base de sus habilidades, conocimientos y procedimientos adquiridos guiados con el docente. Evidencia limitaciones para trabajar en equipo.</t>
  </si>
  <si>
    <t>D-</t>
  </si>
  <si>
    <t>Realiza tareas simples, demuestra dificultad para seguir instrucciones y completarlas, requiriendo la orientación frecuente del equipo docente.</t>
  </si>
  <si>
    <t>E+</t>
  </si>
  <si>
    <t>Demuestra dificultades para desarrollar tareas simples y complejas a partir de las habilidades, conocimientos y procedimientos. Requiere intervención permanente del equipo docente para la culminación de sus tareas.</t>
  </si>
  <si>
    <t>E-</t>
  </si>
  <si>
    <t>Expone un desarrollo inicial de conocimientos, habilidades y procedimientos para aplicarlos. Requiere intervención inmediata y apoyo continuo del equipo docente para completar las tareas o actividades asignadas.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</si>
</sst>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8.0"/>
      <color rgb="FF000000"/>
      <name val="Calibri"/>
    </font>
    <font>
      <sz val="7.0"/>
      <color rgb="FF000000"/>
      <name val="Arial"/>
    </font>
    <font>
      <sz val="7.0"/>
      <color rgb="FF000000"/>
      <name val="Cambria"/>
    </font>
    <font>
      <b/>
      <sz val="8.0"/>
      <color rgb="FF000000"/>
      <name val="Calibri"/>
    </font>
    <font>
      <sz val="9.0"/>
      <color rgb="FF000000"/>
      <name val="Cambria"/>
    </font>
    <font>
      <sz val="9.0"/>
      <color rgb="FF000000"/>
      <name val="Roboto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mbria"/>
    </font>
    <font>
      <sz val="11.0"/>
      <color rgb="FF000000"/>
      <name val="Cambria"/>
    </font>
    <font>
      <sz val="10.0"/>
      <color rgb="FF000000"/>
      <name val="Calibri"/>
    </font>
    <font>
      <sz val="10.0"/>
      <color rgb="FF000000"/>
      <name val="Arial"/>
    </font>
    <font>
      <color theme="1"/>
      <name val="Calibri"/>
      <scheme val="minor"/>
    </font>
    <font>
      <sz val="10.0"/>
      <color rgb="FF000066"/>
      <name val="Calibri"/>
    </font>
    <font>
      <color theme="1"/>
      <name val="Arial"/>
    </font>
    <font/>
    <font>
      <sz val="11.0"/>
      <color theme="1"/>
      <name val="Arial"/>
    </font>
    <font>
      <b/>
      <sz val="9.0"/>
      <color rgb="FF0000CC"/>
      <name val="Cambria"/>
    </font>
    <font>
      <sz val="11.0"/>
      <color theme="1"/>
      <name val="Cambria"/>
    </font>
    <font>
      <b/>
      <sz val="9.0"/>
      <color rgb="FF000000"/>
      <name val="Cambria"/>
    </font>
    <font>
      <sz val="9.0"/>
      <color rgb="FF000066"/>
      <name val="Calibri"/>
    </font>
    <font>
      <sz val="11.0"/>
      <color rgb="FF000000"/>
      <name val="&quot;Aptos Narrow&quot;"/>
    </font>
    <font>
      <sz val="10.0"/>
      <color rgb="FF000000"/>
      <name val="SansSerif"/>
    </font>
    <font>
      <sz val="9.0"/>
      <color rgb="FF000000"/>
      <name val="Calibri"/>
    </font>
    <font>
      <sz val="9.0"/>
      <color rgb="FF000000"/>
      <name val="&quot;Aptos Narrow&quot;"/>
    </font>
    <font>
      <sz val="9.0"/>
      <color rgb="FF000000"/>
      <name val="Arial"/>
    </font>
    <font>
      <sz val="10.0"/>
      <color theme="1"/>
      <name val="Cambria"/>
    </font>
    <font>
      <sz val="10.0"/>
      <color rgb="FF000066"/>
      <name val="Cambria"/>
    </font>
    <font>
      <sz val="8.0"/>
      <color rgb="FF000000"/>
      <name val="Arial"/>
    </font>
    <font>
      <sz val="10.0"/>
      <color rgb="FFFF0000"/>
      <name val="Cambria"/>
    </font>
    <font>
      <sz val="8.0"/>
      <color rgb="FF000000"/>
      <name val="SansSerif"/>
    </font>
    <font>
      <b/>
      <sz val="11.0"/>
      <color rgb="FF000000"/>
      <name val="Arial"/>
    </font>
    <font>
      <sz val="10.0"/>
      <color rgb="FF000000"/>
      <name val="&quot;Aptos Narrow&quot;"/>
    </font>
    <font>
      <sz val="10.0"/>
      <color theme="1"/>
      <name val="Calibri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EBAF1"/>
        <bgColor rgb="FFFEBAF1"/>
      </patternFill>
    </fill>
    <fill>
      <patternFill patternType="solid">
        <fgColor rgb="FF99FFCC"/>
        <bgColor rgb="FF99FFCC"/>
      </patternFill>
    </fill>
    <fill>
      <patternFill patternType="solid">
        <fgColor rgb="FFF8FF9D"/>
        <bgColor rgb="FFF8FF9D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0CECE"/>
        <bgColor rgb="FFD0CECE"/>
      </patternFill>
    </fill>
    <fill>
      <patternFill patternType="solid">
        <fgColor rgb="FFA0FCF3"/>
        <bgColor rgb="FFA0FCF3"/>
      </patternFill>
    </fill>
    <fill>
      <patternFill patternType="solid">
        <fgColor rgb="FFCCCCCC"/>
        <bgColor rgb="FFCCCCCC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CCFFFF"/>
        <bgColor rgb="FFCCFFFF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</fills>
  <borders count="3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left/>
      <top/>
      <bottom/>
    </border>
    <border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  <bottom style="thin">
        <color rgb="FF0B304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</border>
    <border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</border>
    <border>
      <left style="thin">
        <color rgb="FF0B3040"/>
      </left>
      <right style="thin">
        <color rgb="FF0B3040"/>
      </right>
      <bottom style="thin">
        <color rgb="FF0B3040"/>
      </bottom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left" shrinkToFit="0" vertical="bottom" wrapText="1"/>
    </xf>
    <xf borderId="0" fillId="0" fontId="8" numFmtId="0" xfId="0" applyAlignment="1" applyFont="1">
      <alignment vertical="center"/>
    </xf>
    <xf borderId="1" fillId="2" fontId="6" numFmtId="2" xfId="0" applyAlignment="1" applyBorder="1" applyFill="1" applyFont="1" applyNumberFormat="1">
      <alignment vertical="center"/>
    </xf>
    <xf borderId="2" fillId="2" fontId="6" numFmtId="2" xfId="0" applyAlignment="1" applyBorder="1" applyFont="1" applyNumberFormat="1">
      <alignment horizontal="center" vertical="center"/>
    </xf>
    <xf borderId="3" fillId="3" fontId="9" numFmtId="2" xfId="0" applyAlignment="1" applyBorder="1" applyFill="1" applyFont="1" applyNumberFormat="1">
      <alignment horizontal="center" textRotation="90" vertical="center"/>
    </xf>
    <xf borderId="4" fillId="4" fontId="9" numFmtId="2" xfId="0" applyAlignment="1" applyBorder="1" applyFill="1" applyFont="1" applyNumberFormat="1">
      <alignment horizontal="center" textRotation="90" vertical="center"/>
    </xf>
    <xf borderId="4" fillId="5" fontId="9" numFmtId="2" xfId="0" applyAlignment="1" applyBorder="1" applyFill="1" applyFont="1" applyNumberFormat="1">
      <alignment horizontal="center" textRotation="90" vertical="center"/>
    </xf>
    <xf borderId="4" fillId="6" fontId="9" numFmtId="2" xfId="0" applyAlignment="1" applyBorder="1" applyFill="1" applyFont="1" applyNumberFormat="1">
      <alignment horizontal="center" textRotation="90" vertical="center"/>
    </xf>
    <xf borderId="4" fillId="7" fontId="9" numFmtId="2" xfId="0" applyAlignment="1" applyBorder="1" applyFill="1" applyFont="1" applyNumberFormat="1">
      <alignment horizontal="center" textRotation="90" vertical="center"/>
    </xf>
    <xf borderId="5" fillId="8" fontId="10" numFmtId="2" xfId="0" applyAlignment="1" applyBorder="1" applyFill="1" applyFont="1" applyNumberFormat="1">
      <alignment horizontal="center" textRotation="90" vertical="center"/>
    </xf>
    <xf borderId="4" fillId="9" fontId="9" numFmtId="2" xfId="0" applyAlignment="1" applyBorder="1" applyFill="1" applyFont="1" applyNumberFormat="1">
      <alignment horizontal="center" textRotation="90" vertical="center"/>
    </xf>
    <xf borderId="6" fillId="10" fontId="11" numFmtId="2" xfId="0" applyAlignment="1" applyBorder="1" applyFill="1" applyFont="1" applyNumberFormat="1">
      <alignment horizontal="center" textRotation="90" vertical="center"/>
    </xf>
    <xf borderId="4" fillId="11" fontId="9" numFmtId="2" xfId="0" applyAlignment="1" applyBorder="1" applyFill="1" applyFont="1" applyNumberFormat="1">
      <alignment horizontal="center" textRotation="90" vertical="center"/>
    </xf>
    <xf borderId="4" fillId="3" fontId="9" numFmtId="2" xfId="0" applyAlignment="1" applyBorder="1" applyFont="1" applyNumberFormat="1">
      <alignment horizontal="center" textRotation="90" vertical="center"/>
    </xf>
    <xf borderId="5" fillId="12" fontId="9" numFmtId="2" xfId="0" applyAlignment="1" applyBorder="1" applyFill="1" applyFont="1" applyNumberFormat="1">
      <alignment horizontal="center" textRotation="90" vertical="center"/>
    </xf>
    <xf borderId="7" fillId="13" fontId="9" numFmtId="2" xfId="0" applyAlignment="1" applyBorder="1" applyFill="1" applyFont="1" applyNumberFormat="1">
      <alignment horizontal="center" textRotation="90" vertical="center"/>
    </xf>
    <xf borderId="8" fillId="8" fontId="12" numFmtId="2" xfId="0" applyAlignment="1" applyBorder="1" applyFont="1" applyNumberFormat="1">
      <alignment horizontal="center" vertical="center"/>
    </xf>
    <xf borderId="9" fillId="14" fontId="13" numFmtId="1" xfId="0" applyAlignment="1" applyBorder="1" applyFill="1" applyFont="1" applyNumberFormat="1">
      <alignment horizontal="center" shrinkToFit="0" vertical="center" wrapText="1"/>
    </xf>
    <xf borderId="5" fillId="14" fontId="14" numFmtId="0" xfId="0" applyAlignment="1" applyBorder="1" applyFont="1">
      <alignment horizontal="left" vertical="center"/>
    </xf>
    <xf borderId="5" fillId="3" fontId="15" numFmtId="2" xfId="0" applyAlignment="1" applyBorder="1" applyFont="1" applyNumberFormat="1">
      <alignment horizontal="center" readingOrder="0" vertical="center"/>
    </xf>
    <xf borderId="5" fillId="15" fontId="15" numFmtId="2" xfId="0" applyAlignment="1" applyBorder="1" applyFill="1" applyFont="1" applyNumberFormat="1">
      <alignment horizontal="center" readingOrder="0" vertical="center"/>
    </xf>
    <xf borderId="5" fillId="16" fontId="16" numFmtId="2" xfId="0" applyAlignment="1" applyBorder="1" applyFill="1" applyFont="1" applyNumberFormat="1">
      <alignment horizontal="center" readingOrder="0" vertical="center"/>
    </xf>
    <xf borderId="5" fillId="6" fontId="15" numFmtId="2" xfId="0" applyAlignment="1" applyBorder="1" applyFont="1" applyNumberFormat="1">
      <alignment horizontal="center" readingOrder="0" vertical="center"/>
    </xf>
    <xf borderId="5" fillId="17" fontId="15" numFmtId="2" xfId="0" applyAlignment="1" applyBorder="1" applyFill="1" applyFont="1" applyNumberFormat="1">
      <alignment horizontal="center" readingOrder="0" vertical="center"/>
    </xf>
    <xf borderId="10" fillId="8" fontId="17" numFmtId="0" xfId="0" applyAlignment="1" applyBorder="1" applyFont="1">
      <alignment horizontal="center" readingOrder="0" shrinkToFit="0" vertical="center" wrapText="0"/>
    </xf>
    <xf borderId="5" fillId="9" fontId="15" numFmtId="2" xfId="0" applyAlignment="1" applyBorder="1" applyFont="1" applyNumberFormat="1">
      <alignment horizontal="center" readingOrder="0" vertical="center"/>
    </xf>
    <xf borderId="5" fillId="10" fontId="6" numFmtId="2" xfId="0" applyAlignment="1" applyBorder="1" applyFont="1" applyNumberFormat="1">
      <alignment horizontal="center" readingOrder="0" shrinkToFit="0" vertical="bottom" wrapText="0"/>
    </xf>
    <xf borderId="5" fillId="11" fontId="18" numFmtId="2" xfId="0" applyAlignment="1" applyBorder="1" applyFont="1" applyNumberFormat="1">
      <alignment horizontal="center" readingOrder="0" shrinkToFit="0" vertical="center" wrapText="0"/>
    </xf>
    <xf borderId="5" fillId="3" fontId="19" numFmtId="2" xfId="0" applyAlignment="1" applyBorder="1" applyFont="1" applyNumberFormat="1">
      <alignment horizontal="center" readingOrder="0" vertical="center"/>
    </xf>
    <xf borderId="5" fillId="12" fontId="15" numFmtId="2" xfId="0" applyAlignment="1" applyBorder="1" applyFont="1" applyNumberFormat="1">
      <alignment horizontal="center" vertical="center"/>
    </xf>
    <xf borderId="5" fillId="13" fontId="19" numFmtId="2" xfId="0" applyAlignment="1" applyBorder="1" applyFont="1" applyNumberFormat="1">
      <alignment horizontal="center" readingOrder="0" vertical="center"/>
    </xf>
    <xf borderId="5" fillId="14" fontId="20" numFmtId="2" xfId="0" applyAlignment="1" applyBorder="1" applyFont="1" applyNumberFormat="1">
      <alignment readingOrder="0" shrinkToFit="0" vertical="center" wrapText="1"/>
    </xf>
    <xf borderId="0" fillId="0" fontId="21" numFmtId="2" xfId="0" applyAlignment="1" applyFont="1" applyNumberFormat="1">
      <alignment vertical="center"/>
    </xf>
    <xf borderId="0" fillId="0" fontId="21" numFmtId="0" xfId="0" applyAlignment="1" applyFont="1">
      <alignment readingOrder="0" vertical="center"/>
    </xf>
    <xf borderId="5" fillId="4" fontId="15" numFmtId="2" xfId="0" applyAlignment="1" applyBorder="1" applyFont="1" applyNumberFormat="1">
      <alignment horizontal="center" readingOrder="0" vertical="center"/>
    </xf>
    <xf borderId="5" fillId="18" fontId="15" numFmtId="0" xfId="0" applyAlignment="1" applyBorder="1" applyFill="1" applyFont="1">
      <alignment horizontal="center" readingOrder="0" vertical="center"/>
    </xf>
    <xf borderId="10" fillId="8" fontId="17" numFmtId="2" xfId="0" applyAlignment="1" applyBorder="1" applyFont="1" applyNumberFormat="1">
      <alignment horizontal="center" readingOrder="0" shrinkToFit="0" vertical="center" wrapText="0"/>
    </xf>
    <xf borderId="5" fillId="11" fontId="19" numFmtId="2" xfId="0" applyAlignment="1" applyBorder="1" applyFont="1" applyNumberFormat="1">
      <alignment horizontal="center" readingOrder="0" vertical="center"/>
    </xf>
    <xf borderId="5" fillId="5" fontId="15" numFmtId="2" xfId="0" applyAlignment="1" applyBorder="1" applyFont="1" applyNumberFormat="1">
      <alignment horizontal="center" readingOrder="0" vertical="center"/>
    </xf>
    <xf borderId="5" fillId="7" fontId="15" numFmtId="2" xfId="0" applyAlignment="1" applyBorder="1" applyFont="1" applyNumberFormat="1">
      <alignment horizontal="center" readingOrder="0" vertical="center"/>
    </xf>
    <xf borderId="5" fillId="5" fontId="15" numFmtId="0" xfId="0" applyAlignment="1" applyBorder="1" applyFont="1">
      <alignment horizontal="center" readingOrder="0" vertical="center"/>
    </xf>
    <xf borderId="5" fillId="11" fontId="22" numFmtId="2" xfId="0" applyAlignment="1" applyBorder="1" applyFont="1" applyNumberFormat="1">
      <alignment horizontal="center" readingOrder="0" vertical="center"/>
    </xf>
    <xf borderId="5" fillId="4" fontId="15" numFmtId="0" xfId="0" applyAlignment="1" applyBorder="1" applyFont="1">
      <alignment horizontal="center" readingOrder="0" vertical="center"/>
    </xf>
    <xf borderId="5" fillId="19" fontId="19" numFmtId="2" xfId="0" applyAlignment="1" applyBorder="1" applyFill="1" applyFont="1" applyNumberFormat="1">
      <alignment horizontal="center" readingOrder="0" vertical="center"/>
    </xf>
    <xf borderId="5" fillId="16" fontId="20" numFmtId="2" xfId="0" applyAlignment="1" applyBorder="1" applyFont="1" applyNumberFormat="1">
      <alignment readingOrder="0" shrinkToFit="0" vertical="center" wrapText="1"/>
    </xf>
    <xf borderId="5" fillId="16" fontId="15" numFmtId="2" xfId="0" applyAlignment="1" applyBorder="1" applyFont="1" applyNumberFormat="1">
      <alignment horizontal="center" readingOrder="0" vertical="center"/>
    </xf>
    <xf borderId="5" fillId="16" fontId="15" numFmtId="0" xfId="0" applyAlignment="1" applyBorder="1" applyFont="1">
      <alignment horizontal="center" readingOrder="0" vertical="center"/>
    </xf>
    <xf borderId="5" fillId="3" fontId="19" numFmtId="2" xfId="0" applyAlignment="1" applyBorder="1" applyFont="1" applyNumberFormat="1">
      <alignment horizontal="center" readingOrder="0" shrinkToFit="0" vertical="center" wrapText="1"/>
    </xf>
    <xf borderId="5" fillId="4" fontId="19" numFmtId="2" xfId="0" applyAlignment="1" applyBorder="1" applyFont="1" applyNumberFormat="1">
      <alignment horizontal="center" shrinkToFit="0" vertical="center" wrapText="1"/>
    </xf>
    <xf borderId="5" fillId="5" fontId="19" numFmtId="2" xfId="0" applyAlignment="1" applyBorder="1" applyFont="1" applyNumberFormat="1">
      <alignment horizontal="center" shrinkToFit="0" vertical="center" wrapText="1"/>
    </xf>
    <xf borderId="5" fillId="6" fontId="19" numFmtId="2" xfId="0" applyAlignment="1" applyBorder="1" applyFont="1" applyNumberFormat="1">
      <alignment horizontal="center" shrinkToFit="0" vertical="center" wrapText="1"/>
    </xf>
    <xf borderId="5" fillId="7" fontId="19" numFmtId="2" xfId="0" applyAlignment="1" applyBorder="1" applyFont="1" applyNumberFormat="1">
      <alignment horizontal="center" shrinkToFit="0" vertical="center" wrapText="1"/>
    </xf>
    <xf borderId="5" fillId="8" fontId="19" numFmtId="2" xfId="0" applyAlignment="1" applyBorder="1" applyFont="1" applyNumberFormat="1">
      <alignment horizontal="center" shrinkToFit="0" vertical="center" wrapText="1"/>
    </xf>
    <xf borderId="5" fillId="0" fontId="15" numFmtId="0" xfId="0" applyAlignment="1" applyBorder="1" applyFont="1">
      <alignment horizontal="center" vertical="center"/>
    </xf>
    <xf borderId="5" fillId="12" fontId="19" numFmtId="2" xfId="0" applyAlignment="1" applyBorder="1" applyFont="1" applyNumberFormat="1">
      <alignment horizontal="center" shrinkToFit="0" vertical="center" wrapText="1"/>
    </xf>
    <xf borderId="11" fillId="14" fontId="23" numFmtId="0" xfId="0" applyAlignment="1" applyBorder="1" applyFont="1">
      <alignment vertical="bottom"/>
    </xf>
    <xf borderId="12" fillId="0" fontId="24" numFmtId="0" xfId="0" applyAlignment="1" applyBorder="1" applyFont="1">
      <alignment vertical="center"/>
    </xf>
    <xf borderId="13" fillId="14" fontId="25" numFmtId="2" xfId="0" applyAlignment="1" applyBorder="1" applyFont="1" applyNumberFormat="1">
      <alignment shrinkToFit="0" vertical="center" wrapText="1"/>
    </xf>
    <xf borderId="14" fillId="0" fontId="24" numFmtId="0" xfId="0" applyAlignment="1" applyBorder="1" applyFont="1">
      <alignment vertical="center"/>
    </xf>
    <xf borderId="15" fillId="0" fontId="24" numFmtId="0" xfId="0" applyAlignment="1" applyBorder="1" applyFont="1">
      <alignment vertical="center"/>
    </xf>
    <xf borderId="1" fillId="14" fontId="7" numFmtId="2" xfId="0" applyAlignment="1" applyBorder="1" applyFont="1" applyNumberFormat="1">
      <alignment vertical="center"/>
    </xf>
    <xf borderId="13" fillId="14" fontId="25" numFmtId="2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shrinkToFit="0" vertical="bottom" wrapText="1"/>
    </xf>
    <xf borderId="16" fillId="2" fontId="6" numFmtId="2" xfId="0" applyAlignment="1" applyBorder="1" applyFont="1" applyNumberFormat="1">
      <alignment vertical="center"/>
    </xf>
    <xf borderId="17" fillId="2" fontId="6" numFmtId="2" xfId="0" applyAlignment="1" applyBorder="1" applyFont="1" applyNumberFormat="1">
      <alignment horizontal="center" vertical="center"/>
    </xf>
    <xf borderId="4" fillId="20" fontId="9" numFmtId="2" xfId="0" applyAlignment="1" applyBorder="1" applyFill="1" applyFont="1" applyNumberFormat="1">
      <alignment horizontal="center" textRotation="90" vertical="center"/>
    </xf>
    <xf borderId="18" fillId="21" fontId="9" numFmtId="2" xfId="0" applyAlignment="1" applyBorder="1" applyFill="1" applyFont="1" applyNumberFormat="1">
      <alignment horizontal="center" textRotation="90" vertical="center"/>
    </xf>
    <xf borderId="3" fillId="12" fontId="9" numFmtId="2" xfId="0" applyAlignment="1" applyBorder="1" applyFont="1" applyNumberFormat="1">
      <alignment horizontal="center" textRotation="90" vertical="center"/>
    </xf>
    <xf borderId="4" fillId="13" fontId="9" numFmtId="2" xfId="0" applyAlignment="1" applyBorder="1" applyFont="1" applyNumberFormat="1">
      <alignment horizontal="center" textRotation="90" vertical="center"/>
    </xf>
    <xf borderId="3" fillId="8" fontId="12" numFmtId="2" xfId="0" applyAlignment="1" applyBorder="1" applyFont="1" applyNumberFormat="1">
      <alignment horizontal="center" vertical="center"/>
    </xf>
    <xf borderId="5" fillId="14" fontId="13" numFmtId="1" xfId="0" applyAlignment="1" applyBorder="1" applyFont="1" applyNumberFormat="1">
      <alignment horizontal="center" shrinkToFit="0" vertical="center" wrapText="1"/>
    </xf>
    <xf borderId="5" fillId="14" fontId="13" numFmtId="0" xfId="0" applyAlignment="1" applyBorder="1" applyFont="1">
      <alignment horizontal="left" vertical="bottom"/>
    </xf>
    <xf borderId="5" fillId="4" fontId="19" numFmtId="2" xfId="0" applyAlignment="1" applyBorder="1" applyFont="1" applyNumberFormat="1">
      <alignment horizontal="center" readingOrder="0" shrinkToFit="0" vertical="center" wrapText="1"/>
    </xf>
    <xf borderId="10" fillId="18" fontId="18" numFmtId="2" xfId="0" applyAlignment="1" applyBorder="1" applyFont="1" applyNumberFormat="1">
      <alignment horizontal="center" readingOrder="0" shrinkToFit="0" vertical="center" wrapText="0"/>
    </xf>
    <xf borderId="5" fillId="6" fontId="19" numFmtId="2" xfId="0" applyAlignment="1" applyBorder="1" applyFont="1" applyNumberFormat="1">
      <alignment horizontal="center" readingOrder="0" shrinkToFit="0" vertical="center" wrapText="1"/>
    </xf>
    <xf borderId="5" fillId="7" fontId="19" numFmtId="2" xfId="0" applyAlignment="1" applyBorder="1" applyFont="1" applyNumberFormat="1">
      <alignment horizontal="center" readingOrder="0" vertical="bottom"/>
    </xf>
    <xf borderId="10" fillId="22" fontId="26" numFmtId="2" xfId="0" applyAlignment="1" applyBorder="1" applyFill="1" applyFont="1" applyNumberFormat="1">
      <alignment horizontal="center" readingOrder="0" shrinkToFit="0" vertical="center" wrapText="0"/>
    </xf>
    <xf borderId="5" fillId="9" fontId="19" numFmtId="2" xfId="0" applyAlignment="1" applyBorder="1" applyFont="1" applyNumberFormat="1">
      <alignment horizontal="center" readingOrder="0" shrinkToFit="0" vertical="center" wrapText="1"/>
    </xf>
    <xf borderId="5" fillId="10" fontId="6" numFmtId="2" xfId="0" applyAlignment="1" applyBorder="1" applyFont="1" applyNumberFormat="1">
      <alignment readingOrder="0" shrinkToFit="0" vertical="bottom" wrapText="0"/>
    </xf>
    <xf borderId="5" fillId="13" fontId="19" numFmtId="2" xfId="0" applyAlignment="1" applyBorder="1" applyFont="1" applyNumberFormat="1">
      <alignment horizontal="center" readingOrder="0" shrinkToFit="0" vertical="center" wrapText="1"/>
    </xf>
    <xf borderId="19" fillId="14" fontId="20" numFmtId="2" xfId="0" applyAlignment="1" applyBorder="1" applyFont="1" applyNumberFormat="1">
      <alignment readingOrder="0" shrinkToFit="0" vertical="center" wrapText="1"/>
    </xf>
    <xf borderId="5" fillId="3" fontId="22" numFmtId="2" xfId="0" applyAlignment="1" applyBorder="1" applyFont="1" applyNumberFormat="1">
      <alignment horizontal="center" readingOrder="0" vertical="center"/>
    </xf>
    <xf borderId="10" fillId="18" fontId="27" numFmtId="0" xfId="0" applyAlignment="1" applyBorder="1" applyFont="1">
      <alignment horizontal="center" readingOrder="0" shrinkToFit="0" vertical="center" wrapText="0"/>
    </xf>
    <xf borderId="5" fillId="9" fontId="19" numFmtId="0" xfId="0" applyAlignment="1" applyBorder="1" applyFont="1">
      <alignment horizontal="center" readingOrder="0" shrinkToFit="0" vertical="center" wrapText="1"/>
    </xf>
    <xf borderId="10" fillId="18" fontId="27" numFmtId="2" xfId="0" applyAlignment="1" applyBorder="1" applyFont="1" applyNumberFormat="1">
      <alignment horizontal="center" readingOrder="0" shrinkToFit="0" vertical="center" wrapText="0"/>
    </xf>
    <xf borderId="10" fillId="22" fontId="28" numFmtId="2" xfId="0" applyAlignment="1" applyBorder="1" applyFont="1" applyNumberFormat="1">
      <alignment horizontal="center" readingOrder="0" shrinkToFit="0" vertical="center" wrapText="0"/>
    </xf>
    <xf borderId="5" fillId="22" fontId="29" numFmtId="2" xfId="0" applyAlignment="1" applyBorder="1" applyFont="1" applyNumberFormat="1">
      <alignment horizontal="center" readingOrder="0" vertical="center"/>
    </xf>
    <xf borderId="20" fillId="14" fontId="13" numFmtId="0" xfId="0" applyAlignment="1" applyBorder="1" applyFont="1">
      <alignment horizontal="left" vertical="bottom"/>
    </xf>
    <xf borderId="7" fillId="14" fontId="13" numFmtId="0" xfId="0" applyAlignment="1" applyBorder="1" applyFont="1">
      <alignment horizontal="left" vertical="bottom"/>
    </xf>
    <xf borderId="10" fillId="23" fontId="27" numFmtId="2" xfId="0" applyAlignment="1" applyBorder="1" applyFill="1" applyFont="1" applyNumberFormat="1">
      <alignment horizontal="center" readingOrder="0" shrinkToFit="0" vertical="center" wrapText="0"/>
    </xf>
    <xf borderId="19" fillId="16" fontId="20" numFmtId="2" xfId="0" applyAlignment="1" applyBorder="1" applyFont="1" applyNumberFormat="1">
      <alignment readingOrder="0" shrinkToFit="0" vertical="center" wrapText="1"/>
    </xf>
    <xf borderId="5" fillId="4" fontId="19" numFmtId="0" xfId="0" applyAlignment="1" applyBorder="1" applyFont="1">
      <alignment horizontal="center" readingOrder="0" shrinkToFit="0" vertical="center" wrapText="1"/>
    </xf>
    <xf borderId="5" fillId="3" fontId="19" numFmtId="2" xfId="0" applyAlignment="1" applyBorder="1" applyFont="1" applyNumberFormat="1">
      <alignment horizontal="center" shrinkToFit="0" vertical="center" wrapText="1"/>
    </xf>
    <xf borderId="5" fillId="18" fontId="19" numFmtId="2" xfId="0" applyAlignment="1" applyBorder="1" applyFont="1" applyNumberFormat="1">
      <alignment horizontal="center" shrinkToFit="0" vertical="center" wrapText="1"/>
    </xf>
    <xf borderId="5" fillId="24" fontId="19" numFmtId="2" xfId="0" applyAlignment="1" applyBorder="1" applyFill="1" applyFont="1" applyNumberFormat="1">
      <alignment horizontal="center" shrinkToFit="0" vertical="center" wrapText="1"/>
    </xf>
    <xf borderId="5" fillId="14" fontId="19" numFmtId="2" xfId="0" applyAlignment="1" applyBorder="1" applyFont="1" applyNumberFormat="1">
      <alignment horizontal="center" shrinkToFit="0" vertical="center" wrapText="1"/>
    </xf>
    <xf borderId="5" fillId="22" fontId="19" numFmtId="2" xfId="0" applyAlignment="1" applyBorder="1" applyFont="1" applyNumberFormat="1">
      <alignment horizontal="center" shrinkToFit="0" vertical="center" wrapText="1"/>
    </xf>
    <xf borderId="5" fillId="14" fontId="19" numFmtId="2" xfId="0" applyAlignment="1" applyBorder="1" applyFont="1" applyNumberFormat="1">
      <alignment horizontal="center" readingOrder="0" shrinkToFit="0" vertical="center" wrapText="1"/>
    </xf>
    <xf borderId="5" fillId="25" fontId="2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4" fillId="26" fontId="9" numFmtId="2" xfId="0" applyAlignment="1" applyBorder="1" applyFill="1" applyFont="1" applyNumberFormat="1">
      <alignment horizontal="center" textRotation="90" vertical="center"/>
    </xf>
    <xf borderId="18" fillId="3" fontId="9" numFmtId="2" xfId="0" applyAlignment="1" applyBorder="1" applyFont="1" applyNumberFormat="1">
      <alignment horizontal="center" textRotation="90" vertical="center"/>
    </xf>
    <xf borderId="5" fillId="3" fontId="19" numFmtId="2" xfId="0" applyAlignment="1" applyBorder="1" applyFont="1" applyNumberFormat="1">
      <alignment horizontal="center" readingOrder="0" vertical="bottom"/>
    </xf>
    <xf borderId="5" fillId="5" fontId="19" numFmtId="2" xfId="0" applyAlignment="1" applyBorder="1" applyFont="1" applyNumberFormat="1">
      <alignment horizontal="center" readingOrder="0" vertical="bottom"/>
    </xf>
    <xf borderId="5" fillId="26" fontId="19" numFmtId="2" xfId="0" applyAlignment="1" applyBorder="1" applyFont="1" applyNumberFormat="1">
      <alignment horizontal="center" readingOrder="0" shrinkToFit="0" vertical="center" wrapText="1"/>
    </xf>
    <xf borderId="21" fillId="27" fontId="17" numFmtId="2" xfId="0" applyAlignment="1" applyBorder="1" applyFill="1" applyFont="1" applyNumberFormat="1">
      <alignment horizontal="center" readingOrder="0" shrinkToFit="0" vertical="center" wrapText="0"/>
    </xf>
    <xf borderId="5" fillId="20" fontId="19" numFmtId="2" xfId="0" applyAlignment="1" applyBorder="1" applyFont="1" applyNumberFormat="1">
      <alignment horizontal="center" readingOrder="0" shrinkToFit="0" vertical="center" wrapText="1"/>
    </xf>
    <xf borderId="5" fillId="11" fontId="22" numFmtId="2" xfId="0" applyAlignment="1" applyBorder="1" applyFont="1" applyNumberFormat="1">
      <alignment horizontal="center" vertical="center"/>
    </xf>
    <xf borderId="5" fillId="28" fontId="30" numFmtId="2" xfId="0" applyAlignment="1" applyBorder="1" applyFill="1" applyFont="1" applyNumberFormat="1">
      <alignment readingOrder="0" shrinkToFit="0" vertical="bottom" wrapText="0"/>
    </xf>
    <xf borderId="5" fillId="5" fontId="19" numFmtId="0" xfId="0" applyAlignment="1" applyBorder="1" applyFont="1">
      <alignment horizontal="center" readingOrder="0" vertical="bottom"/>
    </xf>
    <xf borderId="21" fillId="0" fontId="17" numFmtId="2" xfId="0" applyAlignment="1" applyBorder="1" applyFont="1" applyNumberFormat="1">
      <alignment horizontal="center" readingOrder="0" shrinkToFit="0" vertical="center" wrapText="0"/>
    </xf>
    <xf borderId="22" fillId="14" fontId="13" numFmtId="1" xfId="0" applyAlignment="1" applyBorder="1" applyFont="1" applyNumberFormat="1">
      <alignment horizontal="center" shrinkToFit="0" vertical="center" wrapText="1"/>
    </xf>
    <xf borderId="23" fillId="0" fontId="6" numFmtId="0" xfId="0" applyAlignment="1" applyBorder="1" applyFont="1">
      <alignment vertical="bottom"/>
    </xf>
    <xf borderId="10" fillId="29" fontId="13" numFmtId="0" xfId="0" applyAlignment="1" applyBorder="1" applyFill="1" applyFont="1">
      <alignment vertical="bottom"/>
    </xf>
    <xf borderId="5" fillId="29" fontId="13" numFmtId="0" xfId="0" applyAlignment="1" applyBorder="1" applyFont="1">
      <alignment horizontal="left" shrinkToFit="0" vertical="center" wrapText="1"/>
    </xf>
    <xf borderId="24" fillId="0" fontId="6" numFmtId="0" xfId="0" applyAlignment="1" applyBorder="1" applyFont="1">
      <alignment vertical="bottom"/>
    </xf>
    <xf borderId="5" fillId="2" fontId="6" numFmtId="2" xfId="0" applyAlignment="1" applyBorder="1" applyFont="1" applyNumberFormat="1">
      <alignment vertical="center"/>
    </xf>
    <xf borderId="25" fillId="2" fontId="6" numFmtId="2" xfId="0" applyAlignment="1" applyBorder="1" applyFont="1" applyNumberFormat="1">
      <alignment horizontal="center" vertical="center"/>
    </xf>
    <xf borderId="26" fillId="0" fontId="24" numFmtId="0" xfId="0" applyAlignment="1" applyBorder="1" applyFont="1">
      <alignment vertical="center"/>
    </xf>
    <xf borderId="18" fillId="5" fontId="9" numFmtId="2" xfId="0" applyAlignment="1" applyBorder="1" applyFont="1" applyNumberFormat="1">
      <alignment horizontal="center" textRotation="90" vertical="center"/>
    </xf>
    <xf borderId="4" fillId="17" fontId="9" numFmtId="2" xfId="0" applyAlignment="1" applyBorder="1" applyFont="1" applyNumberFormat="1">
      <alignment horizontal="center" textRotation="90" vertical="center"/>
    </xf>
    <xf borderId="5" fillId="14" fontId="31" numFmtId="1" xfId="0" applyAlignment="1" applyBorder="1" applyFont="1" applyNumberFormat="1">
      <alignment horizontal="center" shrinkToFit="0" vertical="center" wrapText="1"/>
    </xf>
    <xf borderId="5" fillId="14" fontId="32" numFmtId="0" xfId="0" applyAlignment="1" applyBorder="1" applyFont="1">
      <alignment horizontal="left" vertical="bottom"/>
    </xf>
    <xf borderId="5" fillId="18" fontId="33" numFmtId="0" xfId="0" applyAlignment="1" applyBorder="1" applyFont="1">
      <alignment horizontal="center" readingOrder="0" shrinkToFit="0" vertical="bottom" wrapText="0"/>
    </xf>
    <xf borderId="5" fillId="6" fontId="19" numFmtId="2" xfId="0" applyAlignment="1" applyBorder="1" applyFont="1" applyNumberFormat="1">
      <alignment horizontal="center" readingOrder="0" vertical="center"/>
    </xf>
    <xf borderId="21" fillId="17" fontId="17" numFmtId="2" xfId="0" applyAlignment="1" applyBorder="1" applyFont="1" applyNumberFormat="1">
      <alignment horizontal="center" readingOrder="0" shrinkToFit="0" vertical="center" wrapText="0"/>
    </xf>
    <xf borderId="5" fillId="11" fontId="19" numFmtId="2" xfId="0" applyAlignment="1" applyBorder="1" applyFont="1" applyNumberFormat="1">
      <alignment horizontal="center" readingOrder="0" shrinkToFit="0" vertical="center" wrapText="1"/>
    </xf>
    <xf borderId="5" fillId="30" fontId="6" numFmtId="2" xfId="0" applyAlignment="1" applyBorder="1" applyFill="1" applyFont="1" applyNumberFormat="1">
      <alignment readingOrder="0" shrinkToFit="0" vertical="bottom" wrapText="0"/>
    </xf>
    <xf borderId="0" fillId="0" fontId="6" numFmtId="0" xfId="0" applyAlignment="1" applyFont="1">
      <alignment vertical="center"/>
    </xf>
    <xf borderId="5" fillId="18" fontId="33" numFmtId="2" xfId="0" applyAlignment="1" applyBorder="1" applyFont="1" applyNumberFormat="1">
      <alignment horizontal="center" readingOrder="0" shrinkToFit="0" vertical="bottom" wrapText="0"/>
    </xf>
    <xf borderId="10" fillId="14" fontId="13" numFmtId="0" xfId="0" applyAlignment="1" applyBorder="1" applyFont="1">
      <alignment vertical="bottom"/>
    </xf>
    <xf borderId="5" fillId="18" fontId="34" numFmtId="0" xfId="0" applyAlignment="1" applyBorder="1" applyFont="1">
      <alignment horizontal="center" readingOrder="0" shrinkToFit="0" vertical="bottom" wrapText="0"/>
    </xf>
    <xf borderId="5" fillId="18" fontId="34" numFmtId="2" xfId="0" applyAlignment="1" applyBorder="1" applyFont="1" applyNumberFormat="1">
      <alignment horizontal="center" readingOrder="0" shrinkToFit="0" vertical="bottom" wrapText="0"/>
    </xf>
    <xf borderId="0" fillId="18" fontId="34" numFmtId="2" xfId="0" applyAlignment="1" applyFont="1" applyNumberFormat="1">
      <alignment horizontal="center" readingOrder="0" shrinkToFit="0" vertical="bottom" wrapText="0"/>
    </xf>
    <xf borderId="27" fillId="17" fontId="17" numFmtId="2" xfId="0" applyAlignment="1" applyBorder="1" applyFont="1" applyNumberFormat="1">
      <alignment horizontal="center" readingOrder="0" shrinkToFit="0" vertical="center" wrapText="0"/>
    </xf>
    <xf borderId="5" fillId="17" fontId="35" numFmtId="2" xfId="0" applyAlignment="1" applyBorder="1" applyFont="1" applyNumberFormat="1">
      <alignment horizontal="center" readingOrder="0" shrinkToFit="0" vertical="center" wrapText="0"/>
    </xf>
    <xf borderId="28" fillId="17" fontId="17" numFmtId="2" xfId="0" applyAlignment="1" applyBorder="1" applyFont="1" applyNumberFormat="1">
      <alignment horizontal="center" readingOrder="0" shrinkToFit="0" vertical="center" wrapText="0"/>
    </xf>
    <xf borderId="5" fillId="5" fontId="34" numFmtId="0" xfId="0" applyAlignment="1" applyBorder="1" applyFont="1">
      <alignment horizontal="center" readingOrder="0" shrinkToFit="0" vertical="bottom" wrapText="0"/>
    </xf>
    <xf borderId="5" fillId="5" fontId="34" numFmtId="2" xfId="0" applyAlignment="1" applyBorder="1" applyFont="1" applyNumberFormat="1">
      <alignment horizontal="center" readingOrder="0" shrinkToFit="0" vertical="bottom" wrapText="0"/>
    </xf>
    <xf borderId="5" fillId="0" fontId="32" numFmtId="0" xfId="0" applyAlignment="1" applyBorder="1" applyFont="1">
      <alignment vertical="center"/>
    </xf>
    <xf borderId="5" fillId="31" fontId="19" numFmtId="2" xfId="0" applyAlignment="1" applyBorder="1" applyFill="1" applyFont="1" applyNumberFormat="1">
      <alignment horizontal="center" readingOrder="0" shrinkToFit="0" vertical="center" wrapText="1"/>
    </xf>
    <xf borderId="5" fillId="17" fontId="19" numFmtId="2" xfId="0" applyAlignment="1" applyBorder="1" applyFont="1" applyNumberFormat="1">
      <alignment horizontal="center" shrinkToFit="0" vertical="center" wrapText="1"/>
    </xf>
    <xf borderId="5" fillId="0" fontId="15" numFmtId="0" xfId="0" applyAlignment="1" applyBorder="1" applyFont="1">
      <alignment horizontal="center" readingOrder="0" vertical="center"/>
    </xf>
    <xf borderId="4" fillId="3" fontId="12" numFmtId="2" xfId="0" applyAlignment="1" applyBorder="1" applyFont="1" applyNumberFormat="1">
      <alignment horizontal="center" textRotation="90" vertical="center"/>
    </xf>
    <xf borderId="4" fillId="4" fontId="12" numFmtId="2" xfId="0" applyAlignment="1" applyBorder="1" applyFont="1" applyNumberFormat="1">
      <alignment horizontal="center" textRotation="90" vertical="center"/>
    </xf>
    <xf borderId="5" fillId="5" fontId="12" numFmtId="2" xfId="0" applyAlignment="1" applyBorder="1" applyFont="1" applyNumberFormat="1">
      <alignment horizontal="center" textRotation="90" vertical="center"/>
    </xf>
    <xf borderId="29" fillId="6" fontId="12" numFmtId="2" xfId="0" applyAlignment="1" applyBorder="1" applyFont="1" applyNumberFormat="1">
      <alignment horizontal="center" textRotation="90" vertical="center"/>
    </xf>
    <xf borderId="4" fillId="7" fontId="12" numFmtId="2" xfId="0" applyAlignment="1" applyBorder="1" applyFont="1" applyNumberFormat="1">
      <alignment horizontal="center" textRotation="90" vertical="center"/>
    </xf>
    <xf borderId="4" fillId="20" fontId="12" numFmtId="2" xfId="0" applyAlignment="1" applyBorder="1" applyFont="1" applyNumberFormat="1">
      <alignment horizontal="center" textRotation="90" vertical="center"/>
    </xf>
    <xf borderId="4" fillId="9" fontId="12" numFmtId="2" xfId="0" applyAlignment="1" applyBorder="1" applyFont="1" applyNumberFormat="1">
      <alignment horizontal="center" textRotation="90" vertical="center"/>
    </xf>
    <xf borderId="18" fillId="21" fontId="12" numFmtId="2" xfId="0" applyAlignment="1" applyBorder="1" applyFont="1" applyNumberFormat="1">
      <alignment horizontal="center" textRotation="90" vertical="center"/>
    </xf>
    <xf borderId="4" fillId="11" fontId="12" numFmtId="2" xfId="0" applyAlignment="1" applyBorder="1" applyFont="1" applyNumberFormat="1">
      <alignment horizontal="center" textRotation="90" vertical="center"/>
    </xf>
    <xf borderId="3" fillId="12" fontId="12" numFmtId="2" xfId="0" applyAlignment="1" applyBorder="1" applyFont="1" applyNumberFormat="1">
      <alignment horizontal="center" textRotation="90" vertical="center"/>
    </xf>
    <xf borderId="4" fillId="13" fontId="12" numFmtId="2" xfId="0" applyAlignment="1" applyBorder="1" applyFont="1" applyNumberFormat="1">
      <alignment horizontal="center" textRotation="90" vertical="center"/>
    </xf>
    <xf borderId="20" fillId="14" fontId="32" numFmtId="0" xfId="0" applyAlignment="1" applyBorder="1" applyFont="1">
      <alignment horizontal="left" vertical="bottom"/>
    </xf>
    <xf borderId="7" fillId="14" fontId="32" numFmtId="0" xfId="0" applyAlignment="1" applyBorder="1" applyFont="1">
      <alignment horizontal="left" vertical="bottom"/>
    </xf>
    <xf borderId="5" fillId="4" fontId="17" numFmtId="2" xfId="0" applyAlignment="1" applyBorder="1" applyFont="1" applyNumberFormat="1">
      <alignment horizontal="center" readingOrder="0" vertical="center"/>
    </xf>
    <xf borderId="5" fillId="5" fontId="33" numFmtId="2" xfId="0" applyAlignment="1" applyBorder="1" applyFont="1" applyNumberFormat="1">
      <alignment horizontal="right" readingOrder="0" shrinkToFit="0" vertical="bottom" wrapText="0"/>
    </xf>
    <xf borderId="21" fillId="7" fontId="6" numFmtId="2" xfId="0" applyAlignment="1" applyBorder="1" applyFont="1" applyNumberFormat="1">
      <alignment horizontal="center" readingOrder="0" shrinkToFit="0" vertical="center" wrapText="0"/>
    </xf>
    <xf borderId="5" fillId="20" fontId="19" numFmtId="2" xfId="0" applyAlignment="1" applyBorder="1" applyFont="1" applyNumberFormat="1">
      <alignment horizontal="center" readingOrder="0" vertical="center"/>
    </xf>
    <xf borderId="5" fillId="12" fontId="31" numFmtId="2" xfId="0" applyAlignment="1" applyBorder="1" applyFont="1" applyNumberFormat="1">
      <alignment horizontal="center" shrinkToFit="0" vertical="center" wrapText="1"/>
    </xf>
    <xf borderId="5" fillId="13" fontId="20" numFmtId="2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vertical="center"/>
    </xf>
    <xf borderId="5" fillId="4" fontId="36" numFmtId="2" xfId="0" applyAlignment="1" applyBorder="1" applyFont="1" applyNumberFormat="1">
      <alignment horizontal="center" readingOrder="0" vertical="center"/>
    </xf>
    <xf borderId="5" fillId="5" fontId="33" numFmtId="2" xfId="0" applyAlignment="1" applyBorder="1" applyFont="1" applyNumberFormat="1">
      <alignment readingOrder="0" shrinkToFit="0" vertical="bottom" wrapText="0"/>
    </xf>
    <xf borderId="5" fillId="5" fontId="34" numFmtId="2" xfId="0" applyAlignment="1" applyBorder="1" applyFont="1" applyNumberFormat="1">
      <alignment readingOrder="0" shrinkToFit="0" vertical="bottom" wrapText="0"/>
    </xf>
    <xf borderId="5" fillId="4" fontId="36" numFmtId="0" xfId="0" applyAlignment="1" applyBorder="1" applyFont="1">
      <alignment horizontal="center" readingOrder="0" vertical="center"/>
    </xf>
    <xf borderId="5" fillId="5" fontId="33" numFmtId="0" xfId="0" applyAlignment="1" applyBorder="1" applyFont="1">
      <alignment readingOrder="0" shrinkToFit="0" vertical="bottom" wrapText="0"/>
    </xf>
    <xf borderId="5" fillId="7" fontId="22" numFmtId="2" xfId="0" applyAlignment="1" applyBorder="1" applyFont="1" applyNumberFormat="1">
      <alignment horizontal="center" readingOrder="0" vertical="center"/>
    </xf>
    <xf borderId="5" fillId="14" fontId="20" numFmtId="1" xfId="0" applyAlignment="1" applyBorder="1" applyFont="1" applyNumberFormat="1">
      <alignment horizontal="center" readingOrder="0" shrinkToFit="0" vertical="center" wrapText="1"/>
    </xf>
    <xf borderId="5" fillId="14" fontId="32" numFmtId="0" xfId="0" applyAlignment="1" applyBorder="1" applyFont="1">
      <alignment horizontal="left" readingOrder="0" vertical="bottom"/>
    </xf>
    <xf borderId="25" fillId="14" fontId="37" numFmtId="0" xfId="0" applyAlignment="1" applyBorder="1" applyFont="1">
      <alignment horizontal="left" readingOrder="0" shrinkToFit="0" vertical="center" wrapText="1"/>
    </xf>
    <xf borderId="5" fillId="16" fontId="38" numFmtId="0" xfId="0" applyAlignment="1" applyBorder="1" applyFont="1">
      <alignment horizontal="center" readingOrder="0" vertical="center"/>
    </xf>
    <xf borderId="0" fillId="7" fontId="19" numFmtId="2" xfId="0" applyAlignment="1" applyFont="1" applyNumberFormat="1">
      <alignment horizontal="center" readingOrder="0" vertical="center"/>
    </xf>
    <xf borderId="5" fillId="12" fontId="20" numFmtId="2" xfId="0" applyAlignment="1" applyBorder="1" applyFont="1" applyNumberFormat="1">
      <alignment horizontal="center" readingOrder="0" shrinkToFit="0" vertical="center" wrapText="1"/>
    </xf>
    <xf borderId="5" fillId="7" fontId="19" numFmtId="2" xfId="0" applyAlignment="1" applyBorder="1" applyFont="1" applyNumberFormat="1">
      <alignment horizontal="center" readingOrder="0" vertical="center"/>
    </xf>
    <xf borderId="25" fillId="14" fontId="39" numFmtId="0" xfId="0" applyAlignment="1" applyBorder="1" applyFont="1">
      <alignment horizontal="left" shrinkToFit="0" vertical="center" wrapText="1"/>
    </xf>
    <xf borderId="5" fillId="3" fontId="40" numFmtId="2" xfId="0" applyAlignment="1" applyBorder="1" applyFont="1" applyNumberFormat="1">
      <alignment horizontal="center" shrinkToFit="0" vertical="center" wrapText="1"/>
    </xf>
    <xf borderId="5" fillId="4" fontId="40" numFmtId="2" xfId="0" applyAlignment="1" applyBorder="1" applyFont="1" applyNumberFormat="1">
      <alignment horizontal="center" shrinkToFit="0" vertical="center" wrapText="1"/>
    </xf>
    <xf borderId="5" fillId="5" fontId="40" numFmtId="2" xfId="0" applyAlignment="1" applyBorder="1" applyFont="1" applyNumberFormat="1">
      <alignment horizontal="center" shrinkToFit="0" vertical="center" wrapText="1"/>
    </xf>
    <xf borderId="5" fillId="14" fontId="40" numFmtId="2" xfId="0" applyAlignment="1" applyBorder="1" applyFont="1" applyNumberFormat="1">
      <alignment horizontal="center" shrinkToFit="0" vertical="center" wrapText="1"/>
    </xf>
    <xf borderId="5" fillId="7" fontId="40" numFmtId="2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5" fillId="14" fontId="20" numFmtId="2" xfId="0" applyAlignment="1" applyBorder="1" applyFont="1" applyNumberFormat="1">
      <alignment horizontal="center" shrinkToFit="0" vertical="center" wrapText="1"/>
    </xf>
    <xf borderId="5" fillId="5" fontId="9" numFmtId="2" xfId="0" applyAlignment="1" applyBorder="1" applyFont="1" applyNumberFormat="1">
      <alignment horizontal="center" textRotation="90" vertical="center"/>
    </xf>
    <xf borderId="29" fillId="6" fontId="9" numFmtId="2" xfId="0" applyAlignment="1" applyBorder="1" applyFont="1" applyNumberFormat="1">
      <alignment horizontal="center" textRotation="90" vertical="center"/>
    </xf>
    <xf borderId="5" fillId="4" fontId="19" numFmtId="0" xfId="0" applyAlignment="1" applyBorder="1" applyFont="1">
      <alignment horizontal="center" readingOrder="0" vertical="center"/>
    </xf>
    <xf borderId="5" fillId="18" fontId="41" numFmtId="0" xfId="0" applyAlignment="1" applyBorder="1" applyFont="1">
      <alignment readingOrder="0" shrinkToFit="0" vertical="bottom" wrapText="0"/>
    </xf>
    <xf borderId="5" fillId="10" fontId="18" numFmtId="2" xfId="0" applyAlignment="1" applyBorder="1" applyFont="1" applyNumberFormat="1">
      <alignment horizontal="center" readingOrder="0" shrinkToFit="0" vertical="center" wrapText="0"/>
    </xf>
    <xf borderId="5" fillId="4" fontId="22" numFmtId="2" xfId="0" applyAlignment="1" applyBorder="1" applyFont="1" applyNumberFormat="1">
      <alignment horizontal="center" readingOrder="0" vertical="center"/>
    </xf>
    <xf borderId="5" fillId="18" fontId="41" numFmtId="2" xfId="0" applyAlignment="1" applyBorder="1" applyFont="1" applyNumberFormat="1">
      <alignment readingOrder="0" shrinkToFit="0" vertical="bottom" wrapText="0"/>
    </xf>
    <xf borderId="5" fillId="18" fontId="20" numFmtId="0" xfId="0" applyAlignment="1" applyBorder="1" applyFont="1">
      <alignment readingOrder="0" shrinkToFit="0" vertical="bottom" wrapText="0"/>
    </xf>
    <xf borderId="0" fillId="18" fontId="20" numFmtId="2" xfId="0" applyAlignment="1" applyFont="1" applyNumberFormat="1">
      <alignment readingOrder="0" shrinkToFit="0" vertical="bottom" wrapText="0"/>
    </xf>
    <xf borderId="5" fillId="4" fontId="22" numFmtId="0" xfId="0" applyAlignment="1" applyBorder="1" applyFont="1">
      <alignment horizontal="center" readingOrder="0" vertical="center"/>
    </xf>
    <xf borderId="5" fillId="18" fontId="20" numFmtId="2" xfId="0" applyAlignment="1" applyBorder="1" applyFont="1" applyNumberFormat="1">
      <alignment readingOrder="0" shrinkToFit="0" vertical="bottom" wrapText="0"/>
    </xf>
    <xf borderId="5" fillId="7" fontId="19" numFmtId="2" xfId="0" applyAlignment="1" applyBorder="1" applyFont="1" applyNumberFormat="1">
      <alignment horizontal="center" readingOrder="0" shrinkToFit="0" vertical="center" wrapText="1"/>
    </xf>
    <xf borderId="21" fillId="30" fontId="17" numFmtId="2" xfId="0" applyAlignment="1" applyBorder="1" applyFont="1" applyNumberFormat="1">
      <alignment horizontal="center" readingOrder="0" shrinkToFit="0" vertical="center" wrapText="0"/>
    </xf>
    <xf borderId="21" fillId="32" fontId="17" numFmtId="2" xfId="0" applyAlignment="1" applyBorder="1" applyFill="1" applyFont="1" applyNumberFormat="1">
      <alignment horizontal="center" readingOrder="0" shrinkToFit="0" vertical="center" wrapText="0"/>
    </xf>
    <xf borderId="5" fillId="0" fontId="21" numFmtId="0" xfId="0" applyAlignment="1" applyBorder="1" applyFont="1">
      <alignment readingOrder="0" vertical="center"/>
    </xf>
    <xf borderId="5" fillId="0" fontId="7" numFmtId="0" xfId="0" applyAlignment="1" applyBorder="1" applyFont="1">
      <alignment readingOrder="0" vertical="center"/>
    </xf>
    <xf borderId="5" fillId="0" fontId="42" numFmtId="0" xfId="0" applyAlignment="1" applyBorder="1" applyFont="1">
      <alignment vertical="center"/>
    </xf>
    <xf borderId="5" fillId="18" fontId="19" numFmtId="2" xfId="0" applyAlignment="1" applyBorder="1" applyFont="1" applyNumberFormat="1">
      <alignment horizontal="center" readingOrder="0" shrinkToFit="0" vertical="center" wrapText="1"/>
    </xf>
    <xf borderId="5" fillId="32" fontId="19" numFmtId="2" xfId="0" applyAlignment="1" applyBorder="1" applyFont="1" applyNumberFormat="1">
      <alignment horizontal="center" readingOrder="0" shrinkToFit="0" vertical="center" wrapText="1"/>
    </xf>
    <xf borderId="5" fillId="33" fontId="19" numFmtId="2" xfId="0" applyAlignment="1" applyBorder="1" applyFill="1" applyFont="1" applyNumberFormat="1">
      <alignment horizontal="center" readingOrder="0" shrinkToFit="0" vertical="center" wrapText="1"/>
    </xf>
    <xf borderId="5" fillId="28" fontId="15" numFmtId="0" xfId="0" applyAlignment="1" applyBorder="1" applyFont="1">
      <alignment horizontal="center" readingOrder="0" vertical="center"/>
    </xf>
    <xf borderId="5" fillId="13" fontId="15" numFmtId="0" xfId="0" applyAlignment="1" applyBorder="1" applyFont="1">
      <alignment horizontal="center" readingOrder="0" vertical="center"/>
    </xf>
    <xf borderId="5" fillId="31" fontId="19" numFmtId="2" xfId="0" applyAlignment="1" applyBorder="1" applyFont="1" applyNumberFormat="1">
      <alignment horizontal="center" shrinkToFit="0" vertical="center" wrapText="1"/>
    </xf>
    <xf borderId="5" fillId="32" fontId="19" numFmtId="2" xfId="0" applyAlignment="1" applyBorder="1" applyFont="1" applyNumberFormat="1">
      <alignment horizontal="center" shrinkToFit="0" vertical="center" wrapText="1"/>
    </xf>
    <xf borderId="5" fillId="33" fontId="19" numFmtId="2" xfId="0" applyAlignment="1" applyBorder="1" applyFont="1" applyNumberFormat="1">
      <alignment horizontal="center" shrinkToFit="0" vertical="center" wrapText="1"/>
    </xf>
    <xf borderId="0" fillId="10" fontId="6" numFmtId="2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écimo B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xavie/OneDrive/Escritorio/EEUU_2024-2025/SISTEMA%2520DE%2520NOTAS%25202024-2025/MATRIZ%2520DE%2520REGISTRO%2520DE%2520NOTAS_SUPERIO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DOS"/>
      <sheetName val="1er. Trimestre."/>
      <sheetName val="2do. Trimestre"/>
      <sheetName val="3er. Trimestre"/>
      <sheetName val="PROMEDIO ANUAL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headerRowCount="0" ref="J43:J44" displayName="Table_1" name="Table_1" id="1">
  <tableColumns count="1">
    <tableColumn name="Column1" id="1"/>
  </tableColumns>
  <tableStyleInfo name="décimo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8.0"/>
    <col customWidth="1" min="3" max="12" width="6.29"/>
    <col customWidth="1" min="13" max="13" width="8.14"/>
    <col customWidth="1" min="14" max="14" width="7.57"/>
    <col customWidth="1" min="15" max="15" width="18.71"/>
    <col customWidth="1" min="16" max="20" width="10.71"/>
    <col customWidth="1" min="21" max="25" width="14.0"/>
  </cols>
  <sheetData>
    <row r="1" ht="72.75" customHeight="1">
      <c r="A1" s="1" t="s">
        <v>0</v>
      </c>
    </row>
    <row r="2" ht="14.25" customHeight="1">
      <c r="A2" s="2"/>
      <c r="B2" s="3" t="s">
        <v>1</v>
      </c>
    </row>
    <row r="3" ht="14.25" customHeight="1">
      <c r="B3" s="4" t="s">
        <v>2</v>
      </c>
      <c r="C3" s="5"/>
      <c r="D3" s="5"/>
      <c r="E3" s="6"/>
      <c r="F3" s="6"/>
      <c r="G3" s="6"/>
      <c r="H3" s="7" t="s">
        <v>3</v>
      </c>
      <c r="J3" s="8" t="s">
        <v>4</v>
      </c>
    </row>
    <row r="4" ht="14.25" customHeight="1">
      <c r="B4" s="9" t="s">
        <v>5</v>
      </c>
      <c r="C4" s="10" t="s">
        <v>6</v>
      </c>
      <c r="D4" s="6" t="s">
        <v>7</v>
      </c>
      <c r="E4" s="6"/>
      <c r="F4" s="6"/>
      <c r="G4" s="6"/>
      <c r="H4" s="7" t="s">
        <v>8</v>
      </c>
      <c r="J4" s="11" t="s">
        <v>9</v>
      </c>
      <c r="L4" s="6"/>
    </row>
    <row r="5" ht="6.0" customHeight="1">
      <c r="B5" s="12"/>
      <c r="C5" s="9"/>
      <c r="D5" s="9"/>
      <c r="E5" s="9"/>
      <c r="F5" s="9"/>
      <c r="G5" s="9"/>
      <c r="H5" s="9"/>
      <c r="I5" s="9"/>
      <c r="J5" s="9"/>
      <c r="K5" s="9"/>
      <c r="L5" s="9"/>
      <c r="T5" s="13"/>
    </row>
    <row r="6" ht="157.5" customHeight="1">
      <c r="A6" s="14" t="s">
        <v>10</v>
      </c>
      <c r="B6" s="15" t="s">
        <v>11</v>
      </c>
      <c r="C6" s="16" t="s">
        <v>12</v>
      </c>
      <c r="D6" s="17" t="s">
        <v>13</v>
      </c>
      <c r="E6" s="18" t="s">
        <v>14</v>
      </c>
      <c r="F6" s="19" t="s">
        <v>15</v>
      </c>
      <c r="G6" s="20" t="s">
        <v>16</v>
      </c>
      <c r="H6" s="21" t="s">
        <v>17</v>
      </c>
      <c r="I6" s="22" t="s">
        <v>18</v>
      </c>
      <c r="J6" s="23" t="s">
        <v>19</v>
      </c>
      <c r="K6" s="24" t="s">
        <v>20</v>
      </c>
      <c r="L6" s="25" t="s">
        <v>21</v>
      </c>
      <c r="M6" s="26" t="s">
        <v>22</v>
      </c>
      <c r="N6" s="27" t="s">
        <v>23</v>
      </c>
      <c r="O6" s="28" t="s">
        <v>24</v>
      </c>
      <c r="T6" s="11" t="s">
        <v>25</v>
      </c>
    </row>
    <row r="7" ht="14.25" customHeight="1">
      <c r="A7" s="29">
        <v>1.0</v>
      </c>
      <c r="B7" s="30" t="s">
        <v>26</v>
      </c>
      <c r="C7" s="31">
        <v>7.03</v>
      </c>
      <c r="D7" s="32">
        <v>7.0</v>
      </c>
      <c r="E7" s="33">
        <v>7.0</v>
      </c>
      <c r="F7" s="34">
        <v>7.48</v>
      </c>
      <c r="G7" s="35">
        <v>7.0</v>
      </c>
      <c r="H7" s="36">
        <v>8.23</v>
      </c>
      <c r="I7" s="37">
        <v>7.57</v>
      </c>
      <c r="J7" s="38" t="s">
        <v>27</v>
      </c>
      <c r="K7" s="39" t="s">
        <v>28</v>
      </c>
      <c r="L7" s="40" t="s">
        <v>27</v>
      </c>
      <c r="M7" s="41">
        <f t="shared" ref="M7:M43" si="1">TRUNC(AVERAGE(C7:I7),2)</f>
        <v>7.33</v>
      </c>
      <c r="N7" s="42" t="s">
        <v>29</v>
      </c>
      <c r="O7" s="43" t="s">
        <v>30</v>
      </c>
      <c r="P7" s="44">
        <f>max(M7:M43)</f>
        <v>8.95</v>
      </c>
      <c r="Q7" s="45" t="s">
        <v>31</v>
      </c>
    </row>
    <row r="8" ht="15.0" customHeight="1">
      <c r="A8" s="29">
        <v>2.0</v>
      </c>
      <c r="B8" s="30" t="s">
        <v>32</v>
      </c>
      <c r="C8" s="31">
        <v>7.33</v>
      </c>
      <c r="D8" s="46">
        <v>7.0</v>
      </c>
      <c r="E8" s="47">
        <v>7.0</v>
      </c>
      <c r="F8" s="34">
        <v>8.03</v>
      </c>
      <c r="G8" s="35">
        <v>7.0</v>
      </c>
      <c r="H8" s="48">
        <v>8.59</v>
      </c>
      <c r="I8" s="37">
        <v>8.16</v>
      </c>
      <c r="J8" s="38" t="s">
        <v>27</v>
      </c>
      <c r="K8" s="49" t="s">
        <v>27</v>
      </c>
      <c r="L8" s="40" t="s">
        <v>27</v>
      </c>
      <c r="M8" s="41">
        <f t="shared" si="1"/>
        <v>7.58</v>
      </c>
      <c r="N8" s="42" t="s">
        <v>29</v>
      </c>
      <c r="O8" s="43" t="s">
        <v>30</v>
      </c>
      <c r="P8" s="45">
        <v>8.92</v>
      </c>
      <c r="Q8" s="45" t="s">
        <v>33</v>
      </c>
    </row>
    <row r="9" ht="15.0" customHeight="1">
      <c r="A9" s="29">
        <v>3.0</v>
      </c>
      <c r="B9" s="30" t="s">
        <v>34</v>
      </c>
      <c r="C9" s="31">
        <v>9.02</v>
      </c>
      <c r="D9" s="46">
        <v>9.03</v>
      </c>
      <c r="E9" s="50">
        <v>8.77</v>
      </c>
      <c r="F9" s="34">
        <v>8.63</v>
      </c>
      <c r="G9" s="51">
        <v>8.89</v>
      </c>
      <c r="H9" s="48">
        <v>8.92</v>
      </c>
      <c r="I9" s="37">
        <v>9.22</v>
      </c>
      <c r="J9" s="38" t="s">
        <v>28</v>
      </c>
      <c r="K9" s="49" t="s">
        <v>35</v>
      </c>
      <c r="L9" s="40" t="s">
        <v>27</v>
      </c>
      <c r="M9" s="41">
        <f t="shared" si="1"/>
        <v>8.92</v>
      </c>
      <c r="N9" s="42" t="s">
        <v>29</v>
      </c>
      <c r="O9" s="43" t="s">
        <v>30</v>
      </c>
      <c r="P9" s="45">
        <v>8.86</v>
      </c>
      <c r="Q9" s="45" t="s">
        <v>36</v>
      </c>
    </row>
    <row r="10" ht="15.0" customHeight="1">
      <c r="A10" s="29">
        <v>4.0</v>
      </c>
      <c r="B10" s="30" t="s">
        <v>37</v>
      </c>
      <c r="C10" s="31">
        <v>9.54</v>
      </c>
      <c r="D10" s="46">
        <v>8.92</v>
      </c>
      <c r="E10" s="52">
        <v>9.03</v>
      </c>
      <c r="F10" s="34">
        <v>8.82</v>
      </c>
      <c r="G10" s="51">
        <v>8.47</v>
      </c>
      <c r="H10" s="48">
        <v>8.62</v>
      </c>
      <c r="I10" s="37">
        <v>9.27</v>
      </c>
      <c r="J10" s="38" t="s">
        <v>28</v>
      </c>
      <c r="K10" s="53" t="s">
        <v>35</v>
      </c>
      <c r="L10" s="40" t="s">
        <v>27</v>
      </c>
      <c r="M10" s="41">
        <f t="shared" si="1"/>
        <v>8.95</v>
      </c>
      <c r="N10" s="42" t="s">
        <v>29</v>
      </c>
      <c r="O10" s="43" t="s">
        <v>30</v>
      </c>
    </row>
    <row r="11" ht="15.0" customHeight="1">
      <c r="A11" s="29">
        <v>5.0</v>
      </c>
      <c r="B11" s="30" t="s">
        <v>38</v>
      </c>
      <c r="C11" s="31">
        <v>8.98</v>
      </c>
      <c r="D11" s="46">
        <v>9.07</v>
      </c>
      <c r="E11" s="50">
        <v>8.24</v>
      </c>
      <c r="F11" s="34">
        <v>9.37</v>
      </c>
      <c r="G11" s="51">
        <v>8.85</v>
      </c>
      <c r="H11" s="48">
        <v>8.86</v>
      </c>
      <c r="I11" s="37">
        <v>8.7</v>
      </c>
      <c r="J11" s="38" t="s">
        <v>28</v>
      </c>
      <c r="K11" s="49" t="s">
        <v>35</v>
      </c>
      <c r="L11" s="40" t="s">
        <v>27</v>
      </c>
      <c r="M11" s="41">
        <f t="shared" si="1"/>
        <v>8.86</v>
      </c>
      <c r="N11" s="42" t="s">
        <v>29</v>
      </c>
      <c r="O11" s="43" t="s">
        <v>30</v>
      </c>
    </row>
    <row r="12" ht="15.0" customHeight="1">
      <c r="A12" s="29">
        <v>6.0</v>
      </c>
      <c r="B12" s="30" t="s">
        <v>39</v>
      </c>
      <c r="C12" s="31">
        <v>8.57</v>
      </c>
      <c r="D12" s="54">
        <v>8.05</v>
      </c>
      <c r="E12" s="50">
        <v>7.51</v>
      </c>
      <c r="F12" s="34">
        <v>8.64</v>
      </c>
      <c r="G12" s="51">
        <v>8.14</v>
      </c>
      <c r="H12" s="48">
        <v>8.77</v>
      </c>
      <c r="I12" s="37">
        <v>8.69</v>
      </c>
      <c r="J12" s="38" t="s">
        <v>28</v>
      </c>
      <c r="K12" s="53" t="s">
        <v>35</v>
      </c>
      <c r="L12" s="40" t="s">
        <v>27</v>
      </c>
      <c r="M12" s="41">
        <f t="shared" si="1"/>
        <v>8.33</v>
      </c>
      <c r="N12" s="42" t="s">
        <v>29</v>
      </c>
      <c r="O12" s="43" t="s">
        <v>30</v>
      </c>
    </row>
    <row r="13" ht="15.0" customHeight="1">
      <c r="A13" s="29">
        <v>7.0</v>
      </c>
      <c r="B13" s="30" t="s">
        <v>40</v>
      </c>
      <c r="C13" s="31">
        <v>9.06</v>
      </c>
      <c r="D13" s="46">
        <v>7.51</v>
      </c>
      <c r="E13" s="50">
        <v>7.39</v>
      </c>
      <c r="F13" s="34">
        <v>8.2</v>
      </c>
      <c r="G13" s="51">
        <v>7.61</v>
      </c>
      <c r="H13" s="48">
        <v>8.54</v>
      </c>
      <c r="I13" s="37">
        <v>8.22</v>
      </c>
      <c r="J13" s="38" t="s">
        <v>28</v>
      </c>
      <c r="K13" s="53" t="s">
        <v>35</v>
      </c>
      <c r="L13" s="40" t="s">
        <v>27</v>
      </c>
      <c r="M13" s="41">
        <f t="shared" si="1"/>
        <v>8.07</v>
      </c>
      <c r="N13" s="42" t="s">
        <v>29</v>
      </c>
      <c r="O13" s="43" t="s">
        <v>30</v>
      </c>
    </row>
    <row r="14" ht="15.0" customHeight="1">
      <c r="A14" s="29">
        <v>8.0</v>
      </c>
      <c r="B14" s="30" t="s">
        <v>41</v>
      </c>
      <c r="C14" s="31">
        <v>7.85</v>
      </c>
      <c r="D14" s="46">
        <v>7.75</v>
      </c>
      <c r="E14" s="52">
        <v>7.45</v>
      </c>
      <c r="F14" s="34">
        <v>8.48</v>
      </c>
      <c r="G14" s="51">
        <v>8.26</v>
      </c>
      <c r="H14" s="48">
        <v>8.27</v>
      </c>
      <c r="I14" s="37">
        <v>9.03</v>
      </c>
      <c r="J14" s="38" t="s">
        <v>28</v>
      </c>
      <c r="K14" s="53" t="s">
        <v>35</v>
      </c>
      <c r="L14" s="40" t="s">
        <v>27</v>
      </c>
      <c r="M14" s="41">
        <f t="shared" si="1"/>
        <v>8.15</v>
      </c>
      <c r="N14" s="42" t="s">
        <v>29</v>
      </c>
      <c r="O14" s="43" t="s">
        <v>30</v>
      </c>
      <c r="T14" s="11"/>
    </row>
    <row r="15" ht="15.0" customHeight="1">
      <c r="A15" s="29">
        <v>9.0</v>
      </c>
      <c r="B15" s="30" t="s">
        <v>42</v>
      </c>
      <c r="C15" s="31">
        <v>7.88</v>
      </c>
      <c r="D15" s="46">
        <v>7.3</v>
      </c>
      <c r="E15" s="55">
        <v>5.14</v>
      </c>
      <c r="F15" s="34">
        <v>7.75</v>
      </c>
      <c r="G15" s="51">
        <v>7.37</v>
      </c>
      <c r="H15" s="48">
        <v>8.54</v>
      </c>
      <c r="I15" s="37">
        <v>7.97</v>
      </c>
      <c r="J15" s="38" t="s">
        <v>43</v>
      </c>
      <c r="K15" s="53" t="s">
        <v>35</v>
      </c>
      <c r="L15" s="40" t="s">
        <v>27</v>
      </c>
      <c r="M15" s="41">
        <f t="shared" si="1"/>
        <v>7.42</v>
      </c>
      <c r="N15" s="42" t="s">
        <v>29</v>
      </c>
      <c r="O15" s="56" t="s">
        <v>44</v>
      </c>
    </row>
    <row r="16" ht="15.0" customHeight="1">
      <c r="A16" s="29">
        <v>10.0</v>
      </c>
      <c r="B16" s="30" t="s">
        <v>45</v>
      </c>
      <c r="C16" s="31">
        <v>7.44</v>
      </c>
      <c r="D16" s="46">
        <v>8.8</v>
      </c>
      <c r="E16" s="50">
        <v>7.8</v>
      </c>
      <c r="F16" s="34">
        <v>8.81</v>
      </c>
      <c r="G16" s="51">
        <v>8.23</v>
      </c>
      <c r="H16" s="48">
        <v>8.72</v>
      </c>
      <c r="I16" s="37">
        <v>9.3</v>
      </c>
      <c r="J16" s="38" t="s">
        <v>27</v>
      </c>
      <c r="K16" s="53" t="s">
        <v>35</v>
      </c>
      <c r="L16" s="40" t="s">
        <v>27</v>
      </c>
      <c r="M16" s="41">
        <f t="shared" si="1"/>
        <v>8.44</v>
      </c>
      <c r="N16" s="42" t="s">
        <v>29</v>
      </c>
      <c r="O16" s="43" t="s">
        <v>30</v>
      </c>
    </row>
    <row r="17" ht="15.0" customHeight="1">
      <c r="A17" s="29">
        <v>11.0</v>
      </c>
      <c r="B17" s="30" t="s">
        <v>46</v>
      </c>
      <c r="C17" s="31">
        <v>8.59</v>
      </c>
      <c r="D17" s="46">
        <v>8.84</v>
      </c>
      <c r="E17" s="50">
        <v>8.32</v>
      </c>
      <c r="F17" s="34">
        <v>8.76</v>
      </c>
      <c r="G17" s="51">
        <v>8.63</v>
      </c>
      <c r="H17" s="48">
        <v>8.84</v>
      </c>
      <c r="I17" s="37">
        <v>9.38</v>
      </c>
      <c r="J17" s="38" t="s">
        <v>28</v>
      </c>
      <c r="K17" s="53" t="s">
        <v>35</v>
      </c>
      <c r="L17" s="40" t="s">
        <v>27</v>
      </c>
      <c r="M17" s="41">
        <f t="shared" si="1"/>
        <v>8.76</v>
      </c>
      <c r="N17" s="42" t="s">
        <v>29</v>
      </c>
      <c r="O17" s="43" t="s">
        <v>30</v>
      </c>
    </row>
    <row r="18" ht="15.0" customHeight="1">
      <c r="A18" s="29">
        <v>12.0</v>
      </c>
      <c r="B18" s="30" t="s">
        <v>47</v>
      </c>
      <c r="C18" s="31">
        <v>9.15</v>
      </c>
      <c r="D18" s="57">
        <v>5.5</v>
      </c>
      <c r="E18" s="57">
        <v>6.5</v>
      </c>
      <c r="F18" s="34">
        <v>7.9</v>
      </c>
      <c r="G18" s="51">
        <v>7.6</v>
      </c>
      <c r="H18" s="48">
        <v>8.66</v>
      </c>
      <c r="I18" s="37">
        <v>7.56</v>
      </c>
      <c r="J18" s="38" t="s">
        <v>43</v>
      </c>
      <c r="K18" s="53" t="s">
        <v>27</v>
      </c>
      <c r="L18" s="40" t="s">
        <v>27</v>
      </c>
      <c r="M18" s="41">
        <f t="shared" si="1"/>
        <v>7.55</v>
      </c>
      <c r="N18" s="42" t="s">
        <v>29</v>
      </c>
      <c r="O18" s="56" t="s">
        <v>44</v>
      </c>
    </row>
    <row r="19" ht="15.0" customHeight="1">
      <c r="A19" s="29">
        <v>13.0</v>
      </c>
      <c r="B19" s="30" t="s">
        <v>48</v>
      </c>
      <c r="C19" s="31">
        <v>7.53</v>
      </c>
      <c r="D19" s="46">
        <v>7.84</v>
      </c>
      <c r="E19" s="50">
        <v>8.43</v>
      </c>
      <c r="F19" s="34">
        <v>8.56</v>
      </c>
      <c r="G19" s="51">
        <v>8.62</v>
      </c>
      <c r="H19" s="48">
        <v>8.61</v>
      </c>
      <c r="I19" s="37">
        <v>8.46</v>
      </c>
      <c r="J19" s="38" t="s">
        <v>28</v>
      </c>
      <c r="K19" s="53" t="s">
        <v>35</v>
      </c>
      <c r="L19" s="40" t="s">
        <v>27</v>
      </c>
      <c r="M19" s="41">
        <f t="shared" si="1"/>
        <v>8.29</v>
      </c>
      <c r="N19" s="42" t="s">
        <v>29</v>
      </c>
      <c r="O19" s="43" t="s">
        <v>30</v>
      </c>
    </row>
    <row r="20" ht="15.0" customHeight="1">
      <c r="A20" s="29">
        <v>14.0</v>
      </c>
      <c r="B20" s="30" t="s">
        <v>49</v>
      </c>
      <c r="C20" s="31">
        <v>8.21</v>
      </c>
      <c r="D20" s="46">
        <v>8.43</v>
      </c>
      <c r="E20" s="50">
        <v>7.87</v>
      </c>
      <c r="F20" s="34">
        <v>7.98</v>
      </c>
      <c r="G20" s="51">
        <v>7.73</v>
      </c>
      <c r="H20" s="48">
        <v>8.55</v>
      </c>
      <c r="I20" s="37">
        <v>8.39</v>
      </c>
      <c r="J20" s="38" t="s">
        <v>27</v>
      </c>
      <c r="K20" s="53" t="s">
        <v>28</v>
      </c>
      <c r="L20" s="40" t="s">
        <v>27</v>
      </c>
      <c r="M20" s="41">
        <f t="shared" si="1"/>
        <v>8.16</v>
      </c>
      <c r="N20" s="42" t="s">
        <v>29</v>
      </c>
      <c r="O20" s="43" t="s">
        <v>30</v>
      </c>
    </row>
    <row r="21" ht="15.0" customHeight="1">
      <c r="A21" s="29">
        <v>15.0</v>
      </c>
      <c r="B21" s="30" t="s">
        <v>50</v>
      </c>
      <c r="C21" s="31">
        <v>9.0</v>
      </c>
      <c r="D21" s="46">
        <v>7.24</v>
      </c>
      <c r="E21" s="52">
        <v>7.0</v>
      </c>
      <c r="F21" s="34">
        <v>8.33</v>
      </c>
      <c r="G21" s="51">
        <v>7.58</v>
      </c>
      <c r="H21" s="48">
        <v>8.74</v>
      </c>
      <c r="I21" s="37">
        <v>7.66</v>
      </c>
      <c r="J21" s="38" t="s">
        <v>27</v>
      </c>
      <c r="K21" s="53" t="s">
        <v>27</v>
      </c>
      <c r="L21" s="40" t="s">
        <v>27</v>
      </c>
      <c r="M21" s="41">
        <f t="shared" si="1"/>
        <v>7.93</v>
      </c>
      <c r="N21" s="42" t="s">
        <v>29</v>
      </c>
      <c r="O21" s="43" t="s">
        <v>30</v>
      </c>
    </row>
    <row r="22" ht="15.0" customHeight="1">
      <c r="A22" s="29">
        <v>16.0</v>
      </c>
      <c r="B22" s="30" t="s">
        <v>51</v>
      </c>
      <c r="C22" s="31">
        <v>7.53</v>
      </c>
      <c r="D22" s="46">
        <v>7.66</v>
      </c>
      <c r="E22" s="52">
        <v>7.46</v>
      </c>
      <c r="F22" s="34">
        <v>8.8</v>
      </c>
      <c r="G22" s="51">
        <v>8.49</v>
      </c>
      <c r="H22" s="48">
        <v>9.03</v>
      </c>
      <c r="I22" s="37">
        <v>8.73</v>
      </c>
      <c r="J22" s="38" t="s">
        <v>28</v>
      </c>
      <c r="K22" s="53" t="s">
        <v>28</v>
      </c>
      <c r="L22" s="40" t="s">
        <v>27</v>
      </c>
      <c r="M22" s="41">
        <f t="shared" si="1"/>
        <v>8.24</v>
      </c>
      <c r="N22" s="42" t="s">
        <v>29</v>
      </c>
      <c r="O22" s="43" t="s">
        <v>30</v>
      </c>
    </row>
    <row r="23" ht="15.0" customHeight="1">
      <c r="A23" s="29">
        <v>17.0</v>
      </c>
      <c r="B23" s="30" t="s">
        <v>52</v>
      </c>
      <c r="C23" s="31">
        <v>7.98</v>
      </c>
      <c r="D23" s="46">
        <v>7.8</v>
      </c>
      <c r="E23" s="52">
        <v>7.83</v>
      </c>
      <c r="F23" s="34">
        <v>8.83</v>
      </c>
      <c r="G23" s="51">
        <v>7.55</v>
      </c>
      <c r="H23" s="48">
        <v>8.83</v>
      </c>
      <c r="I23" s="37">
        <v>8.73</v>
      </c>
      <c r="J23" s="38" t="s">
        <v>28</v>
      </c>
      <c r="K23" s="53" t="s">
        <v>27</v>
      </c>
      <c r="L23" s="40" t="s">
        <v>27</v>
      </c>
      <c r="M23" s="41">
        <f t="shared" si="1"/>
        <v>8.22</v>
      </c>
      <c r="N23" s="42" t="s">
        <v>29</v>
      </c>
      <c r="O23" s="43" t="s">
        <v>30</v>
      </c>
    </row>
    <row r="24" ht="15.0" customHeight="1">
      <c r="A24" s="29">
        <v>18.0</v>
      </c>
      <c r="B24" s="30" t="s">
        <v>53</v>
      </c>
      <c r="C24" s="31">
        <v>8.71</v>
      </c>
      <c r="D24" s="54">
        <v>7.06</v>
      </c>
      <c r="E24" s="52">
        <v>7.11</v>
      </c>
      <c r="F24" s="34">
        <v>7.62</v>
      </c>
      <c r="G24" s="51">
        <v>7.05</v>
      </c>
      <c r="H24" s="48">
        <v>8.44</v>
      </c>
      <c r="I24" s="37">
        <v>7.54</v>
      </c>
      <c r="J24" s="38" t="s">
        <v>27</v>
      </c>
      <c r="K24" s="53" t="s">
        <v>28</v>
      </c>
      <c r="L24" s="40" t="s">
        <v>27</v>
      </c>
      <c r="M24" s="41">
        <f t="shared" si="1"/>
        <v>7.64</v>
      </c>
      <c r="N24" s="42" t="s">
        <v>29</v>
      </c>
      <c r="O24" s="43" t="s">
        <v>30</v>
      </c>
    </row>
    <row r="25" ht="15.0" customHeight="1">
      <c r="A25" s="29">
        <v>19.0</v>
      </c>
      <c r="B25" s="30" t="s">
        <v>54</v>
      </c>
      <c r="C25" s="31">
        <v>7.54</v>
      </c>
      <c r="D25" s="46">
        <v>7.45</v>
      </c>
      <c r="E25" s="52">
        <v>7.03</v>
      </c>
      <c r="F25" s="34">
        <v>7.04</v>
      </c>
      <c r="G25" s="51">
        <v>7.15</v>
      </c>
      <c r="H25" s="48">
        <v>8.28</v>
      </c>
      <c r="I25" s="37">
        <v>7.73</v>
      </c>
      <c r="J25" s="38" t="s">
        <v>43</v>
      </c>
      <c r="K25" s="53" t="s">
        <v>28</v>
      </c>
      <c r="L25" s="40" t="s">
        <v>27</v>
      </c>
      <c r="M25" s="41">
        <f t="shared" si="1"/>
        <v>7.46</v>
      </c>
      <c r="N25" s="42" t="s">
        <v>29</v>
      </c>
      <c r="O25" s="43" t="s">
        <v>30</v>
      </c>
    </row>
    <row r="26" ht="15.0" customHeight="1">
      <c r="A26" s="29">
        <v>20.0</v>
      </c>
      <c r="B26" s="30" t="s">
        <v>55</v>
      </c>
      <c r="C26" s="31">
        <v>7.96</v>
      </c>
      <c r="D26" s="46">
        <v>7.96</v>
      </c>
      <c r="E26" s="50">
        <v>7.14</v>
      </c>
      <c r="F26" s="34">
        <v>8.01</v>
      </c>
      <c r="G26" s="51">
        <v>7.66</v>
      </c>
      <c r="H26" s="48">
        <v>8.62</v>
      </c>
      <c r="I26" s="37">
        <v>8.65</v>
      </c>
      <c r="J26" s="38" t="s">
        <v>27</v>
      </c>
      <c r="K26" s="53" t="s">
        <v>28</v>
      </c>
      <c r="L26" s="40" t="s">
        <v>27</v>
      </c>
      <c r="M26" s="41">
        <f t="shared" si="1"/>
        <v>8</v>
      </c>
      <c r="N26" s="42" t="s">
        <v>29</v>
      </c>
      <c r="O26" s="43" t="s">
        <v>30</v>
      </c>
    </row>
    <row r="27" ht="18.0" customHeight="1">
      <c r="A27" s="29">
        <v>21.0</v>
      </c>
      <c r="B27" s="30" t="s">
        <v>56</v>
      </c>
      <c r="C27" s="31">
        <v>7.7</v>
      </c>
      <c r="D27" s="46">
        <v>9.18</v>
      </c>
      <c r="E27" s="50">
        <v>8.55</v>
      </c>
      <c r="F27" s="34">
        <v>9.02</v>
      </c>
      <c r="G27" s="51">
        <v>8.07</v>
      </c>
      <c r="H27" s="48">
        <v>8.81</v>
      </c>
      <c r="I27" s="37">
        <v>9.08</v>
      </c>
      <c r="J27" s="38" t="s">
        <v>28</v>
      </c>
      <c r="K27" s="53" t="s">
        <v>35</v>
      </c>
      <c r="L27" s="40" t="s">
        <v>27</v>
      </c>
      <c r="M27" s="41">
        <f t="shared" si="1"/>
        <v>8.63</v>
      </c>
      <c r="N27" s="42" t="s">
        <v>29</v>
      </c>
      <c r="O27" s="43" t="s">
        <v>30</v>
      </c>
    </row>
    <row r="28" ht="15.0" customHeight="1">
      <c r="A28" s="29">
        <v>22.0</v>
      </c>
      <c r="B28" s="30" t="s">
        <v>57</v>
      </c>
      <c r="C28" s="31">
        <v>9.24</v>
      </c>
      <c r="D28" s="46">
        <v>8.54</v>
      </c>
      <c r="E28" s="50">
        <v>7.8</v>
      </c>
      <c r="F28" s="34">
        <v>8.2</v>
      </c>
      <c r="G28" s="51">
        <v>7.52</v>
      </c>
      <c r="H28" s="48">
        <v>8.7</v>
      </c>
      <c r="I28" s="37">
        <v>7.73</v>
      </c>
      <c r="J28" s="38" t="s">
        <v>28</v>
      </c>
      <c r="K28" s="53" t="s">
        <v>27</v>
      </c>
      <c r="L28" s="40" t="s">
        <v>27</v>
      </c>
      <c r="M28" s="41">
        <f t="shared" si="1"/>
        <v>8.24</v>
      </c>
      <c r="N28" s="42" t="s">
        <v>29</v>
      </c>
      <c r="O28" s="43" t="s">
        <v>30</v>
      </c>
    </row>
    <row r="29" ht="18.0" customHeight="1">
      <c r="A29" s="29">
        <v>23.0</v>
      </c>
      <c r="B29" s="30" t="s">
        <v>58</v>
      </c>
      <c r="C29" s="31">
        <v>8.67</v>
      </c>
      <c r="D29" s="46">
        <v>8.13</v>
      </c>
      <c r="E29" s="52">
        <v>7.28</v>
      </c>
      <c r="F29" s="34">
        <v>8.48</v>
      </c>
      <c r="G29" s="51">
        <v>8.18</v>
      </c>
      <c r="H29" s="48">
        <v>8.99</v>
      </c>
      <c r="I29" s="37">
        <v>8.9</v>
      </c>
      <c r="J29" s="38" t="s">
        <v>27</v>
      </c>
      <c r="K29" s="53" t="s">
        <v>28</v>
      </c>
      <c r="L29" s="40" t="s">
        <v>27</v>
      </c>
      <c r="M29" s="41">
        <f t="shared" si="1"/>
        <v>8.37</v>
      </c>
      <c r="N29" s="42" t="s">
        <v>29</v>
      </c>
      <c r="O29" s="43" t="s">
        <v>30</v>
      </c>
    </row>
    <row r="30" ht="15.0" customHeight="1">
      <c r="A30" s="29">
        <v>24.0</v>
      </c>
      <c r="B30" s="30" t="s">
        <v>59</v>
      </c>
      <c r="C30" s="31">
        <v>7.86</v>
      </c>
      <c r="D30" s="46">
        <v>8.58</v>
      </c>
      <c r="E30" s="50">
        <v>7.98</v>
      </c>
      <c r="F30" s="34">
        <v>7.94</v>
      </c>
      <c r="G30" s="51">
        <v>8.19</v>
      </c>
      <c r="H30" s="48">
        <v>8.61</v>
      </c>
      <c r="I30" s="37">
        <v>8.7</v>
      </c>
      <c r="J30" s="38" t="s">
        <v>27</v>
      </c>
      <c r="K30" s="53" t="s">
        <v>35</v>
      </c>
      <c r="L30" s="40" t="s">
        <v>27</v>
      </c>
      <c r="M30" s="41">
        <f t="shared" si="1"/>
        <v>8.26</v>
      </c>
      <c r="N30" s="42" t="s">
        <v>29</v>
      </c>
      <c r="O30" s="43" t="s">
        <v>30</v>
      </c>
    </row>
    <row r="31" ht="15.0" customHeight="1">
      <c r="A31" s="29">
        <v>25.0</v>
      </c>
      <c r="B31" s="30" t="s">
        <v>60</v>
      </c>
      <c r="C31" s="31">
        <v>8.21</v>
      </c>
      <c r="D31" s="54">
        <v>7.37</v>
      </c>
      <c r="E31" s="52">
        <v>7.13</v>
      </c>
      <c r="F31" s="34">
        <v>7.76</v>
      </c>
      <c r="G31" s="51">
        <v>7.54</v>
      </c>
      <c r="H31" s="48">
        <v>8.97</v>
      </c>
      <c r="I31" s="37">
        <v>7.98</v>
      </c>
      <c r="J31" s="38" t="s">
        <v>27</v>
      </c>
      <c r="K31" s="53" t="s">
        <v>28</v>
      </c>
      <c r="L31" s="40" t="s">
        <v>27</v>
      </c>
      <c r="M31" s="41">
        <f t="shared" si="1"/>
        <v>7.85</v>
      </c>
      <c r="N31" s="42" t="s">
        <v>29</v>
      </c>
      <c r="O31" s="43" t="s">
        <v>30</v>
      </c>
    </row>
    <row r="32" ht="15.0" customHeight="1">
      <c r="A32" s="29">
        <v>26.0</v>
      </c>
      <c r="B32" s="30" t="s">
        <v>61</v>
      </c>
      <c r="C32" s="31">
        <v>7.05</v>
      </c>
      <c r="D32" s="46">
        <v>8.19</v>
      </c>
      <c r="E32" s="50">
        <v>8.58</v>
      </c>
      <c r="F32" s="34">
        <v>7.96</v>
      </c>
      <c r="G32" s="51">
        <v>7.69</v>
      </c>
      <c r="H32" s="48">
        <v>8.96</v>
      </c>
      <c r="I32" s="37">
        <v>8.91</v>
      </c>
      <c r="J32" s="38" t="s">
        <v>28</v>
      </c>
      <c r="K32" s="53" t="s">
        <v>27</v>
      </c>
      <c r="L32" s="40" t="s">
        <v>27</v>
      </c>
      <c r="M32" s="41">
        <f t="shared" si="1"/>
        <v>8.19</v>
      </c>
      <c r="N32" s="42" t="s">
        <v>29</v>
      </c>
      <c r="O32" s="43" t="s">
        <v>30</v>
      </c>
    </row>
    <row r="33" ht="15.0" customHeight="1">
      <c r="A33" s="29">
        <v>27.0</v>
      </c>
      <c r="B33" s="30" t="s">
        <v>62</v>
      </c>
      <c r="C33" s="31">
        <v>8.09</v>
      </c>
      <c r="D33" s="46">
        <v>9.14</v>
      </c>
      <c r="E33" s="50">
        <v>8.56</v>
      </c>
      <c r="F33" s="34">
        <v>9.15</v>
      </c>
      <c r="G33" s="51">
        <v>8.6</v>
      </c>
      <c r="H33" s="48">
        <v>8.34</v>
      </c>
      <c r="I33" s="37">
        <v>8.83</v>
      </c>
      <c r="J33" s="38" t="s">
        <v>28</v>
      </c>
      <c r="K33" s="53" t="s">
        <v>35</v>
      </c>
      <c r="L33" s="40" t="s">
        <v>27</v>
      </c>
      <c r="M33" s="41">
        <f t="shared" si="1"/>
        <v>8.67</v>
      </c>
      <c r="N33" s="42" t="s">
        <v>29</v>
      </c>
      <c r="O33" s="43" t="s">
        <v>30</v>
      </c>
    </row>
    <row r="34" ht="15.0" customHeight="1">
      <c r="A34" s="29">
        <v>28.0</v>
      </c>
      <c r="B34" s="30" t="s">
        <v>63</v>
      </c>
      <c r="C34" s="31">
        <v>9.32</v>
      </c>
      <c r="D34" s="54">
        <v>7.0</v>
      </c>
      <c r="E34" s="52">
        <v>7.1</v>
      </c>
      <c r="F34" s="34">
        <v>8.18</v>
      </c>
      <c r="G34" s="51">
        <v>7.81</v>
      </c>
      <c r="H34" s="48">
        <v>8.72</v>
      </c>
      <c r="I34" s="37">
        <v>8.47</v>
      </c>
      <c r="J34" s="38" t="s">
        <v>27</v>
      </c>
      <c r="K34" s="53" t="s">
        <v>27</v>
      </c>
      <c r="L34" s="40" t="s">
        <v>27</v>
      </c>
      <c r="M34" s="41">
        <f t="shared" si="1"/>
        <v>8.08</v>
      </c>
      <c r="N34" s="42" t="s">
        <v>29</v>
      </c>
      <c r="O34" s="43" t="s">
        <v>30</v>
      </c>
    </row>
    <row r="35" ht="15.0" customHeight="1">
      <c r="A35" s="29">
        <v>29.0</v>
      </c>
      <c r="B35" s="30" t="s">
        <v>64</v>
      </c>
      <c r="C35" s="31">
        <v>7.54</v>
      </c>
      <c r="D35" s="46">
        <v>8.5</v>
      </c>
      <c r="E35" s="52">
        <v>8.94</v>
      </c>
      <c r="F35" s="34">
        <v>8.77</v>
      </c>
      <c r="G35" s="51">
        <v>8.49</v>
      </c>
      <c r="H35" s="48">
        <v>8.69</v>
      </c>
      <c r="I35" s="37">
        <v>9.28</v>
      </c>
      <c r="J35" s="38" t="s">
        <v>28</v>
      </c>
      <c r="K35" s="53" t="s">
        <v>35</v>
      </c>
      <c r="L35" s="40" t="s">
        <v>27</v>
      </c>
      <c r="M35" s="41">
        <f t="shared" si="1"/>
        <v>8.6</v>
      </c>
      <c r="N35" s="42" t="s">
        <v>29</v>
      </c>
      <c r="O35" s="43" t="s">
        <v>30</v>
      </c>
    </row>
    <row r="36" ht="15.0" customHeight="1">
      <c r="A36" s="29">
        <v>30.0</v>
      </c>
      <c r="B36" s="30" t="s">
        <v>65</v>
      </c>
      <c r="C36" s="31">
        <v>9.29</v>
      </c>
      <c r="D36" s="46">
        <v>7.0</v>
      </c>
      <c r="E36" s="50">
        <v>7.0</v>
      </c>
      <c r="F36" s="34">
        <v>7.49</v>
      </c>
      <c r="G36" s="51">
        <v>7.0</v>
      </c>
      <c r="H36" s="48">
        <v>8.34</v>
      </c>
      <c r="I36" s="37">
        <v>8.01</v>
      </c>
      <c r="J36" s="38" t="s">
        <v>28</v>
      </c>
      <c r="K36" s="53" t="s">
        <v>27</v>
      </c>
      <c r="L36" s="40" t="s">
        <v>27</v>
      </c>
      <c r="M36" s="41">
        <f t="shared" si="1"/>
        <v>7.73</v>
      </c>
      <c r="N36" s="42" t="s">
        <v>29</v>
      </c>
      <c r="O36" s="43" t="s">
        <v>30</v>
      </c>
    </row>
    <row r="37" ht="15.0" customHeight="1">
      <c r="A37" s="29">
        <v>31.0</v>
      </c>
      <c r="B37" s="30" t="s">
        <v>66</v>
      </c>
      <c r="C37" s="31">
        <v>7.64</v>
      </c>
      <c r="D37" s="54">
        <v>8.43</v>
      </c>
      <c r="E37" s="50">
        <v>8.24</v>
      </c>
      <c r="F37" s="34">
        <v>8.14</v>
      </c>
      <c r="G37" s="51">
        <v>8.61</v>
      </c>
      <c r="H37" s="48">
        <v>8.69</v>
      </c>
      <c r="I37" s="37">
        <v>8.82</v>
      </c>
      <c r="J37" s="38" t="s">
        <v>27</v>
      </c>
      <c r="K37" s="53" t="s">
        <v>35</v>
      </c>
      <c r="L37" s="40" t="s">
        <v>27</v>
      </c>
      <c r="M37" s="41">
        <f t="shared" si="1"/>
        <v>8.36</v>
      </c>
      <c r="N37" s="42" t="s">
        <v>29</v>
      </c>
      <c r="O37" s="43" t="s">
        <v>30</v>
      </c>
    </row>
    <row r="38" ht="15.0" customHeight="1">
      <c r="A38" s="29">
        <v>32.0</v>
      </c>
      <c r="B38" s="30" t="s">
        <v>67</v>
      </c>
      <c r="C38" s="31">
        <v>9.01</v>
      </c>
      <c r="D38" s="54">
        <v>7.76</v>
      </c>
      <c r="E38" s="50">
        <v>7.26</v>
      </c>
      <c r="F38" s="34">
        <v>8.78</v>
      </c>
      <c r="G38" s="51">
        <v>8.0</v>
      </c>
      <c r="H38" s="48">
        <v>8.72</v>
      </c>
      <c r="I38" s="37">
        <v>8.82</v>
      </c>
      <c r="J38" s="38" t="s">
        <v>27</v>
      </c>
      <c r="K38" s="53" t="s">
        <v>35</v>
      </c>
      <c r="L38" s="40" t="s">
        <v>27</v>
      </c>
      <c r="M38" s="41">
        <f t="shared" si="1"/>
        <v>8.33</v>
      </c>
      <c r="N38" s="42" t="s">
        <v>29</v>
      </c>
      <c r="O38" s="43" t="s">
        <v>30</v>
      </c>
    </row>
    <row r="39" ht="14.25" customHeight="1">
      <c r="A39" s="29">
        <v>33.0</v>
      </c>
      <c r="B39" s="30" t="s">
        <v>68</v>
      </c>
      <c r="C39" s="31">
        <v>7.54</v>
      </c>
      <c r="D39" s="46">
        <v>7.07</v>
      </c>
      <c r="E39" s="52">
        <v>7.07</v>
      </c>
      <c r="F39" s="34">
        <v>7.29</v>
      </c>
      <c r="G39" s="51">
        <v>7.25</v>
      </c>
      <c r="H39" s="48">
        <v>8.68</v>
      </c>
      <c r="I39" s="37">
        <v>8.64</v>
      </c>
      <c r="J39" s="38" t="s">
        <v>27</v>
      </c>
      <c r="K39" s="53" t="s">
        <v>27</v>
      </c>
      <c r="L39" s="40" t="s">
        <v>27</v>
      </c>
      <c r="M39" s="41">
        <f t="shared" si="1"/>
        <v>7.64</v>
      </c>
      <c r="N39" s="42" t="s">
        <v>29</v>
      </c>
      <c r="O39" s="43" t="s">
        <v>30</v>
      </c>
    </row>
    <row r="40" ht="14.25" customHeight="1">
      <c r="A40" s="29">
        <v>34.0</v>
      </c>
      <c r="B40" s="30" t="s">
        <v>69</v>
      </c>
      <c r="C40" s="31">
        <v>7.83</v>
      </c>
      <c r="D40" s="46">
        <v>8.7</v>
      </c>
      <c r="E40" s="50">
        <v>9.14</v>
      </c>
      <c r="F40" s="34">
        <v>9.18</v>
      </c>
      <c r="G40" s="51">
        <v>8.75</v>
      </c>
      <c r="H40" s="48">
        <v>8.74</v>
      </c>
      <c r="I40" s="37">
        <v>9.18</v>
      </c>
      <c r="J40" s="38" t="s">
        <v>28</v>
      </c>
      <c r="K40" s="53" t="s">
        <v>35</v>
      </c>
      <c r="L40" s="40" t="s">
        <v>27</v>
      </c>
      <c r="M40" s="41">
        <f t="shared" si="1"/>
        <v>8.78</v>
      </c>
      <c r="N40" s="42" t="s">
        <v>29</v>
      </c>
      <c r="O40" s="43" t="s">
        <v>30</v>
      </c>
    </row>
    <row r="41" ht="14.25" customHeight="1">
      <c r="A41" s="29">
        <v>35.0</v>
      </c>
      <c r="B41" s="30" t="s">
        <v>70</v>
      </c>
      <c r="C41" s="31">
        <v>9.27</v>
      </c>
      <c r="D41" s="46">
        <v>7.66</v>
      </c>
      <c r="E41" s="50">
        <v>7.16</v>
      </c>
      <c r="F41" s="34">
        <v>8.26</v>
      </c>
      <c r="G41" s="51">
        <v>7.8</v>
      </c>
      <c r="H41" s="48">
        <v>9.06</v>
      </c>
      <c r="I41" s="37">
        <v>7.68</v>
      </c>
      <c r="J41" s="38" t="s">
        <v>27</v>
      </c>
      <c r="K41" s="53" t="s">
        <v>28</v>
      </c>
      <c r="L41" s="40" t="s">
        <v>27</v>
      </c>
      <c r="M41" s="41">
        <f t="shared" si="1"/>
        <v>8.12</v>
      </c>
      <c r="N41" s="42" t="s">
        <v>29</v>
      </c>
      <c r="O41" s="43" t="s">
        <v>30</v>
      </c>
    </row>
    <row r="42" ht="15.0" customHeight="1">
      <c r="A42" s="29">
        <v>36.0</v>
      </c>
      <c r="B42" s="30" t="s">
        <v>71</v>
      </c>
      <c r="C42" s="31">
        <v>7.66</v>
      </c>
      <c r="D42" s="58">
        <v>5.5</v>
      </c>
      <c r="E42" s="50">
        <v>7.0</v>
      </c>
      <c r="F42" s="34">
        <v>7.44</v>
      </c>
      <c r="G42" s="51">
        <v>7.0</v>
      </c>
      <c r="H42" s="48">
        <v>8.81</v>
      </c>
      <c r="I42" s="37">
        <v>8.18</v>
      </c>
      <c r="J42" s="38" t="s">
        <v>43</v>
      </c>
      <c r="K42" s="53" t="s">
        <v>28</v>
      </c>
      <c r="L42" s="40" t="s">
        <v>27</v>
      </c>
      <c r="M42" s="41">
        <f t="shared" si="1"/>
        <v>7.37</v>
      </c>
      <c r="N42" s="42" t="s">
        <v>29</v>
      </c>
      <c r="O42" s="56" t="s">
        <v>44</v>
      </c>
    </row>
    <row r="43" ht="15.0" customHeight="1">
      <c r="A43" s="29">
        <v>37.0</v>
      </c>
      <c r="B43" s="30" t="s">
        <v>72</v>
      </c>
      <c r="C43" s="31">
        <v>7.1</v>
      </c>
      <c r="D43" s="54">
        <v>7.77</v>
      </c>
      <c r="E43" s="50">
        <v>8.56</v>
      </c>
      <c r="F43" s="34">
        <v>7.43</v>
      </c>
      <c r="G43" s="51">
        <v>7.38</v>
      </c>
      <c r="H43" s="48">
        <v>8.56</v>
      </c>
      <c r="I43" s="37">
        <v>8.37</v>
      </c>
      <c r="J43" s="38" t="s">
        <v>28</v>
      </c>
      <c r="K43" s="49" t="s">
        <v>35</v>
      </c>
      <c r="L43" s="40" t="s">
        <v>27</v>
      </c>
      <c r="M43" s="41">
        <f t="shared" si="1"/>
        <v>7.88</v>
      </c>
      <c r="N43" s="42" t="s">
        <v>29</v>
      </c>
      <c r="O43" s="43" t="s">
        <v>30</v>
      </c>
    </row>
    <row r="44" ht="14.25" customHeight="1">
      <c r="B44" s="10" t="s">
        <v>73</v>
      </c>
      <c r="C44" s="59">
        <v>8.43</v>
      </c>
      <c r="D44" s="60">
        <f t="shared" ref="D44:G44" si="2">AVERAGE(D6:D43)</f>
        <v>7.857567568</v>
      </c>
      <c r="E44" s="61">
        <f t="shared" si="2"/>
        <v>7.658648649</v>
      </c>
      <c r="F44" s="62">
        <f t="shared" si="2"/>
        <v>8.257027027</v>
      </c>
      <c r="G44" s="63">
        <f t="shared" si="2"/>
        <v>7.885405405</v>
      </c>
      <c r="H44" s="48">
        <v>9.0</v>
      </c>
      <c r="I44" s="64">
        <f>AVERAGE(I6:I43)</f>
        <v>8.501081081</v>
      </c>
      <c r="J44" s="65"/>
      <c r="K44" s="65"/>
      <c r="L44" s="65"/>
      <c r="M44" s="66">
        <f>AVERAGE(M6:M43)</f>
        <v>8.145945946</v>
      </c>
      <c r="N44" s="65"/>
      <c r="O44" s="11"/>
    </row>
    <row r="45" ht="14.25" customHeight="1"/>
    <row r="46" ht="14.25" customHeight="1"/>
    <row r="47" ht="14.25" customHeight="1">
      <c r="B47" s="67" t="s">
        <v>74</v>
      </c>
      <c r="C47" s="68"/>
      <c r="D47" s="69" t="s">
        <v>75</v>
      </c>
      <c r="E47" s="70"/>
      <c r="F47" s="70"/>
      <c r="G47" s="71"/>
      <c r="H47" s="72"/>
      <c r="K47" s="73" t="s">
        <v>76</v>
      </c>
      <c r="L47" s="70"/>
      <c r="M47" s="70"/>
      <c r="N47" s="70"/>
      <c r="O47" s="71"/>
    </row>
    <row r="48" ht="14.25" customHeight="1">
      <c r="B48" s="67" t="s">
        <v>77</v>
      </c>
      <c r="C48" s="68"/>
      <c r="D48" s="69" t="s">
        <v>78</v>
      </c>
      <c r="E48" s="70"/>
      <c r="F48" s="70"/>
      <c r="G48" s="70"/>
      <c r="H48" s="71"/>
      <c r="K48" s="69" t="s">
        <v>79</v>
      </c>
      <c r="L48" s="70"/>
      <c r="M48" s="70"/>
      <c r="N48" s="71"/>
      <c r="O48" s="10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1">
    <mergeCell ref="B47:C47"/>
    <mergeCell ref="B48:C48"/>
    <mergeCell ref="D48:H48"/>
    <mergeCell ref="K48:N48"/>
    <mergeCell ref="A1:O1"/>
    <mergeCell ref="B2:O2"/>
    <mergeCell ref="H3:I3"/>
    <mergeCell ref="J3:M3"/>
    <mergeCell ref="H4:I4"/>
    <mergeCell ref="D47:G47"/>
    <mergeCell ref="K47:O47"/>
  </mergeCells>
  <conditionalFormatting sqref="C7:I43">
    <cfRule type="containsBlanks" dxfId="0" priority="1">
      <formula>LEN(TRIM(C7))=0</formula>
    </cfRule>
  </conditionalFormatting>
  <conditionalFormatting sqref="H6">
    <cfRule type="cellIs" dxfId="1" priority="2" operator="lessThan">
      <formula>7</formula>
    </cfRule>
  </conditionalFormatting>
  <conditionalFormatting sqref="H6">
    <cfRule type="cellIs" dxfId="1" priority="3" operator="lessThan">
      <formula>6.29</formula>
    </cfRule>
  </conditionalFormatting>
  <conditionalFormatting sqref="M7:M43">
    <cfRule type="cellIs" dxfId="2" priority="4" operator="lessThan">
      <formula>7</formula>
    </cfRule>
  </conditionalFormatting>
  <conditionalFormatting sqref="E1:E991">
    <cfRule type="notContainsBlanks" dxfId="3" priority="5">
      <formula>LEN(TRIM(E1))&gt;0</formula>
    </cfRule>
  </conditionalFormatting>
  <dataValidations>
    <dataValidation type="list" allowBlank="1" showErrorMessage="1" sqref="J3">
      <formula1>"MATUTINA,VESPERTINA"</formula1>
    </dataValidation>
  </dataValidations>
  <printOptions/>
  <pageMargins bottom="0.39370078740157477" footer="0.0" header="0.0" left="0.19685039370078738" right="0.19685039370078738" top="0.39370078740157477"/>
  <pageSetup paperSize="9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21.57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74" t="s">
        <v>80</v>
      </c>
    </row>
    <row r="2" ht="14.25" customHeight="1">
      <c r="A2" s="2"/>
      <c r="B2" s="3" t="s">
        <v>1</v>
      </c>
    </row>
    <row r="3" ht="14.25" customHeight="1">
      <c r="B3" s="75" t="s">
        <v>81</v>
      </c>
      <c r="C3" s="5" t="s">
        <v>82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76" t="s">
        <v>83</v>
      </c>
      <c r="E4" s="6"/>
      <c r="F4" s="6"/>
      <c r="G4" s="6"/>
      <c r="H4" s="6"/>
      <c r="I4" s="7" t="s">
        <v>8</v>
      </c>
      <c r="K4" s="11" t="s">
        <v>9</v>
      </c>
      <c r="M4" s="6"/>
    </row>
    <row r="5" ht="6.0" customHeight="1">
      <c r="B5" s="12"/>
      <c r="C5" s="12"/>
      <c r="D5" s="9"/>
      <c r="E5" s="9"/>
      <c r="F5" s="9"/>
      <c r="G5" s="9"/>
      <c r="H5" s="9"/>
      <c r="I5" s="9"/>
      <c r="J5" s="9"/>
      <c r="K5" s="9"/>
      <c r="L5" s="9"/>
      <c r="M5" s="9"/>
    </row>
    <row r="6" ht="147.75" customHeight="1">
      <c r="A6" s="77" t="s">
        <v>10</v>
      </c>
      <c r="B6" s="15" t="s">
        <v>11</v>
      </c>
      <c r="C6" s="78"/>
      <c r="D6" s="16" t="s">
        <v>12</v>
      </c>
      <c r="E6" s="17" t="s">
        <v>13</v>
      </c>
      <c r="F6" s="18" t="s">
        <v>14</v>
      </c>
      <c r="G6" s="19" t="s">
        <v>15</v>
      </c>
      <c r="H6" s="20" t="s">
        <v>16</v>
      </c>
      <c r="I6" s="79" t="s">
        <v>84</v>
      </c>
      <c r="J6" s="22" t="s">
        <v>18</v>
      </c>
      <c r="K6" s="80" t="s">
        <v>85</v>
      </c>
      <c r="L6" s="24" t="s">
        <v>20</v>
      </c>
      <c r="M6" s="25" t="s">
        <v>21</v>
      </c>
      <c r="N6" s="81" t="s">
        <v>22</v>
      </c>
      <c r="O6" s="82" t="s">
        <v>23</v>
      </c>
      <c r="P6" s="83" t="s">
        <v>24</v>
      </c>
    </row>
    <row r="7" ht="14.25" customHeight="1">
      <c r="A7" s="84">
        <v>1.0</v>
      </c>
      <c r="B7" s="85" t="s">
        <v>86</v>
      </c>
      <c r="C7" s="85"/>
      <c r="D7" s="40">
        <v>9.22</v>
      </c>
      <c r="E7" s="86">
        <v>9.52</v>
      </c>
      <c r="F7" s="87">
        <v>8.2</v>
      </c>
      <c r="G7" s="88">
        <v>8.46</v>
      </c>
      <c r="H7" s="89">
        <v>8.84</v>
      </c>
      <c r="I7" s="90">
        <v>9.13</v>
      </c>
      <c r="J7" s="91">
        <v>9.58</v>
      </c>
      <c r="K7" s="92" t="s">
        <v>28</v>
      </c>
      <c r="L7" s="39" t="s">
        <v>28</v>
      </c>
      <c r="M7" s="40" t="s">
        <v>28</v>
      </c>
      <c r="N7" s="66">
        <f t="shared" ref="N7:N42" si="1">TRUNC(AVERAGE(D7:J7),2)</f>
        <v>8.99</v>
      </c>
      <c r="O7" s="93" t="s">
        <v>29</v>
      </c>
      <c r="P7" s="94" t="s">
        <v>30</v>
      </c>
    </row>
    <row r="8" ht="15.0" customHeight="1">
      <c r="A8" s="84">
        <v>2.0</v>
      </c>
      <c r="B8" s="85" t="s">
        <v>87</v>
      </c>
      <c r="C8" s="85"/>
      <c r="D8" s="95">
        <v>8.08</v>
      </c>
      <c r="E8" s="86">
        <v>8.21</v>
      </c>
      <c r="F8" s="96">
        <v>7.12</v>
      </c>
      <c r="G8" s="88">
        <v>8.89</v>
      </c>
      <c r="H8" s="89">
        <v>7.74</v>
      </c>
      <c r="I8" s="90">
        <v>8.98</v>
      </c>
      <c r="J8" s="91">
        <v>8.37</v>
      </c>
      <c r="K8" s="92" t="s">
        <v>27</v>
      </c>
      <c r="L8" s="49" t="s">
        <v>28</v>
      </c>
      <c r="M8" s="40" t="s">
        <v>28</v>
      </c>
      <c r="N8" s="66">
        <f t="shared" si="1"/>
        <v>8.19</v>
      </c>
      <c r="O8" s="93" t="s">
        <v>29</v>
      </c>
      <c r="P8" s="94" t="s">
        <v>30</v>
      </c>
    </row>
    <row r="9" ht="15.0" customHeight="1">
      <c r="A9" s="84">
        <v>3.0</v>
      </c>
      <c r="B9" s="85" t="s">
        <v>88</v>
      </c>
      <c r="C9" s="85"/>
      <c r="D9" s="95">
        <v>8.2</v>
      </c>
      <c r="E9" s="86">
        <v>7.96</v>
      </c>
      <c r="F9" s="96">
        <v>7.34</v>
      </c>
      <c r="G9" s="88">
        <v>8.41</v>
      </c>
      <c r="H9" s="89">
        <v>7.72</v>
      </c>
      <c r="I9" s="90">
        <v>9.16</v>
      </c>
      <c r="J9" s="97">
        <v>9.06</v>
      </c>
      <c r="K9" s="92" t="s">
        <v>28</v>
      </c>
      <c r="L9" s="49" t="s">
        <v>35</v>
      </c>
      <c r="M9" s="40" t="s">
        <v>28</v>
      </c>
      <c r="N9" s="66">
        <f t="shared" si="1"/>
        <v>8.26</v>
      </c>
      <c r="O9" s="93" t="s">
        <v>29</v>
      </c>
      <c r="P9" s="94" t="s">
        <v>30</v>
      </c>
      <c r="Q9" s="45" t="s">
        <v>89</v>
      </c>
    </row>
    <row r="10" ht="15.0" customHeight="1">
      <c r="A10" s="84">
        <v>4.0</v>
      </c>
      <c r="B10" s="85" t="s">
        <v>90</v>
      </c>
      <c r="C10" s="85"/>
      <c r="D10" s="95">
        <v>9.7</v>
      </c>
      <c r="E10" s="86">
        <v>9.97</v>
      </c>
      <c r="F10" s="98">
        <v>9.85</v>
      </c>
      <c r="G10" s="88">
        <v>10.0</v>
      </c>
      <c r="H10" s="89">
        <v>9.9</v>
      </c>
      <c r="I10" s="99">
        <v>9.52</v>
      </c>
      <c r="J10" s="91">
        <v>10.0</v>
      </c>
      <c r="K10" s="92" t="s">
        <v>35</v>
      </c>
      <c r="L10" s="53" t="s">
        <v>35</v>
      </c>
      <c r="M10" s="40" t="s">
        <v>28</v>
      </c>
      <c r="N10" s="66">
        <f t="shared" si="1"/>
        <v>9.84</v>
      </c>
      <c r="O10" s="93" t="s">
        <v>29</v>
      </c>
      <c r="P10" s="94" t="s">
        <v>30</v>
      </c>
    </row>
    <row r="11" ht="15.0" customHeight="1">
      <c r="A11" s="84">
        <v>5.0</v>
      </c>
      <c r="B11" s="85" t="s">
        <v>91</v>
      </c>
      <c r="C11" s="85"/>
      <c r="D11" s="95">
        <v>7.62</v>
      </c>
      <c r="E11" s="86">
        <v>8.58</v>
      </c>
      <c r="F11" s="98">
        <v>8.67</v>
      </c>
      <c r="G11" s="88">
        <v>8.61</v>
      </c>
      <c r="H11" s="89">
        <v>8.75</v>
      </c>
      <c r="I11" s="100">
        <v>8.69</v>
      </c>
      <c r="J11" s="91">
        <v>9.01</v>
      </c>
      <c r="K11" s="92" t="s">
        <v>35</v>
      </c>
      <c r="L11" s="49" t="s">
        <v>35</v>
      </c>
      <c r="M11" s="40" t="s">
        <v>28</v>
      </c>
      <c r="N11" s="66">
        <f t="shared" si="1"/>
        <v>8.56</v>
      </c>
      <c r="O11" s="93" t="s">
        <v>29</v>
      </c>
      <c r="P11" s="94" t="s">
        <v>30</v>
      </c>
      <c r="Q11" s="45" t="s">
        <v>92</v>
      </c>
    </row>
    <row r="12" ht="15.0" customHeight="1">
      <c r="A12" s="84">
        <v>6.0</v>
      </c>
      <c r="B12" s="85" t="s">
        <v>93</v>
      </c>
      <c r="C12" s="85"/>
      <c r="D12" s="95">
        <v>8.06</v>
      </c>
      <c r="E12" s="86">
        <v>7.24</v>
      </c>
      <c r="F12" s="96">
        <v>7.0</v>
      </c>
      <c r="G12" s="88">
        <v>8.57</v>
      </c>
      <c r="H12" s="89">
        <v>7.35</v>
      </c>
      <c r="I12" s="99">
        <v>8.89</v>
      </c>
      <c r="J12" s="91">
        <v>7.81</v>
      </c>
      <c r="K12" s="92" t="s">
        <v>27</v>
      </c>
      <c r="L12" s="53" t="s">
        <v>28</v>
      </c>
      <c r="M12" s="40" t="s">
        <v>28</v>
      </c>
      <c r="N12" s="66">
        <f t="shared" si="1"/>
        <v>7.84</v>
      </c>
      <c r="O12" s="93" t="s">
        <v>29</v>
      </c>
      <c r="P12" s="94" t="s">
        <v>30</v>
      </c>
      <c r="Q12" s="45" t="s">
        <v>94</v>
      </c>
    </row>
    <row r="13" ht="15.0" customHeight="1">
      <c r="A13" s="84">
        <v>7.0</v>
      </c>
      <c r="B13" s="85" t="s">
        <v>95</v>
      </c>
      <c r="C13" s="85"/>
      <c r="D13" s="95">
        <v>8.78</v>
      </c>
      <c r="E13" s="86">
        <v>8.09</v>
      </c>
      <c r="F13" s="96">
        <v>7.01</v>
      </c>
      <c r="G13" s="88">
        <v>8.48</v>
      </c>
      <c r="H13" s="89">
        <v>7.79</v>
      </c>
      <c r="I13" s="90">
        <v>8.8</v>
      </c>
      <c r="J13" s="91">
        <v>8.58</v>
      </c>
      <c r="K13" s="92" t="s">
        <v>27</v>
      </c>
      <c r="L13" s="53" t="s">
        <v>28</v>
      </c>
      <c r="M13" s="40" t="s">
        <v>28</v>
      </c>
      <c r="N13" s="66">
        <f t="shared" si="1"/>
        <v>8.21</v>
      </c>
      <c r="O13" s="93" t="s">
        <v>29</v>
      </c>
      <c r="P13" s="94" t="s">
        <v>30</v>
      </c>
      <c r="Q13" s="45" t="s">
        <v>96</v>
      </c>
    </row>
    <row r="14" ht="15.0" customHeight="1">
      <c r="A14" s="84">
        <v>8.0</v>
      </c>
      <c r="B14" s="101" t="s">
        <v>97</v>
      </c>
      <c r="C14" s="102"/>
      <c r="D14" s="95">
        <v>8.28</v>
      </c>
      <c r="E14" s="86">
        <v>9.13</v>
      </c>
      <c r="F14" s="98">
        <v>7.54</v>
      </c>
      <c r="G14" s="88">
        <v>8.57</v>
      </c>
      <c r="H14" s="89">
        <v>8.44</v>
      </c>
      <c r="I14" s="90">
        <v>9.02</v>
      </c>
      <c r="J14" s="91">
        <v>9.11</v>
      </c>
      <c r="K14" s="92" t="s">
        <v>28</v>
      </c>
      <c r="L14" s="53" t="s">
        <v>28</v>
      </c>
      <c r="M14" s="40" t="s">
        <v>28</v>
      </c>
      <c r="N14" s="66">
        <f t="shared" si="1"/>
        <v>8.58</v>
      </c>
      <c r="O14" s="93" t="s">
        <v>29</v>
      </c>
      <c r="P14" s="94" t="s">
        <v>30</v>
      </c>
    </row>
    <row r="15" ht="15.0" customHeight="1">
      <c r="A15" s="84">
        <v>9.0</v>
      </c>
      <c r="B15" s="85" t="s">
        <v>98</v>
      </c>
      <c r="C15" s="85"/>
      <c r="D15" s="95">
        <v>8.34</v>
      </c>
      <c r="E15" s="86">
        <v>8.08</v>
      </c>
      <c r="F15" s="98">
        <v>7.19</v>
      </c>
      <c r="G15" s="88">
        <v>8.71</v>
      </c>
      <c r="H15" s="89">
        <v>7.93</v>
      </c>
      <c r="I15" s="90">
        <v>9.06</v>
      </c>
      <c r="J15" s="91">
        <v>8.77</v>
      </c>
      <c r="K15" s="92" t="s">
        <v>28</v>
      </c>
      <c r="L15" s="53" t="s">
        <v>28</v>
      </c>
      <c r="M15" s="40" t="s">
        <v>28</v>
      </c>
      <c r="N15" s="66">
        <f t="shared" si="1"/>
        <v>8.29</v>
      </c>
      <c r="O15" s="93" t="s">
        <v>29</v>
      </c>
      <c r="P15" s="94" t="s">
        <v>30</v>
      </c>
    </row>
    <row r="16" ht="15.0" customHeight="1">
      <c r="A16" s="84">
        <v>10.0</v>
      </c>
      <c r="B16" s="85" t="s">
        <v>99</v>
      </c>
      <c r="C16" s="85"/>
      <c r="D16" s="95">
        <v>8.52</v>
      </c>
      <c r="E16" s="86">
        <v>8.34</v>
      </c>
      <c r="F16" s="96">
        <v>7.62</v>
      </c>
      <c r="G16" s="88">
        <v>8.83</v>
      </c>
      <c r="H16" s="89">
        <v>7.96</v>
      </c>
      <c r="I16" s="90">
        <v>8.28</v>
      </c>
      <c r="J16" s="91">
        <v>8.3</v>
      </c>
      <c r="K16" s="92" t="s">
        <v>28</v>
      </c>
      <c r="L16" s="53" t="s">
        <v>28</v>
      </c>
      <c r="M16" s="40" t="s">
        <v>28</v>
      </c>
      <c r="N16" s="66">
        <f t="shared" si="1"/>
        <v>8.26</v>
      </c>
      <c r="O16" s="93" t="s">
        <v>29</v>
      </c>
      <c r="P16" s="94" t="s">
        <v>30</v>
      </c>
    </row>
    <row r="17" ht="15.0" customHeight="1">
      <c r="A17" s="84">
        <v>11.0</v>
      </c>
      <c r="B17" s="85" t="s">
        <v>100</v>
      </c>
      <c r="C17" s="85"/>
      <c r="D17" s="95">
        <v>7.78</v>
      </c>
      <c r="E17" s="86">
        <v>7.72</v>
      </c>
      <c r="F17" s="96">
        <v>7.06</v>
      </c>
      <c r="G17" s="88">
        <v>8.25</v>
      </c>
      <c r="H17" s="89">
        <v>7.57</v>
      </c>
      <c r="I17" s="90">
        <v>9.06</v>
      </c>
      <c r="J17" s="91">
        <v>8.0</v>
      </c>
      <c r="K17" s="92" t="s">
        <v>28</v>
      </c>
      <c r="L17" s="53" t="s">
        <v>35</v>
      </c>
      <c r="M17" s="40" t="s">
        <v>28</v>
      </c>
      <c r="N17" s="66">
        <f t="shared" si="1"/>
        <v>7.92</v>
      </c>
      <c r="O17" s="93" t="s">
        <v>29</v>
      </c>
      <c r="P17" s="94" t="s">
        <v>30</v>
      </c>
    </row>
    <row r="18" ht="15.0" customHeight="1">
      <c r="A18" s="84">
        <v>12.0</v>
      </c>
      <c r="B18" s="85" t="s">
        <v>101</v>
      </c>
      <c r="C18" s="85"/>
      <c r="D18" s="95">
        <v>9.68</v>
      </c>
      <c r="E18" s="86">
        <v>7.37</v>
      </c>
      <c r="F18" s="96">
        <v>7.02</v>
      </c>
      <c r="G18" s="88">
        <v>8.64</v>
      </c>
      <c r="H18" s="89">
        <v>7.17</v>
      </c>
      <c r="I18" s="90">
        <v>8.73</v>
      </c>
      <c r="J18" s="91">
        <v>7.79</v>
      </c>
      <c r="K18" s="92" t="s">
        <v>28</v>
      </c>
      <c r="L18" s="53" t="s">
        <v>28</v>
      </c>
      <c r="M18" s="40" t="s">
        <v>28</v>
      </c>
      <c r="N18" s="66">
        <f t="shared" si="1"/>
        <v>8.05</v>
      </c>
      <c r="O18" s="93" t="s">
        <v>29</v>
      </c>
      <c r="P18" s="94" t="s">
        <v>30</v>
      </c>
    </row>
    <row r="19" ht="15.0" customHeight="1">
      <c r="A19" s="84">
        <v>13.0</v>
      </c>
      <c r="B19" s="85" t="s">
        <v>102</v>
      </c>
      <c r="C19" s="85"/>
      <c r="D19" s="95">
        <v>9.4</v>
      </c>
      <c r="E19" s="86">
        <v>9.69</v>
      </c>
      <c r="F19" s="98">
        <v>9.14</v>
      </c>
      <c r="G19" s="88">
        <v>8.56</v>
      </c>
      <c r="H19" s="89">
        <v>9.37</v>
      </c>
      <c r="I19" s="90">
        <v>8.71</v>
      </c>
      <c r="J19" s="91">
        <v>9.86</v>
      </c>
      <c r="K19" s="92" t="s">
        <v>35</v>
      </c>
      <c r="L19" s="53" t="s">
        <v>35</v>
      </c>
      <c r="M19" s="40" t="s">
        <v>28</v>
      </c>
      <c r="N19" s="66">
        <f t="shared" si="1"/>
        <v>9.24</v>
      </c>
      <c r="O19" s="93" t="s">
        <v>29</v>
      </c>
      <c r="P19" s="94" t="s">
        <v>30</v>
      </c>
    </row>
    <row r="20" ht="15.0" customHeight="1">
      <c r="A20" s="84">
        <v>14.0</v>
      </c>
      <c r="B20" s="85" t="s">
        <v>103</v>
      </c>
      <c r="C20" s="85"/>
      <c r="D20" s="95">
        <v>7.19</v>
      </c>
      <c r="E20" s="86">
        <v>9.57</v>
      </c>
      <c r="F20" s="98">
        <v>9.47</v>
      </c>
      <c r="G20" s="88">
        <v>8.56</v>
      </c>
      <c r="H20" s="89">
        <v>9.03</v>
      </c>
      <c r="I20" s="90">
        <v>8.88</v>
      </c>
      <c r="J20" s="91">
        <v>9.47</v>
      </c>
      <c r="K20" s="92" t="s">
        <v>28</v>
      </c>
      <c r="L20" s="53" t="s">
        <v>35</v>
      </c>
      <c r="M20" s="40" t="s">
        <v>28</v>
      </c>
      <c r="N20" s="66">
        <f t="shared" si="1"/>
        <v>8.88</v>
      </c>
      <c r="O20" s="93" t="s">
        <v>29</v>
      </c>
      <c r="P20" s="94" t="s">
        <v>30</v>
      </c>
    </row>
    <row r="21" ht="15.0" customHeight="1">
      <c r="A21" s="84">
        <v>15.0</v>
      </c>
      <c r="B21" s="85" t="s">
        <v>104</v>
      </c>
      <c r="C21" s="85"/>
      <c r="D21" s="95">
        <v>7.45</v>
      </c>
      <c r="E21" s="86">
        <v>7.09</v>
      </c>
      <c r="F21" s="98">
        <v>7.14</v>
      </c>
      <c r="G21" s="88">
        <v>8.31</v>
      </c>
      <c r="H21" s="89">
        <v>7.0</v>
      </c>
      <c r="I21" s="90">
        <v>8.47</v>
      </c>
      <c r="J21" s="91">
        <v>7.93</v>
      </c>
      <c r="K21" s="92" t="s">
        <v>28</v>
      </c>
      <c r="L21" s="53" t="s">
        <v>27</v>
      </c>
      <c r="M21" s="40" t="s">
        <v>28</v>
      </c>
      <c r="N21" s="66">
        <f t="shared" si="1"/>
        <v>7.62</v>
      </c>
      <c r="O21" s="93" t="s">
        <v>29</v>
      </c>
      <c r="P21" s="94" t="s">
        <v>30</v>
      </c>
    </row>
    <row r="22" ht="15.0" customHeight="1">
      <c r="A22" s="84">
        <v>16.0</v>
      </c>
      <c r="B22" s="85" t="s">
        <v>105</v>
      </c>
      <c r="C22" s="85"/>
      <c r="D22" s="95">
        <v>7.21</v>
      </c>
      <c r="E22" s="86">
        <v>7.25</v>
      </c>
      <c r="F22" s="103">
        <v>4.28</v>
      </c>
      <c r="G22" s="88">
        <v>8.91</v>
      </c>
      <c r="H22" s="89">
        <v>7.72</v>
      </c>
      <c r="I22" s="90">
        <v>8.52</v>
      </c>
      <c r="J22" s="91">
        <v>8.78</v>
      </c>
      <c r="K22" s="92" t="s">
        <v>27</v>
      </c>
      <c r="L22" s="53" t="s">
        <v>35</v>
      </c>
      <c r="M22" s="40" t="s">
        <v>28</v>
      </c>
      <c r="N22" s="66">
        <f t="shared" si="1"/>
        <v>7.52</v>
      </c>
      <c r="O22" s="93" t="s">
        <v>29</v>
      </c>
      <c r="P22" s="104" t="s">
        <v>44</v>
      </c>
    </row>
    <row r="23" ht="15.0" customHeight="1">
      <c r="A23" s="84">
        <v>17.0</v>
      </c>
      <c r="B23" s="85" t="s">
        <v>106</v>
      </c>
      <c r="C23" s="85"/>
      <c r="D23" s="95">
        <v>9.55</v>
      </c>
      <c r="E23" s="86">
        <v>7.64</v>
      </c>
      <c r="F23" s="103">
        <v>5.14</v>
      </c>
      <c r="G23" s="88">
        <v>9.01</v>
      </c>
      <c r="H23" s="89">
        <v>7.03</v>
      </c>
      <c r="I23" s="90">
        <v>8.92</v>
      </c>
      <c r="J23" s="91">
        <v>8.19</v>
      </c>
      <c r="K23" s="92" t="s">
        <v>28</v>
      </c>
      <c r="L23" s="53" t="s">
        <v>27</v>
      </c>
      <c r="M23" s="40" t="s">
        <v>28</v>
      </c>
      <c r="N23" s="66">
        <f t="shared" si="1"/>
        <v>7.92</v>
      </c>
      <c r="O23" s="93" t="s">
        <v>29</v>
      </c>
      <c r="P23" s="104" t="s">
        <v>44</v>
      </c>
    </row>
    <row r="24" ht="15.0" customHeight="1">
      <c r="A24" s="84">
        <v>18.0</v>
      </c>
      <c r="B24" s="85" t="s">
        <v>107</v>
      </c>
      <c r="C24" s="85"/>
      <c r="D24" s="95">
        <v>7.45</v>
      </c>
      <c r="E24" s="86">
        <v>9.57</v>
      </c>
      <c r="F24" s="96">
        <v>8.12</v>
      </c>
      <c r="G24" s="88">
        <v>8.73</v>
      </c>
      <c r="H24" s="89">
        <v>9.45</v>
      </c>
      <c r="I24" s="90">
        <v>9.99</v>
      </c>
      <c r="J24" s="91">
        <v>9.89</v>
      </c>
      <c r="K24" s="92" t="s">
        <v>28</v>
      </c>
      <c r="L24" s="53" t="s">
        <v>28</v>
      </c>
      <c r="M24" s="40" t="s">
        <v>28</v>
      </c>
      <c r="N24" s="66">
        <f t="shared" si="1"/>
        <v>9.02</v>
      </c>
      <c r="O24" s="93" t="s">
        <v>29</v>
      </c>
      <c r="P24" s="94" t="s">
        <v>30</v>
      </c>
    </row>
    <row r="25" ht="15.0" customHeight="1">
      <c r="A25" s="84">
        <v>19.0</v>
      </c>
      <c r="B25" s="85" t="s">
        <v>108</v>
      </c>
      <c r="C25" s="85"/>
      <c r="D25" s="95">
        <v>7.01</v>
      </c>
      <c r="E25" s="86">
        <v>8.75</v>
      </c>
      <c r="F25" s="96">
        <v>7.0</v>
      </c>
      <c r="G25" s="88">
        <v>9.04</v>
      </c>
      <c r="H25" s="89">
        <v>7.67</v>
      </c>
      <c r="I25" s="90">
        <v>8.8</v>
      </c>
      <c r="J25" s="97">
        <v>7.89</v>
      </c>
      <c r="K25" s="92" t="s">
        <v>28</v>
      </c>
      <c r="L25" s="53" t="s">
        <v>28</v>
      </c>
      <c r="M25" s="40" t="s">
        <v>28</v>
      </c>
      <c r="N25" s="66">
        <f t="shared" si="1"/>
        <v>8.02</v>
      </c>
      <c r="O25" s="93" t="s">
        <v>29</v>
      </c>
      <c r="P25" s="94" t="s">
        <v>30</v>
      </c>
    </row>
    <row r="26" ht="15.0" customHeight="1">
      <c r="A26" s="84">
        <v>20.0</v>
      </c>
      <c r="B26" s="85" t="s">
        <v>109</v>
      </c>
      <c r="C26" s="85"/>
      <c r="D26" s="95">
        <v>7.0</v>
      </c>
      <c r="E26" s="105">
        <v>7.29</v>
      </c>
      <c r="F26" s="98">
        <v>7.0</v>
      </c>
      <c r="G26" s="88">
        <v>8.79</v>
      </c>
      <c r="H26" s="89">
        <v>7.19</v>
      </c>
      <c r="I26" s="90">
        <v>8.78</v>
      </c>
      <c r="J26" s="91">
        <v>7.72</v>
      </c>
      <c r="K26" s="92" t="s">
        <v>28</v>
      </c>
      <c r="L26" s="53" t="s">
        <v>28</v>
      </c>
      <c r="M26" s="40" t="s">
        <v>28</v>
      </c>
      <c r="N26" s="66">
        <f t="shared" si="1"/>
        <v>7.68</v>
      </c>
      <c r="O26" s="93" t="s">
        <v>29</v>
      </c>
      <c r="P26" s="94" t="s">
        <v>30</v>
      </c>
    </row>
    <row r="27" ht="15.0" customHeight="1">
      <c r="A27" s="84">
        <v>21.0</v>
      </c>
      <c r="B27" s="85" t="s">
        <v>110</v>
      </c>
      <c r="C27" s="85"/>
      <c r="D27" s="95">
        <v>8.89</v>
      </c>
      <c r="E27" s="86">
        <v>7.0</v>
      </c>
      <c r="F27" s="96">
        <v>7.07</v>
      </c>
      <c r="G27" s="88">
        <v>8.78</v>
      </c>
      <c r="H27" s="89">
        <v>7.14</v>
      </c>
      <c r="I27" s="90">
        <v>8.44</v>
      </c>
      <c r="J27" s="97">
        <v>7.02</v>
      </c>
      <c r="K27" s="92" t="s">
        <v>27</v>
      </c>
      <c r="L27" s="53" t="s">
        <v>28</v>
      </c>
      <c r="M27" s="40" t="s">
        <v>28</v>
      </c>
      <c r="N27" s="66">
        <f t="shared" si="1"/>
        <v>7.76</v>
      </c>
      <c r="O27" s="93" t="s">
        <v>29</v>
      </c>
      <c r="P27" s="94" t="s">
        <v>30</v>
      </c>
    </row>
    <row r="28" ht="15.0" customHeight="1">
      <c r="A28" s="84">
        <v>22.0</v>
      </c>
      <c r="B28" s="85" t="s">
        <v>111</v>
      </c>
      <c r="C28" s="85"/>
      <c r="D28" s="95">
        <v>8.55</v>
      </c>
      <c r="E28" s="86">
        <v>8.08</v>
      </c>
      <c r="F28" s="96">
        <v>7.86</v>
      </c>
      <c r="G28" s="88">
        <v>8.6</v>
      </c>
      <c r="H28" s="89">
        <v>7.86</v>
      </c>
      <c r="I28" s="90">
        <v>8.81</v>
      </c>
      <c r="J28" s="91">
        <v>8.79</v>
      </c>
      <c r="K28" s="92" t="s">
        <v>28</v>
      </c>
      <c r="L28" s="53" t="s">
        <v>27</v>
      </c>
      <c r="M28" s="40" t="s">
        <v>28</v>
      </c>
      <c r="N28" s="66">
        <f t="shared" si="1"/>
        <v>8.36</v>
      </c>
      <c r="O28" s="93" t="s">
        <v>29</v>
      </c>
      <c r="P28" s="94" t="s">
        <v>30</v>
      </c>
    </row>
    <row r="29" ht="15.0" customHeight="1">
      <c r="A29" s="84">
        <v>23.0</v>
      </c>
      <c r="B29" s="85" t="s">
        <v>112</v>
      </c>
      <c r="C29" s="85"/>
      <c r="D29" s="95">
        <v>8.83</v>
      </c>
      <c r="E29" s="86">
        <v>9.29</v>
      </c>
      <c r="F29" s="98">
        <v>7.86</v>
      </c>
      <c r="G29" s="88">
        <v>8.43</v>
      </c>
      <c r="H29" s="89">
        <v>8.73</v>
      </c>
      <c r="I29" s="90">
        <v>8.43</v>
      </c>
      <c r="J29" s="91">
        <v>8.38</v>
      </c>
      <c r="K29" s="92" t="s">
        <v>28</v>
      </c>
      <c r="L29" s="53" t="s">
        <v>28</v>
      </c>
      <c r="M29" s="40" t="s">
        <v>28</v>
      </c>
      <c r="N29" s="66">
        <f t="shared" si="1"/>
        <v>8.56</v>
      </c>
      <c r="O29" s="93" t="s">
        <v>29</v>
      </c>
      <c r="P29" s="94" t="s">
        <v>30</v>
      </c>
    </row>
    <row r="30" ht="18.0" customHeight="1">
      <c r="A30" s="84">
        <v>24.0</v>
      </c>
      <c r="B30" s="101" t="s">
        <v>113</v>
      </c>
      <c r="C30" s="102"/>
      <c r="D30" s="95">
        <v>8.68</v>
      </c>
      <c r="E30" s="86">
        <v>8.18</v>
      </c>
      <c r="F30" s="98">
        <v>7.86</v>
      </c>
      <c r="G30" s="88">
        <v>8.43</v>
      </c>
      <c r="H30" s="89">
        <v>8.25</v>
      </c>
      <c r="I30" s="90">
        <v>9.02</v>
      </c>
      <c r="J30" s="91">
        <v>9.2</v>
      </c>
      <c r="K30" s="92" t="s">
        <v>28</v>
      </c>
      <c r="L30" s="53" t="s">
        <v>35</v>
      </c>
      <c r="M30" s="40" t="s">
        <v>28</v>
      </c>
      <c r="N30" s="66">
        <f t="shared" si="1"/>
        <v>8.51</v>
      </c>
      <c r="O30" s="93" t="s">
        <v>29</v>
      </c>
      <c r="P30" s="94" t="s">
        <v>30</v>
      </c>
    </row>
    <row r="31" ht="18.0" customHeight="1">
      <c r="A31" s="84">
        <v>25.0</v>
      </c>
      <c r="B31" s="101" t="s">
        <v>114</v>
      </c>
      <c r="C31" s="102"/>
      <c r="D31" s="95">
        <v>8.75</v>
      </c>
      <c r="E31" s="105">
        <v>8.8</v>
      </c>
      <c r="F31" s="98">
        <v>8.11</v>
      </c>
      <c r="G31" s="88">
        <v>8.67</v>
      </c>
      <c r="H31" s="89">
        <v>8.42</v>
      </c>
      <c r="I31" s="90">
        <v>8.84</v>
      </c>
      <c r="J31" s="91">
        <v>8.85</v>
      </c>
      <c r="K31" s="92" t="s">
        <v>28</v>
      </c>
      <c r="L31" s="53" t="s">
        <v>35</v>
      </c>
      <c r="M31" s="40" t="s">
        <v>28</v>
      </c>
      <c r="N31" s="66">
        <f t="shared" si="1"/>
        <v>8.63</v>
      </c>
      <c r="O31" s="93" t="s">
        <v>115</v>
      </c>
      <c r="P31" s="94" t="s">
        <v>30</v>
      </c>
    </row>
    <row r="32" ht="15.0" customHeight="1">
      <c r="A32" s="84">
        <v>26.0</v>
      </c>
      <c r="B32" s="101" t="s">
        <v>116</v>
      </c>
      <c r="C32" s="102"/>
      <c r="D32" s="95">
        <v>7.67</v>
      </c>
      <c r="E32" s="86">
        <v>8.06</v>
      </c>
      <c r="F32" s="96">
        <v>7.48</v>
      </c>
      <c r="G32" s="88">
        <v>9.4</v>
      </c>
      <c r="H32" s="89">
        <v>8.63</v>
      </c>
      <c r="I32" s="90">
        <v>8.91</v>
      </c>
      <c r="J32" s="91">
        <v>9.13</v>
      </c>
      <c r="K32" s="92" t="s">
        <v>28</v>
      </c>
      <c r="L32" s="53" t="s">
        <v>35</v>
      </c>
      <c r="M32" s="40" t="s">
        <v>28</v>
      </c>
      <c r="N32" s="66">
        <f t="shared" si="1"/>
        <v>8.46</v>
      </c>
      <c r="O32" s="93" t="s">
        <v>29</v>
      </c>
      <c r="P32" s="94" t="s">
        <v>30</v>
      </c>
    </row>
    <row r="33" ht="15.0" customHeight="1">
      <c r="A33" s="84">
        <v>27.0</v>
      </c>
      <c r="B33" s="85" t="s">
        <v>117</v>
      </c>
      <c r="C33" s="85"/>
      <c r="D33" s="95">
        <v>9.67</v>
      </c>
      <c r="E33" s="86">
        <v>8.06</v>
      </c>
      <c r="F33" s="96">
        <v>7.0</v>
      </c>
      <c r="G33" s="88">
        <v>8.45</v>
      </c>
      <c r="H33" s="89">
        <v>7.28</v>
      </c>
      <c r="I33" s="90">
        <v>8.98</v>
      </c>
      <c r="J33" s="91">
        <v>8.21</v>
      </c>
      <c r="K33" s="92" t="s">
        <v>28</v>
      </c>
      <c r="L33" s="53" t="s">
        <v>28</v>
      </c>
      <c r="M33" s="40" t="s">
        <v>28</v>
      </c>
      <c r="N33" s="66">
        <f t="shared" si="1"/>
        <v>8.23</v>
      </c>
      <c r="O33" s="93" t="s">
        <v>29</v>
      </c>
      <c r="P33" s="94" t="s">
        <v>30</v>
      </c>
    </row>
    <row r="34" ht="15.0" customHeight="1">
      <c r="A34" s="84">
        <v>28.0</v>
      </c>
      <c r="B34" s="85" t="s">
        <v>118</v>
      </c>
      <c r="C34" s="85"/>
      <c r="D34" s="95">
        <v>7.54</v>
      </c>
      <c r="E34" s="86">
        <v>9.43</v>
      </c>
      <c r="F34" s="98">
        <v>8.58</v>
      </c>
      <c r="G34" s="88">
        <v>8.64</v>
      </c>
      <c r="H34" s="89">
        <v>9.09</v>
      </c>
      <c r="I34" s="90">
        <v>8.96</v>
      </c>
      <c r="J34" s="91">
        <v>9.69</v>
      </c>
      <c r="K34" s="92" t="s">
        <v>28</v>
      </c>
      <c r="L34" s="53" t="s">
        <v>35</v>
      </c>
      <c r="M34" s="40" t="s">
        <v>28</v>
      </c>
      <c r="N34" s="66">
        <f t="shared" si="1"/>
        <v>8.84</v>
      </c>
      <c r="O34" s="93" t="s">
        <v>29</v>
      </c>
      <c r="P34" s="94" t="s">
        <v>30</v>
      </c>
    </row>
    <row r="35" ht="15.0" customHeight="1">
      <c r="A35" s="84">
        <v>29.0</v>
      </c>
      <c r="B35" s="85" t="s">
        <v>119</v>
      </c>
      <c r="C35" s="85"/>
      <c r="D35" s="95">
        <v>8.11</v>
      </c>
      <c r="E35" s="86">
        <v>7.5</v>
      </c>
      <c r="F35" s="98">
        <v>7.04</v>
      </c>
      <c r="G35" s="88">
        <v>7.98</v>
      </c>
      <c r="H35" s="89">
        <v>7.84</v>
      </c>
      <c r="I35" s="90">
        <v>8.74</v>
      </c>
      <c r="J35" s="91">
        <v>7.89</v>
      </c>
      <c r="K35" s="92" t="s">
        <v>27</v>
      </c>
      <c r="L35" s="53" t="s">
        <v>27</v>
      </c>
      <c r="M35" s="40" t="s">
        <v>28</v>
      </c>
      <c r="N35" s="66">
        <f t="shared" si="1"/>
        <v>7.87</v>
      </c>
      <c r="O35" s="93" t="s">
        <v>29</v>
      </c>
      <c r="P35" s="94" t="s">
        <v>30</v>
      </c>
    </row>
    <row r="36" ht="15.0" customHeight="1">
      <c r="A36" s="84">
        <v>30.0</v>
      </c>
      <c r="B36" s="85" t="s">
        <v>120</v>
      </c>
      <c r="C36" s="85"/>
      <c r="D36" s="95">
        <v>9.7</v>
      </c>
      <c r="E36" s="86">
        <v>8.69</v>
      </c>
      <c r="F36" s="96">
        <v>7.0</v>
      </c>
      <c r="G36" s="88">
        <v>8.44</v>
      </c>
      <c r="H36" s="89">
        <v>8.04</v>
      </c>
      <c r="I36" s="90">
        <v>8.79</v>
      </c>
      <c r="J36" s="91">
        <v>8.88</v>
      </c>
      <c r="K36" s="92" t="s">
        <v>28</v>
      </c>
      <c r="L36" s="53" t="s">
        <v>35</v>
      </c>
      <c r="M36" s="40" t="s">
        <v>28</v>
      </c>
      <c r="N36" s="66">
        <f t="shared" si="1"/>
        <v>8.5</v>
      </c>
      <c r="O36" s="93" t="s">
        <v>29</v>
      </c>
      <c r="P36" s="94" t="s">
        <v>30</v>
      </c>
    </row>
    <row r="37" ht="15.0" customHeight="1">
      <c r="A37" s="84">
        <v>31.0</v>
      </c>
      <c r="B37" s="85" t="s">
        <v>121</v>
      </c>
      <c r="C37" s="85"/>
      <c r="D37" s="95">
        <v>7.19</v>
      </c>
      <c r="E37" s="86">
        <v>9.34</v>
      </c>
      <c r="F37" s="98">
        <v>9.21</v>
      </c>
      <c r="G37" s="88">
        <v>9.06</v>
      </c>
      <c r="H37" s="89">
        <v>9.11</v>
      </c>
      <c r="I37" s="90">
        <v>8.67</v>
      </c>
      <c r="J37" s="91">
        <v>9.36</v>
      </c>
      <c r="K37" s="92" t="s">
        <v>35</v>
      </c>
      <c r="L37" s="53" t="s">
        <v>35</v>
      </c>
      <c r="M37" s="40" t="s">
        <v>28</v>
      </c>
      <c r="N37" s="66">
        <f t="shared" si="1"/>
        <v>8.84</v>
      </c>
      <c r="O37" s="93" t="s">
        <v>29</v>
      </c>
      <c r="P37" s="94" t="s">
        <v>30</v>
      </c>
    </row>
    <row r="38" ht="15.0" customHeight="1">
      <c r="A38" s="84">
        <v>32.0</v>
      </c>
      <c r="B38" s="85" t="s">
        <v>122</v>
      </c>
      <c r="C38" s="85"/>
      <c r="D38" s="95">
        <v>7.89</v>
      </c>
      <c r="E38" s="86">
        <v>7.05</v>
      </c>
      <c r="F38" s="96">
        <v>7.02</v>
      </c>
      <c r="G38" s="88">
        <v>9.22</v>
      </c>
      <c r="H38" s="89">
        <v>7.0</v>
      </c>
      <c r="I38" s="90">
        <v>8.53</v>
      </c>
      <c r="J38" s="91">
        <v>7.03</v>
      </c>
      <c r="K38" s="92" t="s">
        <v>27</v>
      </c>
      <c r="L38" s="53" t="s">
        <v>28</v>
      </c>
      <c r="M38" s="40" t="s">
        <v>28</v>
      </c>
      <c r="N38" s="66">
        <f t="shared" si="1"/>
        <v>7.67</v>
      </c>
      <c r="O38" s="93" t="s">
        <v>29</v>
      </c>
      <c r="P38" s="94" t="s">
        <v>30</v>
      </c>
    </row>
    <row r="39" ht="15.0" customHeight="1">
      <c r="A39" s="84">
        <v>33.0</v>
      </c>
      <c r="B39" s="101" t="s">
        <v>123</v>
      </c>
      <c r="C39" s="102"/>
      <c r="D39" s="95">
        <v>7.0</v>
      </c>
      <c r="E39" s="86">
        <v>7.0</v>
      </c>
      <c r="F39" s="96">
        <v>7.0</v>
      </c>
      <c r="G39" s="88">
        <v>8.52</v>
      </c>
      <c r="H39" s="89">
        <v>7.0</v>
      </c>
      <c r="I39" s="90">
        <v>8.35</v>
      </c>
      <c r="J39" s="91">
        <v>7.57</v>
      </c>
      <c r="K39" s="92" t="s">
        <v>28</v>
      </c>
      <c r="L39" s="53" t="s">
        <v>28</v>
      </c>
      <c r="M39" s="40" t="s">
        <v>28</v>
      </c>
      <c r="N39" s="66">
        <f t="shared" si="1"/>
        <v>7.49</v>
      </c>
      <c r="O39" s="93" t="s">
        <v>29</v>
      </c>
      <c r="P39" s="94" t="s">
        <v>30</v>
      </c>
    </row>
    <row r="40" ht="15.0" customHeight="1">
      <c r="A40" s="84">
        <v>34.0</v>
      </c>
      <c r="B40" s="85" t="s">
        <v>124</v>
      </c>
      <c r="C40" s="85"/>
      <c r="D40" s="95">
        <v>8.93</v>
      </c>
      <c r="E40" s="86">
        <v>7.0</v>
      </c>
      <c r="F40" s="98">
        <v>7.0</v>
      </c>
      <c r="G40" s="88">
        <v>9.62</v>
      </c>
      <c r="H40" s="89">
        <v>7.02</v>
      </c>
      <c r="I40" s="90">
        <v>8.62</v>
      </c>
      <c r="J40" s="91">
        <v>7.19</v>
      </c>
      <c r="K40" s="92" t="s">
        <v>27</v>
      </c>
      <c r="L40" s="53" t="s">
        <v>28</v>
      </c>
      <c r="M40" s="40" t="s">
        <v>28</v>
      </c>
      <c r="N40" s="66">
        <f t="shared" si="1"/>
        <v>7.91</v>
      </c>
      <c r="O40" s="93" t="s">
        <v>29</v>
      </c>
      <c r="P40" s="94" t="s">
        <v>30</v>
      </c>
    </row>
    <row r="41" ht="15.0" customHeight="1">
      <c r="A41" s="84">
        <v>35.0</v>
      </c>
      <c r="B41" s="85" t="s">
        <v>125</v>
      </c>
      <c r="C41" s="85"/>
      <c r="D41" s="95">
        <v>9.84</v>
      </c>
      <c r="E41" s="105">
        <v>7.72</v>
      </c>
      <c r="F41" s="98">
        <v>8.07</v>
      </c>
      <c r="G41" s="88">
        <v>8.76</v>
      </c>
      <c r="H41" s="89">
        <v>7.86</v>
      </c>
      <c r="I41" s="90">
        <v>8.95</v>
      </c>
      <c r="J41" s="91">
        <v>9.1</v>
      </c>
      <c r="K41" s="92" t="s">
        <v>28</v>
      </c>
      <c r="L41" s="53" t="s">
        <v>35</v>
      </c>
      <c r="M41" s="40" t="s">
        <v>28</v>
      </c>
      <c r="N41" s="66">
        <f t="shared" si="1"/>
        <v>8.61</v>
      </c>
      <c r="O41" s="93" t="s">
        <v>29</v>
      </c>
      <c r="P41" s="94" t="s">
        <v>30</v>
      </c>
    </row>
    <row r="42" ht="14.25" customHeight="1">
      <c r="A42" s="10">
        <v>36.0</v>
      </c>
      <c r="B42" s="85" t="s">
        <v>126</v>
      </c>
      <c r="C42" s="85"/>
      <c r="D42" s="95">
        <v>9.55</v>
      </c>
      <c r="E42" s="105">
        <v>9.56</v>
      </c>
      <c r="F42" s="96">
        <v>9.42</v>
      </c>
      <c r="G42" s="88">
        <v>9.7</v>
      </c>
      <c r="H42" s="89">
        <v>8.97</v>
      </c>
      <c r="I42" s="90">
        <v>9.08</v>
      </c>
      <c r="J42" s="91" t="s">
        <v>127</v>
      </c>
      <c r="K42" s="92" t="s">
        <v>35</v>
      </c>
      <c r="L42" s="53" t="s">
        <v>35</v>
      </c>
      <c r="M42" s="40" t="s">
        <v>28</v>
      </c>
      <c r="N42" s="66">
        <f t="shared" si="1"/>
        <v>9.38</v>
      </c>
      <c r="O42" s="93" t="s">
        <v>29</v>
      </c>
      <c r="P42" s="94" t="s">
        <v>30</v>
      </c>
    </row>
    <row r="43" ht="14.25" customHeight="1">
      <c r="B43" s="10" t="s">
        <v>73</v>
      </c>
      <c r="D43" s="106">
        <f t="shared" ref="D43:I43" si="2">AVERAGE(D6:D42)</f>
        <v>8.369722222</v>
      </c>
      <c r="E43" s="60">
        <f t="shared" si="2"/>
        <v>8.272777778</v>
      </c>
      <c r="F43" s="107">
        <f t="shared" si="2"/>
        <v>7.569166667</v>
      </c>
      <c r="G43" s="108">
        <f t="shared" si="2"/>
        <v>8.750833333</v>
      </c>
      <c r="H43" s="109">
        <f t="shared" si="2"/>
        <v>8.051666667</v>
      </c>
      <c r="I43" s="110">
        <f t="shared" si="2"/>
        <v>8.8475</v>
      </c>
      <c r="J43" s="111">
        <v>9.67</v>
      </c>
      <c r="K43" s="65"/>
      <c r="L43" s="112"/>
      <c r="M43" s="65"/>
      <c r="N43" s="109">
        <f>AVERAGE(N6:N42)</f>
        <v>8.3475</v>
      </c>
      <c r="O43" s="65"/>
    </row>
    <row r="44" ht="14.25" customHeight="1"/>
    <row r="45" ht="14.25" customHeight="1">
      <c r="B45" s="67" t="s">
        <v>74</v>
      </c>
      <c r="C45" s="68"/>
      <c r="D45" s="69" t="s">
        <v>75</v>
      </c>
      <c r="E45" s="70"/>
      <c r="F45" s="70"/>
      <c r="G45" s="71"/>
      <c r="H45" s="72"/>
      <c r="I45" s="69" t="s">
        <v>128</v>
      </c>
      <c r="J45" s="70"/>
      <c r="K45" s="70"/>
      <c r="L45" s="70"/>
      <c r="M45" s="71"/>
    </row>
    <row r="46" ht="14.25" customHeight="1">
      <c r="B46" s="67" t="s">
        <v>77</v>
      </c>
      <c r="C46" s="68"/>
      <c r="D46" s="69" t="s">
        <v>78</v>
      </c>
      <c r="E46" s="70"/>
      <c r="F46" s="70"/>
      <c r="G46" s="70"/>
      <c r="H46" s="71"/>
      <c r="I46" s="69" t="s">
        <v>129</v>
      </c>
      <c r="J46" s="70"/>
      <c r="K46" s="70"/>
      <c r="L46" s="71"/>
      <c r="M46" s="10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2">
    <mergeCell ref="D45:G45"/>
    <mergeCell ref="I45:M45"/>
    <mergeCell ref="B46:C46"/>
    <mergeCell ref="D46:H46"/>
    <mergeCell ref="I46:L46"/>
    <mergeCell ref="A1:P1"/>
    <mergeCell ref="B2:P2"/>
    <mergeCell ref="C3:E3"/>
    <mergeCell ref="I3:J3"/>
    <mergeCell ref="K3:N3"/>
    <mergeCell ref="I4:J4"/>
    <mergeCell ref="B45:C45"/>
  </mergeCells>
  <conditionalFormatting sqref="D7:J42">
    <cfRule type="cellIs" dxfId="1" priority="1" operator="lessThan">
      <formula>7</formula>
    </cfRule>
  </conditionalFormatting>
  <conditionalFormatting sqref="D7:J42">
    <cfRule type="cellIs" dxfId="1" priority="2" operator="lessThan">
      <formula>6.29</formula>
    </cfRule>
  </conditionalFormatting>
  <conditionalFormatting sqref="N7:N42">
    <cfRule type="cellIs" dxfId="4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scale="6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19.29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113" t="s">
        <v>130</v>
      </c>
    </row>
    <row r="2" ht="14.25" customHeight="1">
      <c r="A2" s="2"/>
      <c r="B2" s="3" t="s">
        <v>1</v>
      </c>
    </row>
    <row r="3" ht="14.25" customHeight="1">
      <c r="B3" s="75" t="s">
        <v>131</v>
      </c>
      <c r="C3" s="5" t="s">
        <v>132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76" t="s">
        <v>133</v>
      </c>
      <c r="E4" s="6"/>
      <c r="F4" s="6"/>
      <c r="G4" s="6"/>
      <c r="H4" s="6"/>
      <c r="I4" s="7" t="s">
        <v>8</v>
      </c>
      <c r="K4" s="11" t="s">
        <v>9</v>
      </c>
      <c r="M4" s="6"/>
    </row>
    <row r="5" ht="10.5" customHeight="1">
      <c r="B5" s="12"/>
      <c r="C5" s="12"/>
      <c r="D5" s="9"/>
      <c r="E5" s="9"/>
      <c r="F5" s="9"/>
      <c r="G5" s="9"/>
      <c r="H5" s="9"/>
      <c r="I5" s="9"/>
      <c r="J5" s="9"/>
      <c r="K5" s="9"/>
      <c r="L5" s="9"/>
      <c r="M5" s="9"/>
    </row>
    <row r="6" ht="157.5" customHeight="1">
      <c r="A6" s="77" t="s">
        <v>10</v>
      </c>
      <c r="B6" s="15" t="s">
        <v>11</v>
      </c>
      <c r="C6" s="78"/>
      <c r="D6" s="16" t="s">
        <v>12</v>
      </c>
      <c r="E6" s="17" t="s">
        <v>13</v>
      </c>
      <c r="F6" s="18" t="s">
        <v>14</v>
      </c>
      <c r="G6" s="114" t="s">
        <v>15</v>
      </c>
      <c r="H6" s="20" t="s">
        <v>16</v>
      </c>
      <c r="I6" s="79" t="s">
        <v>84</v>
      </c>
      <c r="J6" s="22" t="s">
        <v>18</v>
      </c>
      <c r="K6" s="80" t="s">
        <v>85</v>
      </c>
      <c r="L6" s="24" t="s">
        <v>20</v>
      </c>
      <c r="M6" s="115" t="s">
        <v>21</v>
      </c>
      <c r="N6" s="81" t="s">
        <v>22</v>
      </c>
      <c r="O6" s="82" t="s">
        <v>23</v>
      </c>
      <c r="P6" s="83" t="s">
        <v>24</v>
      </c>
    </row>
    <row r="7" ht="14.25" customHeight="1">
      <c r="A7" s="84">
        <v>1.0</v>
      </c>
      <c r="B7" s="85" t="s">
        <v>134</v>
      </c>
      <c r="C7" s="85"/>
      <c r="D7" s="116">
        <v>8.76</v>
      </c>
      <c r="E7" s="86">
        <v>8.45</v>
      </c>
      <c r="F7" s="117">
        <v>8.92</v>
      </c>
      <c r="G7" s="118">
        <v>9.36</v>
      </c>
      <c r="H7" s="119">
        <v>8.6</v>
      </c>
      <c r="I7" s="120">
        <v>9.37</v>
      </c>
      <c r="J7" s="91">
        <v>8.86</v>
      </c>
      <c r="K7" s="92" t="s">
        <v>27</v>
      </c>
      <c r="L7" s="121" t="s">
        <v>28</v>
      </c>
      <c r="M7" s="122" t="s">
        <v>28</v>
      </c>
      <c r="N7" s="66">
        <f t="shared" ref="N7:N47" si="1">TRUNC(AVERAGE(D7:J7),2)</f>
        <v>8.9</v>
      </c>
      <c r="O7" s="93" t="s">
        <v>29</v>
      </c>
      <c r="P7" s="43" t="s">
        <v>30</v>
      </c>
    </row>
    <row r="8" ht="15.0" customHeight="1">
      <c r="A8" s="84">
        <v>2.0</v>
      </c>
      <c r="B8" s="85" t="s">
        <v>135</v>
      </c>
      <c r="C8" s="85"/>
      <c r="D8" s="116">
        <v>8.94</v>
      </c>
      <c r="E8" s="86">
        <v>8.58</v>
      </c>
      <c r="F8" s="123">
        <v>8.17</v>
      </c>
      <c r="G8" s="118">
        <v>8.67</v>
      </c>
      <c r="H8" s="124">
        <v>8.64</v>
      </c>
      <c r="I8" s="120">
        <v>8.51</v>
      </c>
      <c r="J8" s="91">
        <v>8.72</v>
      </c>
      <c r="K8" s="92" t="s">
        <v>27</v>
      </c>
      <c r="L8" s="121" t="s">
        <v>28</v>
      </c>
      <c r="M8" s="122" t="s">
        <v>28</v>
      </c>
      <c r="N8" s="66">
        <f t="shared" si="1"/>
        <v>8.6</v>
      </c>
      <c r="O8" s="93" t="s">
        <v>29</v>
      </c>
      <c r="P8" s="43" t="s">
        <v>30</v>
      </c>
    </row>
    <row r="9" ht="15.0" customHeight="1">
      <c r="A9" s="84">
        <v>3.0</v>
      </c>
      <c r="B9" s="85" t="s">
        <v>136</v>
      </c>
      <c r="C9" s="85"/>
      <c r="D9" s="116">
        <v>8.33</v>
      </c>
      <c r="E9" s="86">
        <v>7.22</v>
      </c>
      <c r="F9" s="117">
        <v>7.21</v>
      </c>
      <c r="G9" s="118">
        <v>8.36</v>
      </c>
      <c r="H9" s="124">
        <v>8.78</v>
      </c>
      <c r="I9" s="120">
        <v>8.26</v>
      </c>
      <c r="J9" s="91">
        <v>8.48</v>
      </c>
      <c r="K9" s="92" t="s">
        <v>27</v>
      </c>
      <c r="L9" s="121" t="s">
        <v>27</v>
      </c>
      <c r="M9" s="122" t="s">
        <v>27</v>
      </c>
      <c r="N9" s="66">
        <f t="shared" si="1"/>
        <v>8.09</v>
      </c>
      <c r="O9" s="93" t="s">
        <v>137</v>
      </c>
      <c r="P9" s="43" t="s">
        <v>30</v>
      </c>
    </row>
    <row r="10" ht="15.0" customHeight="1">
      <c r="A10" s="84">
        <v>4.0</v>
      </c>
      <c r="B10" s="85" t="s">
        <v>138</v>
      </c>
      <c r="C10" s="85"/>
      <c r="D10" s="116">
        <v>8.82</v>
      </c>
      <c r="E10" s="105">
        <v>8.6</v>
      </c>
      <c r="F10" s="117">
        <v>8.22</v>
      </c>
      <c r="G10" s="118">
        <v>8.43</v>
      </c>
      <c r="H10" s="124">
        <v>8.68</v>
      </c>
      <c r="I10" s="120">
        <v>8.65</v>
      </c>
      <c r="J10" s="91">
        <v>8.5</v>
      </c>
      <c r="K10" s="92" t="s">
        <v>27</v>
      </c>
      <c r="L10" s="121" t="s">
        <v>28</v>
      </c>
      <c r="M10" s="122" t="s">
        <v>28</v>
      </c>
      <c r="N10" s="66">
        <f t="shared" si="1"/>
        <v>8.55</v>
      </c>
      <c r="O10" s="93" t="s">
        <v>29</v>
      </c>
      <c r="P10" s="43" t="s">
        <v>30</v>
      </c>
    </row>
    <row r="11" ht="15.0" customHeight="1">
      <c r="A11" s="84">
        <v>5.0</v>
      </c>
      <c r="B11" s="85" t="s">
        <v>139</v>
      </c>
      <c r="C11" s="85"/>
      <c r="D11" s="116">
        <v>7.41</v>
      </c>
      <c r="E11" s="86">
        <v>7.0</v>
      </c>
      <c r="F11" s="117">
        <v>7.0</v>
      </c>
      <c r="G11" s="118">
        <v>8.03</v>
      </c>
      <c r="H11" s="124">
        <v>7.24</v>
      </c>
      <c r="I11" s="120">
        <v>7.73</v>
      </c>
      <c r="J11" s="91">
        <v>7.79</v>
      </c>
      <c r="K11" s="92" t="s">
        <v>27</v>
      </c>
      <c r="L11" s="121" t="s">
        <v>27</v>
      </c>
      <c r="M11" s="122" t="s">
        <v>27</v>
      </c>
      <c r="N11" s="66">
        <f t="shared" si="1"/>
        <v>7.45</v>
      </c>
      <c r="O11" s="93" t="s">
        <v>29</v>
      </c>
      <c r="P11" s="43" t="s">
        <v>30</v>
      </c>
    </row>
    <row r="12" ht="15.0" customHeight="1">
      <c r="A12" s="84">
        <v>6.0</v>
      </c>
      <c r="B12" s="85" t="s">
        <v>140</v>
      </c>
      <c r="C12" s="85"/>
      <c r="D12" s="116">
        <v>9.28</v>
      </c>
      <c r="E12" s="86">
        <v>8.28</v>
      </c>
      <c r="F12" s="117">
        <v>8.83</v>
      </c>
      <c r="G12" s="118">
        <v>8.88</v>
      </c>
      <c r="H12" s="124">
        <v>9.25</v>
      </c>
      <c r="I12" s="120">
        <v>9.02</v>
      </c>
      <c r="J12" s="91">
        <v>9.26</v>
      </c>
      <c r="K12" s="92" t="s">
        <v>28</v>
      </c>
      <c r="L12" s="121" t="s">
        <v>35</v>
      </c>
      <c r="M12" s="122" t="s">
        <v>35</v>
      </c>
      <c r="N12" s="66">
        <f t="shared" si="1"/>
        <v>8.97</v>
      </c>
      <c r="O12" s="93" t="s">
        <v>29</v>
      </c>
      <c r="P12" s="43" t="s">
        <v>30</v>
      </c>
    </row>
    <row r="13" ht="15.0" customHeight="1">
      <c r="A13" s="84">
        <v>7.0</v>
      </c>
      <c r="B13" s="85" t="s">
        <v>141</v>
      </c>
      <c r="C13" s="85"/>
      <c r="D13" s="116">
        <v>7.96</v>
      </c>
      <c r="E13" s="105">
        <v>7.09</v>
      </c>
      <c r="F13" s="117">
        <v>7.06</v>
      </c>
      <c r="G13" s="118">
        <v>8.35</v>
      </c>
      <c r="H13" s="124">
        <v>8.17</v>
      </c>
      <c r="I13" s="120">
        <v>7.53</v>
      </c>
      <c r="J13" s="91">
        <v>7.57</v>
      </c>
      <c r="K13" s="92" t="s">
        <v>27</v>
      </c>
      <c r="L13" s="121" t="s">
        <v>28</v>
      </c>
      <c r="M13" s="122" t="s">
        <v>28</v>
      </c>
      <c r="N13" s="66">
        <f t="shared" si="1"/>
        <v>7.67</v>
      </c>
      <c r="O13" s="93" t="s">
        <v>29</v>
      </c>
      <c r="P13" s="43" t="s">
        <v>30</v>
      </c>
    </row>
    <row r="14" ht="15.0" customHeight="1">
      <c r="A14" s="84">
        <v>8.0</v>
      </c>
      <c r="B14" s="85" t="s">
        <v>142</v>
      </c>
      <c r="C14" s="85"/>
      <c r="D14" s="116">
        <v>7.32</v>
      </c>
      <c r="E14" s="86">
        <v>7.59</v>
      </c>
      <c r="F14" s="123">
        <v>7.01</v>
      </c>
      <c r="G14" s="118">
        <v>7.65</v>
      </c>
      <c r="H14" s="124">
        <v>7.78</v>
      </c>
      <c r="I14" s="120">
        <v>7.86</v>
      </c>
      <c r="J14" s="91">
        <v>8.07</v>
      </c>
      <c r="K14" s="92" t="s">
        <v>28</v>
      </c>
      <c r="L14" s="53" t="s">
        <v>43</v>
      </c>
      <c r="M14" s="122" t="s">
        <v>28</v>
      </c>
      <c r="N14" s="66">
        <f t="shared" si="1"/>
        <v>7.61</v>
      </c>
      <c r="O14" s="93" t="s">
        <v>137</v>
      </c>
      <c r="P14" s="43" t="s">
        <v>30</v>
      </c>
    </row>
    <row r="15" ht="15.0" customHeight="1">
      <c r="A15" s="84">
        <v>9.0</v>
      </c>
      <c r="B15" s="85" t="s">
        <v>143</v>
      </c>
      <c r="C15" s="85"/>
      <c r="D15" s="116">
        <v>7.84</v>
      </c>
      <c r="E15" s="86">
        <v>7.8</v>
      </c>
      <c r="F15" s="117">
        <v>7.58</v>
      </c>
      <c r="G15" s="118">
        <v>8.85</v>
      </c>
      <c r="H15" s="124">
        <v>7.92</v>
      </c>
      <c r="I15" s="120">
        <v>8.22</v>
      </c>
      <c r="J15" s="91">
        <v>8.58</v>
      </c>
      <c r="K15" s="92" t="s">
        <v>28</v>
      </c>
      <c r="L15" s="121" t="s">
        <v>28</v>
      </c>
      <c r="M15" s="122" t="s">
        <v>28</v>
      </c>
      <c r="N15" s="66">
        <f t="shared" si="1"/>
        <v>8.11</v>
      </c>
      <c r="O15" s="93" t="s">
        <v>29</v>
      </c>
      <c r="P15" s="43" t="s">
        <v>30</v>
      </c>
    </row>
    <row r="16" ht="15.0" customHeight="1">
      <c r="A16" s="84">
        <v>10.0</v>
      </c>
      <c r="B16" s="85" t="s">
        <v>144</v>
      </c>
      <c r="C16" s="85"/>
      <c r="D16" s="116">
        <v>7.62</v>
      </c>
      <c r="E16" s="86">
        <v>7.39</v>
      </c>
      <c r="F16" s="117">
        <v>7.02</v>
      </c>
      <c r="G16" s="118">
        <v>8.63</v>
      </c>
      <c r="H16" s="124">
        <v>7.34</v>
      </c>
      <c r="I16" s="120">
        <v>7.14</v>
      </c>
      <c r="J16" s="91">
        <v>7.31</v>
      </c>
      <c r="K16" s="92" t="s">
        <v>27</v>
      </c>
      <c r="L16" s="53" t="s">
        <v>43</v>
      </c>
      <c r="M16" s="122" t="s">
        <v>28</v>
      </c>
      <c r="N16" s="66">
        <f t="shared" si="1"/>
        <v>7.49</v>
      </c>
      <c r="O16" s="93" t="s">
        <v>137</v>
      </c>
      <c r="P16" s="43" t="s">
        <v>30</v>
      </c>
    </row>
    <row r="17" ht="15.0" customHeight="1">
      <c r="A17" s="84">
        <v>11.0</v>
      </c>
      <c r="B17" s="85" t="s">
        <v>145</v>
      </c>
      <c r="C17" s="85"/>
      <c r="D17" s="116">
        <v>8.59</v>
      </c>
      <c r="E17" s="105">
        <v>8.11</v>
      </c>
      <c r="F17" s="117">
        <v>8.58</v>
      </c>
      <c r="G17" s="118">
        <v>8.15</v>
      </c>
      <c r="H17" s="124">
        <v>8.76</v>
      </c>
      <c r="I17" s="120">
        <v>8.74</v>
      </c>
      <c r="J17" s="91">
        <v>8.94</v>
      </c>
      <c r="K17" s="92" t="s">
        <v>28</v>
      </c>
      <c r="L17" s="121" t="s">
        <v>28</v>
      </c>
      <c r="M17" s="122" t="s">
        <v>28</v>
      </c>
      <c r="N17" s="66">
        <f t="shared" si="1"/>
        <v>8.55</v>
      </c>
      <c r="O17" s="93" t="s">
        <v>29</v>
      </c>
      <c r="P17" s="43" t="s">
        <v>30</v>
      </c>
    </row>
    <row r="18" ht="15.0" customHeight="1">
      <c r="A18" s="84">
        <v>12.0</v>
      </c>
      <c r="B18" s="85" t="s">
        <v>146</v>
      </c>
      <c r="C18" s="85"/>
      <c r="D18" s="116">
        <v>8.29</v>
      </c>
      <c r="E18" s="105">
        <v>7.0</v>
      </c>
      <c r="F18" s="123">
        <v>7.0</v>
      </c>
      <c r="G18" s="118">
        <v>7.32</v>
      </c>
      <c r="H18" s="124">
        <v>7.36</v>
      </c>
      <c r="I18" s="120">
        <v>7.66</v>
      </c>
      <c r="J18" s="91">
        <v>7.29</v>
      </c>
      <c r="K18" s="92" t="s">
        <v>28</v>
      </c>
      <c r="L18" s="121" t="s">
        <v>27</v>
      </c>
      <c r="M18" s="122" t="s">
        <v>27</v>
      </c>
      <c r="N18" s="66">
        <f t="shared" si="1"/>
        <v>7.41</v>
      </c>
      <c r="O18" s="93" t="s">
        <v>29</v>
      </c>
      <c r="P18" s="43" t="s">
        <v>30</v>
      </c>
    </row>
    <row r="19" ht="15.0" customHeight="1">
      <c r="A19" s="84">
        <v>13.0</v>
      </c>
      <c r="B19" s="85" t="s">
        <v>147</v>
      </c>
      <c r="C19" s="85"/>
      <c r="D19" s="116">
        <v>8.09</v>
      </c>
      <c r="E19" s="86">
        <v>7.92</v>
      </c>
      <c r="F19" s="123">
        <v>7.3</v>
      </c>
      <c r="G19" s="118">
        <v>9.26</v>
      </c>
      <c r="H19" s="124">
        <v>9.27</v>
      </c>
      <c r="I19" s="120">
        <v>8.74</v>
      </c>
      <c r="J19" s="91">
        <v>8.4</v>
      </c>
      <c r="K19" s="92" t="s">
        <v>27</v>
      </c>
      <c r="L19" s="53" t="s">
        <v>27</v>
      </c>
      <c r="M19" s="122" t="s">
        <v>35</v>
      </c>
      <c r="N19" s="66">
        <f t="shared" si="1"/>
        <v>8.42</v>
      </c>
      <c r="O19" s="93" t="s">
        <v>29</v>
      </c>
      <c r="P19" s="43" t="s">
        <v>30</v>
      </c>
    </row>
    <row r="20" ht="15.0" customHeight="1">
      <c r="A20" s="84">
        <v>14.0</v>
      </c>
      <c r="B20" s="85" t="s">
        <v>148</v>
      </c>
      <c r="C20" s="85"/>
      <c r="D20" s="116">
        <v>8.79</v>
      </c>
      <c r="E20" s="86">
        <v>9.32</v>
      </c>
      <c r="F20" s="117">
        <v>8.46</v>
      </c>
      <c r="G20" s="118">
        <v>8.86</v>
      </c>
      <c r="H20" s="124">
        <v>8.81</v>
      </c>
      <c r="I20" s="120">
        <v>9.13</v>
      </c>
      <c r="J20" s="91">
        <v>9.03</v>
      </c>
      <c r="K20" s="92" t="s">
        <v>28</v>
      </c>
      <c r="L20" s="121" t="s">
        <v>35</v>
      </c>
      <c r="M20" s="122" t="s">
        <v>35</v>
      </c>
      <c r="N20" s="66">
        <f t="shared" si="1"/>
        <v>8.91</v>
      </c>
      <c r="O20" s="93" t="s">
        <v>137</v>
      </c>
      <c r="P20" s="43" t="s">
        <v>30</v>
      </c>
    </row>
    <row r="21" ht="15.0" customHeight="1">
      <c r="A21" s="84">
        <v>15.0</v>
      </c>
      <c r="B21" s="85" t="s">
        <v>149</v>
      </c>
      <c r="C21" s="85"/>
      <c r="D21" s="116">
        <v>9.19</v>
      </c>
      <c r="E21" s="86">
        <v>8.17</v>
      </c>
      <c r="F21" s="117">
        <v>8.01</v>
      </c>
      <c r="G21" s="118">
        <v>7.82</v>
      </c>
      <c r="H21" s="124">
        <v>9.17</v>
      </c>
      <c r="I21" s="120">
        <v>8.8</v>
      </c>
      <c r="J21" s="91">
        <v>8.74</v>
      </c>
      <c r="K21" s="92" t="s">
        <v>28</v>
      </c>
      <c r="L21" s="121" t="s">
        <v>35</v>
      </c>
      <c r="M21" s="122" t="s">
        <v>35</v>
      </c>
      <c r="N21" s="66">
        <f t="shared" si="1"/>
        <v>8.55</v>
      </c>
      <c r="O21" s="93" t="s">
        <v>29</v>
      </c>
      <c r="P21" s="43" t="s">
        <v>30</v>
      </c>
    </row>
    <row r="22" ht="15.0" customHeight="1">
      <c r="A22" s="84">
        <v>16.0</v>
      </c>
      <c r="B22" s="85" t="s">
        <v>150</v>
      </c>
      <c r="C22" s="85"/>
      <c r="D22" s="116">
        <v>7.85</v>
      </c>
      <c r="E22" s="105">
        <v>7.06</v>
      </c>
      <c r="F22" s="117">
        <v>7.2</v>
      </c>
      <c r="G22" s="118">
        <v>8.25</v>
      </c>
      <c r="H22" s="124">
        <v>8.31</v>
      </c>
      <c r="I22" s="120">
        <v>7.29</v>
      </c>
      <c r="J22" s="91">
        <v>7.61</v>
      </c>
      <c r="K22" s="92" t="s">
        <v>27</v>
      </c>
      <c r="L22" s="121" t="s">
        <v>27</v>
      </c>
      <c r="M22" s="122" t="s">
        <v>27</v>
      </c>
      <c r="N22" s="66">
        <f t="shared" si="1"/>
        <v>7.65</v>
      </c>
      <c r="O22" s="93" t="s">
        <v>137</v>
      </c>
      <c r="P22" s="43" t="s">
        <v>30</v>
      </c>
    </row>
    <row r="23" ht="15.0" customHeight="1">
      <c r="A23" s="84">
        <v>17.0</v>
      </c>
      <c r="B23" s="85" t="s">
        <v>151</v>
      </c>
      <c r="C23" s="85"/>
      <c r="D23" s="116">
        <v>7.9</v>
      </c>
      <c r="E23" s="86">
        <v>8.66</v>
      </c>
      <c r="F23" s="117">
        <v>7.3</v>
      </c>
      <c r="G23" s="118">
        <v>9.0</v>
      </c>
      <c r="H23" s="124">
        <v>9.33</v>
      </c>
      <c r="I23" s="120">
        <v>8.43</v>
      </c>
      <c r="J23" s="91">
        <v>8.76</v>
      </c>
      <c r="K23" s="92" t="s">
        <v>28</v>
      </c>
      <c r="L23" s="121" t="s">
        <v>35</v>
      </c>
      <c r="M23" s="122" t="s">
        <v>35</v>
      </c>
      <c r="N23" s="66">
        <f t="shared" si="1"/>
        <v>8.48</v>
      </c>
      <c r="O23" s="93" t="s">
        <v>29</v>
      </c>
      <c r="P23" s="43" t="s">
        <v>30</v>
      </c>
    </row>
    <row r="24" ht="15.0" customHeight="1">
      <c r="A24" s="84">
        <v>18.0</v>
      </c>
      <c r="B24" s="85" t="s">
        <v>152</v>
      </c>
      <c r="C24" s="85"/>
      <c r="D24" s="116">
        <v>8.08</v>
      </c>
      <c r="E24" s="86">
        <v>7.91</v>
      </c>
      <c r="F24" s="123">
        <v>7.48</v>
      </c>
      <c r="G24" s="118">
        <v>8.14</v>
      </c>
      <c r="H24" s="124">
        <v>7.96</v>
      </c>
      <c r="I24" s="120">
        <v>8.45</v>
      </c>
      <c r="J24" s="91">
        <v>8.55</v>
      </c>
      <c r="K24" s="92" t="s">
        <v>28</v>
      </c>
      <c r="L24" s="121" t="s">
        <v>28</v>
      </c>
      <c r="M24" s="122" t="s">
        <v>28</v>
      </c>
      <c r="N24" s="66">
        <f t="shared" si="1"/>
        <v>8.08</v>
      </c>
      <c r="O24" s="93" t="s">
        <v>29</v>
      </c>
      <c r="P24" s="43" t="s">
        <v>30</v>
      </c>
    </row>
    <row r="25" ht="15.0" customHeight="1">
      <c r="A25" s="84">
        <v>19.0</v>
      </c>
      <c r="B25" s="85" t="s">
        <v>153</v>
      </c>
      <c r="C25" s="85"/>
      <c r="D25" s="116">
        <v>7.35</v>
      </c>
      <c r="E25" s="105">
        <v>7.08</v>
      </c>
      <c r="F25" s="117">
        <v>7.05</v>
      </c>
      <c r="G25" s="118">
        <v>7.29</v>
      </c>
      <c r="H25" s="124">
        <v>7.35</v>
      </c>
      <c r="I25" s="120">
        <v>7.39</v>
      </c>
      <c r="J25" s="91">
        <v>7.46</v>
      </c>
      <c r="K25" s="92" t="s">
        <v>28</v>
      </c>
      <c r="L25" s="53" t="s">
        <v>43</v>
      </c>
      <c r="M25" s="122" t="s">
        <v>27</v>
      </c>
      <c r="N25" s="66">
        <f t="shared" si="1"/>
        <v>7.28</v>
      </c>
      <c r="O25" s="93" t="s">
        <v>154</v>
      </c>
      <c r="P25" s="43" t="s">
        <v>30</v>
      </c>
    </row>
    <row r="26" ht="15.0" customHeight="1">
      <c r="A26" s="84">
        <v>20.0</v>
      </c>
      <c r="B26" s="85" t="s">
        <v>155</v>
      </c>
      <c r="C26" s="85"/>
      <c r="D26" s="116">
        <v>7.2</v>
      </c>
      <c r="E26" s="105">
        <v>7.0</v>
      </c>
      <c r="F26" s="117">
        <v>7.0</v>
      </c>
      <c r="G26" s="118">
        <v>7.32</v>
      </c>
      <c r="H26" s="124">
        <v>7.0</v>
      </c>
      <c r="I26" s="120">
        <v>7.02</v>
      </c>
      <c r="J26" s="91">
        <v>7.01</v>
      </c>
      <c r="K26" s="92" t="s">
        <v>43</v>
      </c>
      <c r="L26" s="53" t="s">
        <v>43</v>
      </c>
      <c r="M26" s="122" t="s">
        <v>27</v>
      </c>
      <c r="N26" s="66">
        <f t="shared" si="1"/>
        <v>7.07</v>
      </c>
      <c r="O26" s="93" t="s">
        <v>137</v>
      </c>
      <c r="P26" s="43" t="s">
        <v>30</v>
      </c>
    </row>
    <row r="27" ht="18.0" customHeight="1">
      <c r="A27" s="84">
        <v>21.0</v>
      </c>
      <c r="B27" s="85" t="s">
        <v>156</v>
      </c>
      <c r="C27" s="85"/>
      <c r="D27" s="116">
        <v>7.5</v>
      </c>
      <c r="E27" s="105">
        <v>7.29</v>
      </c>
      <c r="F27" s="123">
        <v>7.57</v>
      </c>
      <c r="G27" s="118">
        <v>8.91</v>
      </c>
      <c r="H27" s="124">
        <v>8.01</v>
      </c>
      <c r="I27" s="120">
        <v>7.42</v>
      </c>
      <c r="J27" s="91">
        <v>7.95</v>
      </c>
      <c r="K27" s="92" t="s">
        <v>27</v>
      </c>
      <c r="L27" s="53" t="s">
        <v>27</v>
      </c>
      <c r="M27" s="122" t="s">
        <v>28</v>
      </c>
      <c r="N27" s="66">
        <f t="shared" si="1"/>
        <v>7.8</v>
      </c>
      <c r="O27" s="93" t="s">
        <v>137</v>
      </c>
      <c r="P27" s="43" t="s">
        <v>30</v>
      </c>
    </row>
    <row r="28" ht="15.0" customHeight="1">
      <c r="A28" s="84">
        <v>22.0</v>
      </c>
      <c r="B28" s="85" t="s">
        <v>157</v>
      </c>
      <c r="C28" s="85"/>
      <c r="D28" s="116">
        <v>8.03</v>
      </c>
      <c r="E28" s="86">
        <v>7.14</v>
      </c>
      <c r="F28" s="117">
        <v>7.38</v>
      </c>
      <c r="G28" s="118">
        <v>9.01</v>
      </c>
      <c r="H28" s="124">
        <v>8.16</v>
      </c>
      <c r="I28" s="120">
        <v>8.4</v>
      </c>
      <c r="J28" s="91">
        <v>8.24</v>
      </c>
      <c r="K28" s="92" t="s">
        <v>28</v>
      </c>
      <c r="L28" s="121" t="s">
        <v>28</v>
      </c>
      <c r="M28" s="122" t="s">
        <v>28</v>
      </c>
      <c r="N28" s="66">
        <f t="shared" si="1"/>
        <v>8.05</v>
      </c>
      <c r="O28" s="93" t="s">
        <v>29</v>
      </c>
      <c r="P28" s="43" t="s">
        <v>30</v>
      </c>
    </row>
    <row r="29" ht="18.0" customHeight="1">
      <c r="A29" s="84">
        <v>23.0</v>
      </c>
      <c r="B29" s="85" t="s">
        <v>158</v>
      </c>
      <c r="C29" s="85"/>
      <c r="D29" s="116">
        <v>8.8</v>
      </c>
      <c r="E29" s="86">
        <v>7.87</v>
      </c>
      <c r="F29" s="123">
        <v>7.67</v>
      </c>
      <c r="G29" s="118">
        <v>8.24</v>
      </c>
      <c r="H29" s="124">
        <v>8.67</v>
      </c>
      <c r="I29" s="120">
        <v>8.46</v>
      </c>
      <c r="J29" s="91">
        <v>8.18</v>
      </c>
      <c r="K29" s="92" t="s">
        <v>28</v>
      </c>
      <c r="L29" s="121" t="s">
        <v>28</v>
      </c>
      <c r="M29" s="122" t="s">
        <v>28</v>
      </c>
      <c r="N29" s="66">
        <f t="shared" si="1"/>
        <v>8.27</v>
      </c>
      <c r="O29" s="93" t="s">
        <v>29</v>
      </c>
      <c r="P29" s="43" t="s">
        <v>30</v>
      </c>
    </row>
    <row r="30" ht="15.0" customHeight="1">
      <c r="A30" s="84">
        <v>24.0</v>
      </c>
      <c r="B30" s="85" t="s">
        <v>159</v>
      </c>
      <c r="C30" s="85"/>
      <c r="D30" s="116">
        <v>8.17</v>
      </c>
      <c r="E30" s="86">
        <v>7.17</v>
      </c>
      <c r="F30" s="117">
        <v>7.0</v>
      </c>
      <c r="G30" s="118">
        <v>8.98</v>
      </c>
      <c r="H30" s="124">
        <v>7.16</v>
      </c>
      <c r="I30" s="120">
        <v>7.35</v>
      </c>
      <c r="J30" s="91">
        <v>7.4</v>
      </c>
      <c r="K30" s="92" t="s">
        <v>28</v>
      </c>
      <c r="L30" s="121" t="s">
        <v>28</v>
      </c>
      <c r="M30" s="122" t="s">
        <v>28</v>
      </c>
      <c r="N30" s="66">
        <f t="shared" si="1"/>
        <v>7.6</v>
      </c>
      <c r="O30" s="93" t="s">
        <v>29</v>
      </c>
      <c r="P30" s="43" t="s">
        <v>30</v>
      </c>
    </row>
    <row r="31" ht="15.0" customHeight="1">
      <c r="A31" s="84">
        <v>25.0</v>
      </c>
      <c r="B31" s="85" t="s">
        <v>160</v>
      </c>
      <c r="C31" s="85"/>
      <c r="D31" s="116">
        <v>8.71</v>
      </c>
      <c r="E31" s="86">
        <v>8.35</v>
      </c>
      <c r="F31" s="117">
        <v>8.46</v>
      </c>
      <c r="G31" s="118">
        <v>9.17</v>
      </c>
      <c r="H31" s="124">
        <v>8.84</v>
      </c>
      <c r="I31" s="120">
        <v>8.62</v>
      </c>
      <c r="J31" s="91">
        <v>9.12</v>
      </c>
      <c r="K31" s="92" t="s">
        <v>28</v>
      </c>
      <c r="L31" s="121" t="s">
        <v>35</v>
      </c>
      <c r="M31" s="122" t="s">
        <v>35</v>
      </c>
      <c r="N31" s="66">
        <f t="shared" si="1"/>
        <v>8.75</v>
      </c>
      <c r="O31" s="93" t="s">
        <v>29</v>
      </c>
      <c r="P31" s="43" t="s">
        <v>30</v>
      </c>
    </row>
    <row r="32" ht="15.0" customHeight="1">
      <c r="A32" s="84">
        <v>26.0</v>
      </c>
      <c r="B32" s="85" t="s">
        <v>161</v>
      </c>
      <c r="C32" s="85"/>
      <c r="D32" s="116">
        <v>9.46</v>
      </c>
      <c r="E32" s="105">
        <v>9.07</v>
      </c>
      <c r="F32" s="123">
        <v>9.48</v>
      </c>
      <c r="G32" s="118">
        <v>9.36</v>
      </c>
      <c r="H32" s="124">
        <v>9.92</v>
      </c>
      <c r="I32" s="120">
        <v>9.82</v>
      </c>
      <c r="J32" s="91">
        <v>9.52</v>
      </c>
      <c r="K32" s="92" t="s">
        <v>35</v>
      </c>
      <c r="L32" s="121" t="s">
        <v>35</v>
      </c>
      <c r="M32" s="122" t="s">
        <v>35</v>
      </c>
      <c r="N32" s="66">
        <f t="shared" si="1"/>
        <v>9.51</v>
      </c>
      <c r="O32" s="93" t="s">
        <v>29</v>
      </c>
      <c r="P32" s="43" t="s">
        <v>30</v>
      </c>
    </row>
    <row r="33" ht="15.0" customHeight="1">
      <c r="A33" s="84">
        <v>27.0</v>
      </c>
      <c r="B33" s="85" t="s">
        <v>162</v>
      </c>
      <c r="C33" s="85"/>
      <c r="D33" s="116">
        <v>9.05</v>
      </c>
      <c r="E33" s="86">
        <v>7.84</v>
      </c>
      <c r="F33" s="123">
        <v>8.93</v>
      </c>
      <c r="G33" s="118">
        <v>7.89</v>
      </c>
      <c r="H33" s="124">
        <v>8.29</v>
      </c>
      <c r="I33" s="120">
        <v>8.89</v>
      </c>
      <c r="J33" s="91">
        <v>9.26</v>
      </c>
      <c r="K33" s="92" t="s">
        <v>28</v>
      </c>
      <c r="L33" s="121" t="s">
        <v>35</v>
      </c>
      <c r="M33" s="122" t="s">
        <v>35</v>
      </c>
      <c r="N33" s="66">
        <f t="shared" si="1"/>
        <v>8.59</v>
      </c>
      <c r="O33" s="93" t="s">
        <v>29</v>
      </c>
      <c r="P33" s="43" t="s">
        <v>30</v>
      </c>
    </row>
    <row r="34" ht="15.0" customHeight="1">
      <c r="A34" s="84">
        <v>28.0</v>
      </c>
      <c r="B34" s="85" t="s">
        <v>163</v>
      </c>
      <c r="C34" s="85"/>
      <c r="D34" s="116">
        <v>8.51</v>
      </c>
      <c r="E34" s="54">
        <v>7.65</v>
      </c>
      <c r="F34" s="117">
        <v>7.05</v>
      </c>
      <c r="G34" s="118">
        <v>7.92</v>
      </c>
      <c r="H34" s="124">
        <v>8.47</v>
      </c>
      <c r="I34" s="120">
        <v>8.88</v>
      </c>
      <c r="J34" s="91">
        <v>8.39</v>
      </c>
      <c r="K34" s="92" t="s">
        <v>35</v>
      </c>
      <c r="L34" s="121" t="s">
        <v>28</v>
      </c>
      <c r="M34" s="122" t="s">
        <v>28</v>
      </c>
      <c r="N34" s="66">
        <f t="shared" si="1"/>
        <v>8.12</v>
      </c>
      <c r="O34" s="93" t="s">
        <v>29</v>
      </c>
      <c r="P34" s="43" t="s">
        <v>30</v>
      </c>
    </row>
    <row r="35" ht="15.0" customHeight="1">
      <c r="A35" s="84">
        <v>29.0</v>
      </c>
      <c r="B35" s="85" t="s">
        <v>164</v>
      </c>
      <c r="C35" s="85"/>
      <c r="D35" s="116">
        <v>7.18</v>
      </c>
      <c r="E35" s="86">
        <v>7.0</v>
      </c>
      <c r="F35" s="117">
        <v>7.2</v>
      </c>
      <c r="G35" s="118">
        <v>7.53</v>
      </c>
      <c r="H35" s="124">
        <v>7.4</v>
      </c>
      <c r="I35" s="120">
        <v>7.29</v>
      </c>
      <c r="J35" s="91">
        <v>7.25</v>
      </c>
      <c r="K35" s="92" t="s">
        <v>43</v>
      </c>
      <c r="L35" s="53" t="s">
        <v>43</v>
      </c>
      <c r="M35" s="122" t="s">
        <v>27</v>
      </c>
      <c r="N35" s="66">
        <f t="shared" si="1"/>
        <v>7.26</v>
      </c>
      <c r="O35" s="93" t="s">
        <v>29</v>
      </c>
      <c r="P35" s="43" t="s">
        <v>30</v>
      </c>
    </row>
    <row r="36" ht="15.0" customHeight="1">
      <c r="A36" s="84">
        <v>30.0</v>
      </c>
      <c r="B36" s="85" t="s">
        <v>165</v>
      </c>
      <c r="C36" s="85"/>
      <c r="D36" s="116">
        <v>7.61</v>
      </c>
      <c r="E36" s="86">
        <v>7.67</v>
      </c>
      <c r="F36" s="117">
        <v>7.05</v>
      </c>
      <c r="G36" s="118">
        <v>8.18</v>
      </c>
      <c r="H36" s="124">
        <v>8.04</v>
      </c>
      <c r="I36" s="120">
        <v>7.7</v>
      </c>
      <c r="J36" s="91">
        <v>7.81</v>
      </c>
      <c r="K36" s="92" t="s">
        <v>28</v>
      </c>
      <c r="L36" s="121" t="s">
        <v>35</v>
      </c>
      <c r="M36" s="122" t="s">
        <v>35</v>
      </c>
      <c r="N36" s="66">
        <f t="shared" si="1"/>
        <v>7.72</v>
      </c>
      <c r="O36" s="93" t="s">
        <v>29</v>
      </c>
      <c r="P36" s="43" t="s">
        <v>30</v>
      </c>
    </row>
    <row r="37" ht="15.0" customHeight="1">
      <c r="A37" s="84">
        <v>31.0</v>
      </c>
      <c r="B37" s="85" t="s">
        <v>166</v>
      </c>
      <c r="C37" s="85"/>
      <c r="D37" s="116">
        <v>8.0</v>
      </c>
      <c r="E37" s="86">
        <v>7.74</v>
      </c>
      <c r="F37" s="117">
        <v>7.01</v>
      </c>
      <c r="G37" s="118">
        <v>8.08</v>
      </c>
      <c r="H37" s="124">
        <v>7.72</v>
      </c>
      <c r="I37" s="120">
        <v>8.55</v>
      </c>
      <c r="J37" s="91">
        <v>8.26</v>
      </c>
      <c r="K37" s="92" t="s">
        <v>28</v>
      </c>
      <c r="L37" s="121" t="s">
        <v>28</v>
      </c>
      <c r="M37" s="122" t="s">
        <v>28</v>
      </c>
      <c r="N37" s="66">
        <f t="shared" si="1"/>
        <v>7.9</v>
      </c>
      <c r="O37" s="93" t="s">
        <v>29</v>
      </c>
      <c r="P37" s="43" t="s">
        <v>30</v>
      </c>
    </row>
    <row r="38" ht="15.0" customHeight="1">
      <c r="A38" s="84">
        <v>32.0</v>
      </c>
      <c r="B38" s="85" t="s">
        <v>167</v>
      </c>
      <c r="C38" s="85"/>
      <c r="D38" s="116">
        <v>7.8</v>
      </c>
      <c r="E38" s="105">
        <v>7.03</v>
      </c>
      <c r="F38" s="123">
        <v>7.43</v>
      </c>
      <c r="G38" s="118">
        <v>8.87</v>
      </c>
      <c r="H38" s="124">
        <v>7.72</v>
      </c>
      <c r="I38" s="120">
        <v>7.66</v>
      </c>
      <c r="J38" s="91">
        <v>7.9</v>
      </c>
      <c r="K38" s="92" t="s">
        <v>28</v>
      </c>
      <c r="L38" s="121" t="s">
        <v>28</v>
      </c>
      <c r="M38" s="122" t="s">
        <v>28</v>
      </c>
      <c r="N38" s="66">
        <f t="shared" si="1"/>
        <v>7.77</v>
      </c>
      <c r="O38" s="93" t="s">
        <v>29</v>
      </c>
      <c r="P38" s="43" t="s">
        <v>30</v>
      </c>
    </row>
    <row r="39" ht="15.0" customHeight="1">
      <c r="A39" s="84">
        <v>33.0</v>
      </c>
      <c r="B39" s="85" t="s">
        <v>168</v>
      </c>
      <c r="C39" s="85"/>
      <c r="D39" s="116">
        <v>7.46</v>
      </c>
      <c r="E39" s="86">
        <v>7.0</v>
      </c>
      <c r="F39" s="117">
        <v>7.0</v>
      </c>
      <c r="G39" s="118">
        <v>8.86</v>
      </c>
      <c r="H39" s="124">
        <v>8.64</v>
      </c>
      <c r="I39" s="120">
        <v>7.35</v>
      </c>
      <c r="J39" s="91">
        <v>7.04</v>
      </c>
      <c r="K39" s="92" t="s">
        <v>27</v>
      </c>
      <c r="L39" s="121" t="s">
        <v>27</v>
      </c>
      <c r="M39" s="122" t="s">
        <v>27</v>
      </c>
      <c r="N39" s="66">
        <f t="shared" si="1"/>
        <v>7.62</v>
      </c>
      <c r="O39" s="93" t="s">
        <v>137</v>
      </c>
      <c r="P39" s="43" t="s">
        <v>30</v>
      </c>
    </row>
    <row r="40" ht="15.75" customHeight="1">
      <c r="A40" s="84">
        <v>34.0</v>
      </c>
      <c r="B40" s="85" t="s">
        <v>169</v>
      </c>
      <c r="C40" s="85"/>
      <c r="D40" s="116">
        <v>9.52</v>
      </c>
      <c r="E40" s="86">
        <v>8.95</v>
      </c>
      <c r="F40" s="117">
        <v>7.93</v>
      </c>
      <c r="G40" s="118">
        <v>8.12</v>
      </c>
      <c r="H40" s="124">
        <v>9.52</v>
      </c>
      <c r="I40" s="120">
        <v>9.68</v>
      </c>
      <c r="J40" s="91">
        <v>9.57</v>
      </c>
      <c r="K40" s="92" t="s">
        <v>28</v>
      </c>
      <c r="L40" s="121" t="s">
        <v>35</v>
      </c>
      <c r="M40" s="122" t="s">
        <v>35</v>
      </c>
      <c r="N40" s="66">
        <f t="shared" si="1"/>
        <v>9.04</v>
      </c>
      <c r="O40" s="93" t="s">
        <v>29</v>
      </c>
      <c r="P40" s="43" t="s">
        <v>30</v>
      </c>
    </row>
    <row r="41" ht="15.0" customHeight="1">
      <c r="A41" s="84">
        <v>35.0</v>
      </c>
      <c r="B41" s="85" t="s">
        <v>170</v>
      </c>
      <c r="C41" s="85"/>
      <c r="D41" s="116">
        <v>9.23</v>
      </c>
      <c r="E41" s="86">
        <v>9.14</v>
      </c>
      <c r="F41" s="117">
        <v>9.54</v>
      </c>
      <c r="G41" s="118">
        <v>8.31</v>
      </c>
      <c r="H41" s="124">
        <v>9.21</v>
      </c>
      <c r="I41" s="120">
        <v>9.46</v>
      </c>
      <c r="J41" s="91">
        <v>9.31</v>
      </c>
      <c r="K41" s="92" t="s">
        <v>35</v>
      </c>
      <c r="L41" s="53" t="s">
        <v>35</v>
      </c>
      <c r="M41" s="122" t="s">
        <v>28</v>
      </c>
      <c r="N41" s="66">
        <f t="shared" si="1"/>
        <v>9.17</v>
      </c>
      <c r="O41" s="93" t="s">
        <v>29</v>
      </c>
      <c r="P41" s="43" t="s">
        <v>30</v>
      </c>
    </row>
    <row r="42" ht="14.25" customHeight="1">
      <c r="A42" s="84">
        <v>36.0</v>
      </c>
      <c r="B42" s="85" t="s">
        <v>171</v>
      </c>
      <c r="C42" s="85"/>
      <c r="D42" s="116">
        <v>7.6</v>
      </c>
      <c r="E42" s="86">
        <v>7.66</v>
      </c>
      <c r="F42" s="117">
        <v>8.07</v>
      </c>
      <c r="G42" s="118">
        <v>8.77</v>
      </c>
      <c r="H42" s="124">
        <v>7.86</v>
      </c>
      <c r="I42" s="120">
        <v>8.1</v>
      </c>
      <c r="J42" s="91">
        <v>8.38</v>
      </c>
      <c r="K42" s="92" t="s">
        <v>27</v>
      </c>
      <c r="L42" s="121" t="s">
        <v>27</v>
      </c>
      <c r="M42" s="122" t="s">
        <v>27</v>
      </c>
      <c r="N42" s="66">
        <f t="shared" si="1"/>
        <v>8.06</v>
      </c>
      <c r="O42" s="93" t="s">
        <v>29</v>
      </c>
      <c r="P42" s="43" t="s">
        <v>30</v>
      </c>
    </row>
    <row r="43" ht="15.0" customHeight="1">
      <c r="A43" s="84">
        <v>37.0</v>
      </c>
      <c r="B43" s="85" t="s">
        <v>172</v>
      </c>
      <c r="C43" s="85"/>
      <c r="D43" s="116">
        <v>7.59</v>
      </c>
      <c r="E43" s="86">
        <v>7.35</v>
      </c>
      <c r="F43" s="117">
        <v>7.11</v>
      </c>
      <c r="G43" s="118">
        <v>8.33</v>
      </c>
      <c r="H43" s="124">
        <v>8.32</v>
      </c>
      <c r="I43" s="120">
        <v>8.91</v>
      </c>
      <c r="J43" s="91">
        <v>8.29</v>
      </c>
      <c r="K43" s="92" t="s">
        <v>43</v>
      </c>
      <c r="L43" s="121" t="s">
        <v>28</v>
      </c>
      <c r="M43" s="122" t="s">
        <v>28</v>
      </c>
      <c r="N43" s="66">
        <f t="shared" si="1"/>
        <v>7.98</v>
      </c>
      <c r="O43" s="93" t="s">
        <v>29</v>
      </c>
      <c r="P43" s="43" t="s">
        <v>30</v>
      </c>
    </row>
    <row r="44" ht="15.0" customHeight="1">
      <c r="A44" s="84">
        <v>38.0</v>
      </c>
      <c r="B44" s="85" t="s">
        <v>173</v>
      </c>
      <c r="C44" s="85"/>
      <c r="D44" s="116">
        <v>8.99</v>
      </c>
      <c r="E44" s="86">
        <v>8.49</v>
      </c>
      <c r="F44" s="123">
        <v>7.6</v>
      </c>
      <c r="G44" s="118">
        <v>8.33</v>
      </c>
      <c r="H44" s="124">
        <v>9.45</v>
      </c>
      <c r="I44" s="120">
        <v>9.02</v>
      </c>
      <c r="J44" s="91">
        <v>9.29</v>
      </c>
      <c r="K44" s="92" t="s">
        <v>28</v>
      </c>
      <c r="L44" s="121" t="s">
        <v>35</v>
      </c>
      <c r="M44" s="122" t="s">
        <v>35</v>
      </c>
      <c r="N44" s="66">
        <f t="shared" si="1"/>
        <v>8.73</v>
      </c>
      <c r="O44" s="93" t="s">
        <v>29</v>
      </c>
      <c r="P44" s="43" t="s">
        <v>30</v>
      </c>
    </row>
    <row r="45" ht="15.0" customHeight="1">
      <c r="A45" s="84">
        <v>39.0</v>
      </c>
      <c r="B45" s="85" t="s">
        <v>174</v>
      </c>
      <c r="C45" s="85"/>
      <c r="D45" s="116">
        <v>8.74</v>
      </c>
      <c r="E45" s="86">
        <v>7.75</v>
      </c>
      <c r="F45" s="117">
        <v>7.94</v>
      </c>
      <c r="G45" s="118">
        <v>9.25</v>
      </c>
      <c r="H45" s="124">
        <v>8.65</v>
      </c>
      <c r="I45" s="120">
        <v>8.91</v>
      </c>
      <c r="J45" s="91">
        <v>8.53</v>
      </c>
      <c r="K45" s="92" t="s">
        <v>28</v>
      </c>
      <c r="L45" s="121" t="s">
        <v>28</v>
      </c>
      <c r="M45" s="122" t="s">
        <v>28</v>
      </c>
      <c r="N45" s="66">
        <f t="shared" si="1"/>
        <v>8.53</v>
      </c>
      <c r="O45" s="93" t="s">
        <v>29</v>
      </c>
      <c r="P45" s="43" t="s">
        <v>30</v>
      </c>
    </row>
    <row r="46" ht="15.0" customHeight="1">
      <c r="A46" s="125">
        <v>40.0</v>
      </c>
      <c r="B46" s="85" t="s">
        <v>175</v>
      </c>
      <c r="C46" s="85"/>
      <c r="D46" s="116">
        <v>7.38</v>
      </c>
      <c r="E46" s="105">
        <v>7.0</v>
      </c>
      <c r="F46" s="123">
        <v>7.23</v>
      </c>
      <c r="G46" s="118">
        <v>7.63</v>
      </c>
      <c r="H46" s="124">
        <v>7.48</v>
      </c>
      <c r="I46" s="120">
        <v>7.17</v>
      </c>
      <c r="J46" s="91">
        <v>7.4</v>
      </c>
      <c r="K46" s="92" t="s">
        <v>28</v>
      </c>
      <c r="L46" s="121" t="s">
        <v>27</v>
      </c>
      <c r="M46" s="122" t="s">
        <v>27</v>
      </c>
      <c r="N46" s="66">
        <f t="shared" si="1"/>
        <v>7.32</v>
      </c>
      <c r="O46" s="93" t="s">
        <v>137</v>
      </c>
      <c r="P46" s="43" t="s">
        <v>30</v>
      </c>
      <c r="Q46" s="126"/>
    </row>
    <row r="47" ht="15.0" customHeight="1">
      <c r="A47" s="29">
        <v>41.0</v>
      </c>
      <c r="B47" s="127" t="s">
        <v>176</v>
      </c>
      <c r="C47" s="128"/>
      <c r="D47" s="116">
        <v>8.53</v>
      </c>
      <c r="E47" s="86">
        <v>7.95</v>
      </c>
      <c r="F47" s="123">
        <v>7.06</v>
      </c>
      <c r="G47" s="118">
        <v>8.07</v>
      </c>
      <c r="H47" s="124">
        <v>8.64</v>
      </c>
      <c r="I47" s="120">
        <v>8.52</v>
      </c>
      <c r="J47" s="91">
        <v>8.41</v>
      </c>
      <c r="K47" s="92" t="s">
        <v>28</v>
      </c>
      <c r="L47" s="53" t="s">
        <v>43</v>
      </c>
      <c r="M47" s="122" t="s">
        <v>27</v>
      </c>
      <c r="N47" s="66">
        <f t="shared" si="1"/>
        <v>8.16</v>
      </c>
      <c r="O47" s="93" t="s">
        <v>137</v>
      </c>
      <c r="P47" s="43" t="s">
        <v>30</v>
      </c>
      <c r="Q47" s="126"/>
    </row>
    <row r="48" ht="14.25" customHeight="1">
      <c r="B48" s="10" t="s">
        <v>73</v>
      </c>
      <c r="D48" s="106">
        <f t="shared" ref="D48:J48" si="2">AVERAGE(D10:D47)</f>
        <v>8.195789474</v>
      </c>
      <c r="E48" s="60">
        <f t="shared" si="2"/>
        <v>7.765526316</v>
      </c>
      <c r="F48" s="109">
        <f t="shared" si="2"/>
        <v>7.626578947</v>
      </c>
      <c r="G48" s="109">
        <f t="shared" si="2"/>
        <v>8.369473684</v>
      </c>
      <c r="H48" s="109">
        <f t="shared" si="2"/>
        <v>8.312368421</v>
      </c>
      <c r="I48" s="109">
        <f t="shared" si="2"/>
        <v>8.262105263</v>
      </c>
      <c r="J48" s="109">
        <f t="shared" si="2"/>
        <v>8.272894737</v>
      </c>
      <c r="K48" s="109"/>
      <c r="L48" s="65"/>
      <c r="M48" s="65"/>
      <c r="N48" s="109">
        <f>AVERAGE(N10:N47)</f>
        <v>8.110526316</v>
      </c>
      <c r="O48" s="65"/>
      <c r="P48" s="129"/>
    </row>
    <row r="49" ht="14.25" customHeight="1"/>
    <row r="50" ht="14.25" customHeight="1">
      <c r="C50" s="67" t="s">
        <v>74</v>
      </c>
      <c r="D50" s="68"/>
      <c r="F50" s="69" t="s">
        <v>75</v>
      </c>
      <c r="G50" s="70"/>
      <c r="H50" s="70"/>
      <c r="I50" s="71"/>
      <c r="J50" s="72"/>
      <c r="K50" s="69" t="s">
        <v>177</v>
      </c>
      <c r="L50" s="70"/>
      <c r="M50" s="70"/>
      <c r="N50" s="70"/>
      <c r="O50" s="71"/>
    </row>
    <row r="51" ht="14.25" customHeight="1">
      <c r="C51" s="67" t="s">
        <v>77</v>
      </c>
      <c r="D51" s="68"/>
      <c r="F51" s="69" t="s">
        <v>78</v>
      </c>
      <c r="G51" s="70"/>
      <c r="H51" s="70"/>
      <c r="I51" s="70"/>
      <c r="J51" s="71"/>
      <c r="K51" s="69" t="s">
        <v>79</v>
      </c>
      <c r="L51" s="70"/>
      <c r="M51" s="70"/>
      <c r="N51" s="71"/>
      <c r="O51" s="10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D$6:$P$48"/>
  <mergeCells count="12">
    <mergeCell ref="F50:I50"/>
    <mergeCell ref="K50:O50"/>
    <mergeCell ref="C51:D51"/>
    <mergeCell ref="F51:J51"/>
    <mergeCell ref="K51:N51"/>
    <mergeCell ref="A1:P1"/>
    <mergeCell ref="B2:P2"/>
    <mergeCell ref="C3:E3"/>
    <mergeCell ref="I3:J3"/>
    <mergeCell ref="K3:N3"/>
    <mergeCell ref="I4:J4"/>
    <mergeCell ref="C50:D50"/>
  </mergeCells>
  <conditionalFormatting sqref="D7:J47">
    <cfRule type="cellIs" dxfId="1" priority="1" operator="lessThan">
      <formula>7</formula>
    </cfRule>
  </conditionalFormatting>
  <conditionalFormatting sqref="D7:J47">
    <cfRule type="cellIs" dxfId="1" priority="2" operator="lessThan">
      <formula>6.29</formula>
    </cfRule>
  </conditionalFormatting>
  <conditionalFormatting sqref="N7:N47">
    <cfRule type="cellIs" dxfId="4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23.0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113" t="s">
        <v>178</v>
      </c>
    </row>
    <row r="2" ht="14.25" customHeight="1">
      <c r="A2" s="2"/>
      <c r="B2" s="3" t="s">
        <v>1</v>
      </c>
    </row>
    <row r="3" ht="14.25" customHeight="1">
      <c r="B3" s="75" t="s">
        <v>179</v>
      </c>
      <c r="C3" s="5" t="s">
        <v>180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76" t="s">
        <v>181</v>
      </c>
      <c r="E4" s="6"/>
      <c r="F4" s="6"/>
      <c r="G4" s="6"/>
      <c r="H4" s="6"/>
      <c r="I4" s="7" t="s">
        <v>8</v>
      </c>
      <c r="K4" s="11" t="s">
        <v>9</v>
      </c>
      <c r="M4" s="6"/>
    </row>
    <row r="5" ht="6.0" customHeight="1">
      <c r="B5" s="12"/>
      <c r="C5" s="12"/>
      <c r="D5" s="9"/>
      <c r="E5" s="9"/>
      <c r="F5" s="9"/>
      <c r="G5" s="9"/>
      <c r="H5" s="9"/>
      <c r="I5" s="9"/>
      <c r="J5" s="9"/>
      <c r="K5" s="9"/>
      <c r="L5" s="9"/>
      <c r="M5" s="9"/>
    </row>
    <row r="6" ht="157.5" customHeight="1">
      <c r="A6" s="130" t="s">
        <v>10</v>
      </c>
      <c r="B6" s="131" t="s">
        <v>11</v>
      </c>
      <c r="C6" s="132"/>
      <c r="D6" s="25" t="s">
        <v>12</v>
      </c>
      <c r="E6" s="17" t="s">
        <v>13</v>
      </c>
      <c r="F6" s="133" t="s">
        <v>14</v>
      </c>
      <c r="G6" s="19" t="s">
        <v>15</v>
      </c>
      <c r="H6" s="134" t="s">
        <v>16</v>
      </c>
      <c r="I6" s="79" t="s">
        <v>84</v>
      </c>
      <c r="J6" s="22" t="s">
        <v>18</v>
      </c>
      <c r="K6" s="80" t="s">
        <v>85</v>
      </c>
      <c r="L6" s="24" t="s">
        <v>20</v>
      </c>
      <c r="M6" s="25" t="s">
        <v>21</v>
      </c>
      <c r="N6" s="81" t="s">
        <v>22</v>
      </c>
      <c r="O6" s="82" t="s">
        <v>23</v>
      </c>
      <c r="P6" s="83" t="s">
        <v>24</v>
      </c>
    </row>
    <row r="7" ht="14.25" customHeight="1">
      <c r="A7" s="135">
        <v>1.0</v>
      </c>
      <c r="B7" s="136" t="s">
        <v>182</v>
      </c>
      <c r="C7" s="136"/>
      <c r="D7" s="116">
        <v>8.91</v>
      </c>
      <c r="E7" s="105">
        <v>9.03</v>
      </c>
      <c r="F7" s="137">
        <v>8.12</v>
      </c>
      <c r="G7" s="138">
        <v>8.89</v>
      </c>
      <c r="H7" s="139">
        <v>9.07</v>
      </c>
      <c r="I7" s="120">
        <v>8.71</v>
      </c>
      <c r="J7" s="91">
        <v>9.16</v>
      </c>
      <c r="K7" s="92" t="s">
        <v>27</v>
      </c>
      <c r="L7" s="140" t="s">
        <v>28</v>
      </c>
      <c r="M7" s="141" t="s">
        <v>35</v>
      </c>
      <c r="N7" s="66">
        <f t="shared" ref="N7:N46" si="1">TRUNC(AVERAGE(D7:J7),2)</f>
        <v>8.84</v>
      </c>
      <c r="O7" s="93" t="s">
        <v>29</v>
      </c>
      <c r="P7" s="43" t="s">
        <v>30</v>
      </c>
      <c r="Q7" s="142"/>
    </row>
    <row r="8" ht="15.0" customHeight="1">
      <c r="A8" s="135">
        <v>2.0</v>
      </c>
      <c r="B8" s="136" t="s">
        <v>183</v>
      </c>
      <c r="C8" s="136"/>
      <c r="D8" s="116">
        <v>9.01</v>
      </c>
      <c r="E8" s="86">
        <v>8.35</v>
      </c>
      <c r="F8" s="143">
        <v>8.58</v>
      </c>
      <c r="G8" s="138">
        <v>9.15</v>
      </c>
      <c r="H8" s="139">
        <v>9.0</v>
      </c>
      <c r="I8" s="120">
        <v>8.74</v>
      </c>
      <c r="J8" s="91">
        <v>9.5</v>
      </c>
      <c r="K8" s="92" t="s">
        <v>28</v>
      </c>
      <c r="L8" s="140" t="s">
        <v>28</v>
      </c>
      <c r="M8" s="141" t="s">
        <v>35</v>
      </c>
      <c r="N8" s="66">
        <f t="shared" si="1"/>
        <v>8.9</v>
      </c>
      <c r="O8" s="93" t="s">
        <v>29</v>
      </c>
      <c r="P8" s="43" t="s">
        <v>30</v>
      </c>
      <c r="Q8" s="142"/>
    </row>
    <row r="9" ht="15.0" customHeight="1">
      <c r="A9" s="135">
        <v>3.0</v>
      </c>
      <c r="B9" s="144" t="s">
        <v>184</v>
      </c>
      <c r="C9" s="136"/>
      <c r="D9" s="116">
        <v>8.21</v>
      </c>
      <c r="E9" s="105">
        <v>7.71</v>
      </c>
      <c r="F9" s="143">
        <v>7.45</v>
      </c>
      <c r="G9" s="138">
        <v>8.93</v>
      </c>
      <c r="H9" s="139">
        <v>7.64</v>
      </c>
      <c r="I9" s="120">
        <v>8.09</v>
      </c>
      <c r="J9" s="91">
        <v>9.0</v>
      </c>
      <c r="K9" s="92" t="s">
        <v>28</v>
      </c>
      <c r="L9" s="140" t="s">
        <v>27</v>
      </c>
      <c r="M9" s="141" t="s">
        <v>35</v>
      </c>
      <c r="N9" s="66">
        <f t="shared" si="1"/>
        <v>8.14</v>
      </c>
      <c r="O9" s="93" t="s">
        <v>29</v>
      </c>
      <c r="P9" s="43" t="s">
        <v>30</v>
      </c>
      <c r="Q9" s="142"/>
    </row>
    <row r="10" ht="15.0" customHeight="1">
      <c r="A10" s="135">
        <v>4.0</v>
      </c>
      <c r="B10" s="136" t="s">
        <v>185</v>
      </c>
      <c r="C10" s="136"/>
      <c r="D10" s="116">
        <v>7.92</v>
      </c>
      <c r="E10" s="86">
        <v>7.0</v>
      </c>
      <c r="F10" s="143">
        <v>7.0</v>
      </c>
      <c r="G10" s="138">
        <v>8.38</v>
      </c>
      <c r="H10" s="139">
        <v>7.74</v>
      </c>
      <c r="I10" s="120">
        <v>7.01</v>
      </c>
      <c r="J10" s="91">
        <v>7.64</v>
      </c>
      <c r="K10" s="92" t="s">
        <v>27</v>
      </c>
      <c r="L10" s="140" t="s">
        <v>27</v>
      </c>
      <c r="M10" s="141" t="s">
        <v>35</v>
      </c>
      <c r="N10" s="66">
        <f t="shared" si="1"/>
        <v>7.52</v>
      </c>
      <c r="O10" s="93" t="s">
        <v>29</v>
      </c>
      <c r="P10" s="43" t="s">
        <v>30</v>
      </c>
      <c r="Q10" s="142"/>
    </row>
    <row r="11" ht="15.0" customHeight="1">
      <c r="A11" s="135">
        <v>5.0</v>
      </c>
      <c r="B11" s="136" t="s">
        <v>186</v>
      </c>
      <c r="C11" s="136"/>
      <c r="D11" s="116">
        <v>9.77</v>
      </c>
      <c r="E11" s="86">
        <v>9.8</v>
      </c>
      <c r="F11" s="143">
        <v>9.76</v>
      </c>
      <c r="G11" s="138">
        <v>9.63</v>
      </c>
      <c r="H11" s="139">
        <v>10.0</v>
      </c>
      <c r="I11" s="120">
        <v>9.81</v>
      </c>
      <c r="J11" s="91">
        <v>9.7</v>
      </c>
      <c r="K11" s="92" t="s">
        <v>35</v>
      </c>
      <c r="L11" s="140" t="s">
        <v>35</v>
      </c>
      <c r="M11" s="141" t="s">
        <v>35</v>
      </c>
      <c r="N11" s="66">
        <f t="shared" si="1"/>
        <v>9.78</v>
      </c>
      <c r="O11" s="93" t="s">
        <v>29</v>
      </c>
      <c r="P11" s="43" t="s">
        <v>30</v>
      </c>
      <c r="Q11" s="142"/>
    </row>
    <row r="12" ht="15.0" customHeight="1">
      <c r="A12" s="135">
        <v>6.0</v>
      </c>
      <c r="B12" s="136" t="s">
        <v>187</v>
      </c>
      <c r="C12" s="136"/>
      <c r="D12" s="116">
        <v>7.3</v>
      </c>
      <c r="E12" s="86">
        <v>7.0</v>
      </c>
      <c r="F12" s="145">
        <v>7.0</v>
      </c>
      <c r="G12" s="138">
        <v>7.09</v>
      </c>
      <c r="H12" s="139">
        <v>7.55</v>
      </c>
      <c r="I12" s="120">
        <v>7.0</v>
      </c>
      <c r="J12" s="91">
        <v>7.48</v>
      </c>
      <c r="K12" s="92" t="s">
        <v>27</v>
      </c>
      <c r="L12" s="140" t="s">
        <v>27</v>
      </c>
      <c r="M12" s="141" t="s">
        <v>35</v>
      </c>
      <c r="N12" s="66">
        <f t="shared" si="1"/>
        <v>7.2</v>
      </c>
      <c r="O12" s="93" t="s">
        <v>29</v>
      </c>
      <c r="P12" s="43" t="s">
        <v>30</v>
      </c>
      <c r="Q12" s="142"/>
    </row>
    <row r="13" ht="15.0" customHeight="1">
      <c r="A13" s="135">
        <v>7.0</v>
      </c>
      <c r="B13" s="136" t="s">
        <v>188</v>
      </c>
      <c r="C13" s="136"/>
      <c r="D13" s="116">
        <v>7.31</v>
      </c>
      <c r="E13" s="86">
        <v>7.0</v>
      </c>
      <c r="F13" s="146">
        <v>7.0</v>
      </c>
      <c r="G13" s="138">
        <v>7.44</v>
      </c>
      <c r="H13" s="139">
        <v>7.36</v>
      </c>
      <c r="I13" s="120">
        <v>7.27</v>
      </c>
      <c r="J13" s="91">
        <v>8.45</v>
      </c>
      <c r="K13" s="92" t="s">
        <v>27</v>
      </c>
      <c r="L13" s="140" t="s">
        <v>27</v>
      </c>
      <c r="M13" s="141" t="s">
        <v>35</v>
      </c>
      <c r="N13" s="66">
        <f t="shared" si="1"/>
        <v>7.4</v>
      </c>
      <c r="O13" s="93" t="s">
        <v>29</v>
      </c>
      <c r="P13" s="43" t="s">
        <v>30</v>
      </c>
      <c r="Q13" s="142"/>
    </row>
    <row r="14" ht="15.0" customHeight="1">
      <c r="A14" s="135">
        <v>8.0</v>
      </c>
      <c r="B14" s="136" t="s">
        <v>189</v>
      </c>
      <c r="C14" s="136"/>
      <c r="D14" s="116">
        <v>7.6</v>
      </c>
      <c r="E14" s="86">
        <v>7.0</v>
      </c>
      <c r="F14" s="137">
        <v>7.0</v>
      </c>
      <c r="G14" s="138">
        <v>7.54</v>
      </c>
      <c r="H14" s="139">
        <v>7.85</v>
      </c>
      <c r="I14" s="120">
        <v>7.84</v>
      </c>
      <c r="J14" s="91">
        <v>8.31</v>
      </c>
      <c r="K14" s="92" t="s">
        <v>27</v>
      </c>
      <c r="L14" s="140" t="s">
        <v>27</v>
      </c>
      <c r="M14" s="141" t="s">
        <v>35</v>
      </c>
      <c r="N14" s="66">
        <f t="shared" si="1"/>
        <v>7.59</v>
      </c>
      <c r="O14" s="93" t="s">
        <v>29</v>
      </c>
      <c r="P14" s="43" t="s">
        <v>30</v>
      </c>
      <c r="Q14" s="142"/>
    </row>
    <row r="15" ht="15.0" customHeight="1">
      <c r="A15" s="135">
        <v>9.0</v>
      </c>
      <c r="B15" s="136" t="s">
        <v>190</v>
      </c>
      <c r="C15" s="136"/>
      <c r="D15" s="116">
        <v>9.27</v>
      </c>
      <c r="E15" s="86">
        <v>8.22</v>
      </c>
      <c r="F15" s="143">
        <v>8.66</v>
      </c>
      <c r="G15" s="138">
        <v>9.31</v>
      </c>
      <c r="H15" s="139">
        <v>8.98</v>
      </c>
      <c r="I15" s="120">
        <v>8.66</v>
      </c>
      <c r="J15" s="91">
        <v>9.12</v>
      </c>
      <c r="K15" s="92" t="s">
        <v>28</v>
      </c>
      <c r="L15" s="140" t="s">
        <v>35</v>
      </c>
      <c r="M15" s="141" t="s">
        <v>35</v>
      </c>
      <c r="N15" s="66">
        <f t="shared" si="1"/>
        <v>8.88</v>
      </c>
      <c r="O15" s="93" t="s">
        <v>29</v>
      </c>
      <c r="P15" s="43" t="s">
        <v>30</v>
      </c>
      <c r="Q15" s="142"/>
    </row>
    <row r="16" ht="15.0" customHeight="1">
      <c r="A16" s="135">
        <v>10.0</v>
      </c>
      <c r="B16" s="136" t="s">
        <v>191</v>
      </c>
      <c r="C16" s="136"/>
      <c r="D16" s="116">
        <v>8.37</v>
      </c>
      <c r="E16" s="86">
        <v>7.81</v>
      </c>
      <c r="F16" s="143">
        <v>7.47</v>
      </c>
      <c r="G16" s="138">
        <v>9.08</v>
      </c>
      <c r="H16" s="139">
        <v>7.96</v>
      </c>
      <c r="I16" s="120">
        <v>7.97</v>
      </c>
      <c r="J16" s="91">
        <v>8.83</v>
      </c>
      <c r="K16" s="92" t="s">
        <v>28</v>
      </c>
      <c r="L16" s="140" t="s">
        <v>27</v>
      </c>
      <c r="M16" s="141" t="s">
        <v>35</v>
      </c>
      <c r="N16" s="66">
        <f t="shared" si="1"/>
        <v>8.21</v>
      </c>
      <c r="O16" s="93" t="s">
        <v>29</v>
      </c>
      <c r="P16" s="43" t="s">
        <v>30</v>
      </c>
      <c r="Q16" s="142"/>
    </row>
    <row r="17" ht="15.0" customHeight="1">
      <c r="A17" s="135">
        <v>11.0</v>
      </c>
      <c r="B17" s="136" t="s">
        <v>192</v>
      </c>
      <c r="C17" s="136"/>
      <c r="D17" s="116">
        <v>9.22</v>
      </c>
      <c r="E17" s="86">
        <v>8.76</v>
      </c>
      <c r="F17" s="143">
        <v>8.43</v>
      </c>
      <c r="G17" s="138">
        <v>8.96</v>
      </c>
      <c r="H17" s="139">
        <v>9.26</v>
      </c>
      <c r="I17" s="120">
        <v>8.77</v>
      </c>
      <c r="J17" s="91">
        <v>9.19</v>
      </c>
      <c r="K17" s="92" t="s">
        <v>28</v>
      </c>
      <c r="L17" s="140" t="s">
        <v>35</v>
      </c>
      <c r="M17" s="141" t="s">
        <v>35</v>
      </c>
      <c r="N17" s="66">
        <f t="shared" si="1"/>
        <v>8.94</v>
      </c>
      <c r="O17" s="93" t="s">
        <v>29</v>
      </c>
      <c r="P17" s="43" t="s">
        <v>30</v>
      </c>
      <c r="Q17" s="142"/>
    </row>
    <row r="18" ht="15.0" customHeight="1">
      <c r="A18" s="135">
        <v>12.0</v>
      </c>
      <c r="B18" s="136" t="s">
        <v>193</v>
      </c>
      <c r="C18" s="136"/>
      <c r="D18" s="116">
        <v>9.28</v>
      </c>
      <c r="E18" s="86">
        <v>9.19</v>
      </c>
      <c r="F18" s="137">
        <v>9.11</v>
      </c>
      <c r="G18" s="138">
        <v>9.47</v>
      </c>
      <c r="H18" s="139">
        <v>9.4</v>
      </c>
      <c r="I18" s="120">
        <v>9.22</v>
      </c>
      <c r="J18" s="91">
        <v>9.61</v>
      </c>
      <c r="K18" s="92" t="s">
        <v>35</v>
      </c>
      <c r="L18" s="140" t="s">
        <v>35</v>
      </c>
      <c r="M18" s="141" t="s">
        <v>35</v>
      </c>
      <c r="N18" s="66">
        <f t="shared" si="1"/>
        <v>9.32</v>
      </c>
      <c r="O18" s="93" t="s">
        <v>29</v>
      </c>
      <c r="P18" s="43" t="s">
        <v>30</v>
      </c>
      <c r="Q18" s="142"/>
    </row>
    <row r="19" ht="15.0" customHeight="1">
      <c r="A19" s="135">
        <v>13.0</v>
      </c>
      <c r="B19" s="136" t="s">
        <v>194</v>
      </c>
      <c r="C19" s="136"/>
      <c r="D19" s="116">
        <v>8.51</v>
      </c>
      <c r="E19" s="86">
        <v>7.94</v>
      </c>
      <c r="F19" s="137">
        <v>7.59</v>
      </c>
      <c r="G19" s="88">
        <v>9.06</v>
      </c>
      <c r="H19" s="139">
        <v>9.09</v>
      </c>
      <c r="I19" s="120">
        <v>8.05</v>
      </c>
      <c r="J19" s="91">
        <v>9.17</v>
      </c>
      <c r="K19" s="92" t="s">
        <v>28</v>
      </c>
      <c r="L19" s="140" t="s">
        <v>28</v>
      </c>
      <c r="M19" s="141" t="s">
        <v>35</v>
      </c>
      <c r="N19" s="66">
        <f t="shared" si="1"/>
        <v>8.48</v>
      </c>
      <c r="O19" s="93" t="s">
        <v>137</v>
      </c>
      <c r="P19" s="43" t="s">
        <v>30</v>
      </c>
      <c r="Q19" s="142"/>
    </row>
    <row r="20" ht="15.0" customHeight="1">
      <c r="A20" s="135">
        <v>14.0</v>
      </c>
      <c r="B20" s="136" t="s">
        <v>195</v>
      </c>
      <c r="C20" s="136"/>
      <c r="D20" s="116">
        <v>9.52</v>
      </c>
      <c r="E20" s="86">
        <v>8.6</v>
      </c>
      <c r="F20" s="137">
        <v>9.06</v>
      </c>
      <c r="G20" s="88">
        <v>9.09</v>
      </c>
      <c r="H20" s="139">
        <v>8.51</v>
      </c>
      <c r="I20" s="120">
        <v>9.01</v>
      </c>
      <c r="J20" s="91">
        <v>9.56</v>
      </c>
      <c r="K20" s="92" t="s">
        <v>28</v>
      </c>
      <c r="L20" s="140" t="s">
        <v>35</v>
      </c>
      <c r="M20" s="141" t="s">
        <v>35</v>
      </c>
      <c r="N20" s="66">
        <f t="shared" si="1"/>
        <v>9.05</v>
      </c>
      <c r="O20" s="93" t="s">
        <v>29</v>
      </c>
      <c r="P20" s="43" t="s">
        <v>30</v>
      </c>
      <c r="Q20" s="142"/>
    </row>
    <row r="21" ht="15.0" customHeight="1">
      <c r="A21" s="135">
        <v>15.0</v>
      </c>
      <c r="B21" s="136" t="s">
        <v>196</v>
      </c>
      <c r="C21" s="136"/>
      <c r="D21" s="116">
        <v>9.72</v>
      </c>
      <c r="E21" s="86">
        <v>9.25</v>
      </c>
      <c r="F21" s="137">
        <v>8.6</v>
      </c>
      <c r="G21" s="88">
        <v>8.68</v>
      </c>
      <c r="H21" s="139">
        <v>9.47</v>
      </c>
      <c r="I21" s="120">
        <v>9.47</v>
      </c>
      <c r="J21" s="91">
        <v>9.67</v>
      </c>
      <c r="K21" s="92" t="s">
        <v>35</v>
      </c>
      <c r="L21" s="140" t="s">
        <v>35</v>
      </c>
      <c r="M21" s="141" t="s">
        <v>35</v>
      </c>
      <c r="N21" s="66">
        <f t="shared" si="1"/>
        <v>9.26</v>
      </c>
      <c r="O21" s="93" t="s">
        <v>29</v>
      </c>
      <c r="P21" s="43" t="s">
        <v>30</v>
      </c>
      <c r="Q21" s="142"/>
    </row>
    <row r="22" ht="15.0" customHeight="1">
      <c r="A22" s="135">
        <v>16.0</v>
      </c>
      <c r="B22" s="136" t="s">
        <v>197</v>
      </c>
      <c r="C22" s="136"/>
      <c r="D22" s="116">
        <v>8.07</v>
      </c>
      <c r="E22" s="86">
        <v>7.62</v>
      </c>
      <c r="F22" s="147">
        <v>7.0</v>
      </c>
      <c r="G22" s="88">
        <v>8.59</v>
      </c>
      <c r="H22" s="139">
        <v>8.6</v>
      </c>
      <c r="I22" s="120">
        <v>7.07</v>
      </c>
      <c r="J22" s="91">
        <v>7.58</v>
      </c>
      <c r="K22" s="92" t="s">
        <v>27</v>
      </c>
      <c r="L22" s="140" t="s">
        <v>27</v>
      </c>
      <c r="M22" s="141" t="s">
        <v>35</v>
      </c>
      <c r="N22" s="66">
        <f t="shared" si="1"/>
        <v>7.79</v>
      </c>
      <c r="O22" s="93" t="s">
        <v>29</v>
      </c>
      <c r="P22" s="43" t="s">
        <v>30</v>
      </c>
      <c r="Q22" s="142"/>
    </row>
    <row r="23" ht="15.0" customHeight="1">
      <c r="A23" s="135">
        <v>17.0</v>
      </c>
      <c r="B23" s="136" t="s">
        <v>198</v>
      </c>
      <c r="C23" s="136"/>
      <c r="D23" s="116">
        <v>7.99</v>
      </c>
      <c r="E23" s="86">
        <v>7.73</v>
      </c>
      <c r="F23" s="143">
        <v>7.0</v>
      </c>
      <c r="G23" s="88">
        <v>7.66</v>
      </c>
      <c r="H23" s="139">
        <v>8.59</v>
      </c>
      <c r="I23" s="120">
        <v>7.38</v>
      </c>
      <c r="J23" s="91">
        <v>8.1</v>
      </c>
      <c r="K23" s="92" t="s">
        <v>27</v>
      </c>
      <c r="L23" s="140" t="s">
        <v>27</v>
      </c>
      <c r="M23" s="141" t="s">
        <v>35</v>
      </c>
      <c r="N23" s="66">
        <f t="shared" si="1"/>
        <v>7.77</v>
      </c>
      <c r="O23" s="93" t="s">
        <v>29</v>
      </c>
      <c r="P23" s="43" t="s">
        <v>30</v>
      </c>
      <c r="Q23" s="142"/>
    </row>
    <row r="24" ht="15.0" customHeight="1">
      <c r="A24" s="135">
        <v>18.0</v>
      </c>
      <c r="B24" s="136" t="s">
        <v>199</v>
      </c>
      <c r="C24" s="136"/>
      <c r="D24" s="116">
        <v>9.25</v>
      </c>
      <c r="E24" s="105">
        <v>9.12</v>
      </c>
      <c r="F24" s="143">
        <v>8.49</v>
      </c>
      <c r="G24" s="88">
        <v>9.11</v>
      </c>
      <c r="H24" s="139">
        <v>8.24</v>
      </c>
      <c r="I24" s="120">
        <v>9.21</v>
      </c>
      <c r="J24" s="91">
        <v>9.35</v>
      </c>
      <c r="K24" s="92" t="s">
        <v>28</v>
      </c>
      <c r="L24" s="140" t="s">
        <v>35</v>
      </c>
      <c r="M24" s="141" t="s">
        <v>35</v>
      </c>
      <c r="N24" s="66">
        <f t="shared" si="1"/>
        <v>8.96</v>
      </c>
      <c r="O24" s="93" t="s">
        <v>29</v>
      </c>
      <c r="P24" s="43" t="s">
        <v>30</v>
      </c>
      <c r="Q24" s="142"/>
    </row>
    <row r="25" ht="15.0" customHeight="1">
      <c r="A25" s="135">
        <v>19.0</v>
      </c>
      <c r="B25" s="136" t="s">
        <v>200</v>
      </c>
      <c r="C25" s="136"/>
      <c r="D25" s="116">
        <v>9.42</v>
      </c>
      <c r="E25" s="86">
        <v>9.16</v>
      </c>
      <c r="F25" s="143">
        <v>9.29</v>
      </c>
      <c r="G25" s="88">
        <v>9.33</v>
      </c>
      <c r="H25" s="139">
        <v>9.43</v>
      </c>
      <c r="I25" s="120">
        <v>9.37</v>
      </c>
      <c r="J25" s="91">
        <v>9.56</v>
      </c>
      <c r="K25" s="92" t="s">
        <v>28</v>
      </c>
      <c r="L25" s="140" t="s">
        <v>35</v>
      </c>
      <c r="M25" s="141" t="s">
        <v>35</v>
      </c>
      <c r="N25" s="66">
        <f t="shared" si="1"/>
        <v>9.36</v>
      </c>
      <c r="O25" s="93" t="s">
        <v>29</v>
      </c>
      <c r="P25" s="43" t="s">
        <v>30</v>
      </c>
      <c r="Q25" s="142"/>
    </row>
    <row r="26" ht="15.0" customHeight="1">
      <c r="A26" s="135">
        <v>20.0</v>
      </c>
      <c r="B26" s="136" t="s">
        <v>201</v>
      </c>
      <c r="C26" s="136"/>
      <c r="D26" s="116">
        <v>7.71</v>
      </c>
      <c r="E26" s="86">
        <v>7.52</v>
      </c>
      <c r="F26" s="137">
        <v>7.04</v>
      </c>
      <c r="G26" s="88">
        <v>9.36</v>
      </c>
      <c r="H26" s="139">
        <v>8.91</v>
      </c>
      <c r="I26" s="120">
        <v>7.39</v>
      </c>
      <c r="J26" s="91">
        <v>8.52</v>
      </c>
      <c r="K26" s="92" t="s">
        <v>27</v>
      </c>
      <c r="L26" s="140" t="s">
        <v>27</v>
      </c>
      <c r="M26" s="141" t="s">
        <v>35</v>
      </c>
      <c r="N26" s="66">
        <f t="shared" si="1"/>
        <v>8.06</v>
      </c>
      <c r="O26" s="93" t="s">
        <v>137</v>
      </c>
      <c r="P26" s="43" t="s">
        <v>30</v>
      </c>
      <c r="Q26" s="142"/>
    </row>
    <row r="27" ht="18.0" customHeight="1">
      <c r="A27" s="135">
        <v>21.0</v>
      </c>
      <c r="B27" s="136" t="s">
        <v>202</v>
      </c>
      <c r="C27" s="136"/>
      <c r="D27" s="116">
        <v>7.79</v>
      </c>
      <c r="E27" s="105">
        <v>7.08</v>
      </c>
      <c r="F27" s="137">
        <v>7.16</v>
      </c>
      <c r="G27" s="88">
        <v>7.04</v>
      </c>
      <c r="H27" s="139">
        <v>8.51</v>
      </c>
      <c r="I27" s="120">
        <v>7.56</v>
      </c>
      <c r="J27" s="91">
        <v>8.44</v>
      </c>
      <c r="K27" s="92" t="s">
        <v>27</v>
      </c>
      <c r="L27" s="140" t="s">
        <v>27</v>
      </c>
      <c r="M27" s="141" t="s">
        <v>35</v>
      </c>
      <c r="N27" s="66">
        <f t="shared" si="1"/>
        <v>7.65</v>
      </c>
      <c r="O27" s="93" t="s">
        <v>29</v>
      </c>
      <c r="P27" s="43" t="s">
        <v>30</v>
      </c>
      <c r="Q27" s="142"/>
    </row>
    <row r="28" ht="15.0" customHeight="1">
      <c r="A28" s="135">
        <v>22.0</v>
      </c>
      <c r="B28" s="136" t="s">
        <v>203</v>
      </c>
      <c r="C28" s="136"/>
      <c r="D28" s="116">
        <v>7.32</v>
      </c>
      <c r="E28" s="86">
        <v>7.34</v>
      </c>
      <c r="F28" s="147">
        <v>7.0</v>
      </c>
      <c r="G28" s="88">
        <v>7.68</v>
      </c>
      <c r="H28" s="139">
        <v>8.05</v>
      </c>
      <c r="I28" s="120">
        <v>7.62</v>
      </c>
      <c r="J28" s="91">
        <v>7.96</v>
      </c>
      <c r="K28" s="92" t="s">
        <v>43</v>
      </c>
      <c r="L28" s="140" t="s">
        <v>27</v>
      </c>
      <c r="M28" s="141" t="s">
        <v>35</v>
      </c>
      <c r="N28" s="66">
        <f t="shared" si="1"/>
        <v>7.56</v>
      </c>
      <c r="O28" s="93" t="s">
        <v>29</v>
      </c>
      <c r="P28" s="43" t="s">
        <v>30</v>
      </c>
      <c r="Q28" s="142"/>
    </row>
    <row r="29" ht="18.0" customHeight="1">
      <c r="A29" s="135">
        <v>23.0</v>
      </c>
      <c r="B29" s="136" t="s">
        <v>204</v>
      </c>
      <c r="C29" s="136"/>
      <c r="D29" s="116">
        <v>8.53</v>
      </c>
      <c r="E29" s="86">
        <v>8.31</v>
      </c>
      <c r="F29" s="137">
        <v>7.05</v>
      </c>
      <c r="G29" s="88">
        <v>7.94</v>
      </c>
      <c r="H29" s="148">
        <v>7.65</v>
      </c>
      <c r="I29" s="120">
        <v>8.28</v>
      </c>
      <c r="J29" s="91">
        <v>8.82</v>
      </c>
      <c r="K29" s="92" t="s">
        <v>27</v>
      </c>
      <c r="L29" s="140" t="s">
        <v>27</v>
      </c>
      <c r="M29" s="141" t="s">
        <v>35</v>
      </c>
      <c r="N29" s="66">
        <f t="shared" si="1"/>
        <v>8.08</v>
      </c>
      <c r="O29" s="93" t="s">
        <v>137</v>
      </c>
      <c r="P29" s="43" t="s">
        <v>30</v>
      </c>
      <c r="Q29" s="142"/>
    </row>
    <row r="30" ht="15.0" customHeight="1">
      <c r="A30" s="135">
        <v>24.0</v>
      </c>
      <c r="B30" s="136" t="s">
        <v>205</v>
      </c>
      <c r="C30" s="136"/>
      <c r="D30" s="116">
        <v>9.58</v>
      </c>
      <c r="E30" s="86">
        <v>9.26</v>
      </c>
      <c r="F30" s="137">
        <v>8.07</v>
      </c>
      <c r="G30" s="88">
        <v>9.14</v>
      </c>
      <c r="H30" s="149">
        <v>8.97</v>
      </c>
      <c r="I30" s="120">
        <v>9.44</v>
      </c>
      <c r="J30" s="91">
        <v>9.31</v>
      </c>
      <c r="K30" s="92" t="s">
        <v>28</v>
      </c>
      <c r="L30" s="140" t="s">
        <v>35</v>
      </c>
      <c r="M30" s="141" t="s">
        <v>35</v>
      </c>
      <c r="N30" s="66">
        <f t="shared" si="1"/>
        <v>9.11</v>
      </c>
      <c r="O30" s="93" t="s">
        <v>29</v>
      </c>
      <c r="P30" s="43" t="s">
        <v>30</v>
      </c>
      <c r="Q30" s="142"/>
    </row>
    <row r="31" ht="15.0" customHeight="1">
      <c r="A31" s="135">
        <v>25.0</v>
      </c>
      <c r="B31" s="136" t="s">
        <v>206</v>
      </c>
      <c r="C31" s="136"/>
      <c r="D31" s="116">
        <v>7.77</v>
      </c>
      <c r="E31" s="86">
        <v>7.61</v>
      </c>
      <c r="F31" s="137">
        <v>7.01</v>
      </c>
      <c r="G31" s="88">
        <v>9.61</v>
      </c>
      <c r="H31" s="150">
        <v>9.42</v>
      </c>
      <c r="I31" s="120">
        <v>7.49</v>
      </c>
      <c r="J31" s="91">
        <v>7.6</v>
      </c>
      <c r="K31" s="92" t="s">
        <v>43</v>
      </c>
      <c r="L31" s="140" t="s">
        <v>28</v>
      </c>
      <c r="M31" s="141" t="s">
        <v>35</v>
      </c>
      <c r="N31" s="66">
        <f t="shared" si="1"/>
        <v>8.07</v>
      </c>
      <c r="O31" s="93" t="s">
        <v>29</v>
      </c>
      <c r="P31" s="43" t="s">
        <v>30</v>
      </c>
      <c r="Q31" s="142"/>
    </row>
    <row r="32" ht="15.0" customHeight="1">
      <c r="A32" s="135">
        <v>26.0</v>
      </c>
      <c r="B32" s="136" t="s">
        <v>207</v>
      </c>
      <c r="C32" s="136"/>
      <c r="D32" s="116">
        <v>8.3</v>
      </c>
      <c r="E32" s="86">
        <v>7.93</v>
      </c>
      <c r="F32" s="137">
        <v>7.5</v>
      </c>
      <c r="G32" s="88">
        <v>8.13</v>
      </c>
      <c r="H32" s="139">
        <v>8.64</v>
      </c>
      <c r="I32" s="120">
        <v>7.74</v>
      </c>
      <c r="J32" s="91">
        <v>8.42</v>
      </c>
      <c r="K32" s="92" t="s">
        <v>27</v>
      </c>
      <c r="L32" s="140" t="s">
        <v>27</v>
      </c>
      <c r="M32" s="141" t="s">
        <v>35</v>
      </c>
      <c r="N32" s="66">
        <f t="shared" si="1"/>
        <v>8.09</v>
      </c>
      <c r="O32" s="93" t="s">
        <v>29</v>
      </c>
      <c r="P32" s="43" t="s">
        <v>30</v>
      </c>
      <c r="Q32" s="142"/>
    </row>
    <row r="33" ht="15.0" customHeight="1">
      <c r="A33" s="135">
        <v>27.0</v>
      </c>
      <c r="B33" s="136" t="s">
        <v>208</v>
      </c>
      <c r="C33" s="136"/>
      <c r="D33" s="116">
        <v>9.03</v>
      </c>
      <c r="E33" s="86">
        <v>8.61</v>
      </c>
      <c r="F33" s="143">
        <v>8.57</v>
      </c>
      <c r="G33" s="88">
        <v>7.96</v>
      </c>
      <c r="H33" s="139">
        <v>8.54</v>
      </c>
      <c r="I33" s="120">
        <v>8.58</v>
      </c>
      <c r="J33" s="91">
        <v>9.31</v>
      </c>
      <c r="K33" s="92" t="s">
        <v>28</v>
      </c>
      <c r="L33" s="140" t="s">
        <v>35</v>
      </c>
      <c r="M33" s="141" t="s">
        <v>35</v>
      </c>
      <c r="N33" s="66">
        <f t="shared" si="1"/>
        <v>8.65</v>
      </c>
      <c r="O33" s="93" t="s">
        <v>29</v>
      </c>
      <c r="P33" s="43" t="s">
        <v>30</v>
      </c>
      <c r="Q33" s="142"/>
    </row>
    <row r="34" ht="15.0" customHeight="1">
      <c r="A34" s="135">
        <v>28.0</v>
      </c>
      <c r="B34" s="136" t="s">
        <v>209</v>
      </c>
      <c r="C34" s="136"/>
      <c r="D34" s="116">
        <v>7.4</v>
      </c>
      <c r="E34" s="105">
        <v>7.05</v>
      </c>
      <c r="F34" s="146">
        <v>7.0</v>
      </c>
      <c r="G34" s="88">
        <v>9.05</v>
      </c>
      <c r="H34" s="139">
        <v>8.82</v>
      </c>
      <c r="I34" s="120">
        <v>7.3</v>
      </c>
      <c r="J34" s="91">
        <v>7.9</v>
      </c>
      <c r="K34" s="92" t="s">
        <v>27</v>
      </c>
      <c r="L34" s="140" t="s">
        <v>27</v>
      </c>
      <c r="M34" s="141" t="s">
        <v>35</v>
      </c>
      <c r="N34" s="66">
        <f t="shared" si="1"/>
        <v>7.78</v>
      </c>
      <c r="O34" s="93" t="s">
        <v>137</v>
      </c>
      <c r="P34" s="43" t="s">
        <v>30</v>
      </c>
      <c r="Q34" s="142"/>
    </row>
    <row r="35" ht="15.0" customHeight="1">
      <c r="A35" s="135">
        <v>29.0</v>
      </c>
      <c r="B35" s="136" t="s">
        <v>210</v>
      </c>
      <c r="C35" s="136"/>
      <c r="D35" s="116">
        <v>7.6</v>
      </c>
      <c r="E35" s="86">
        <v>8.13</v>
      </c>
      <c r="F35" s="143">
        <v>7.69</v>
      </c>
      <c r="G35" s="88">
        <v>7.44</v>
      </c>
      <c r="H35" s="139">
        <v>8.02</v>
      </c>
      <c r="I35" s="120">
        <v>7.67</v>
      </c>
      <c r="J35" s="91">
        <v>8.22</v>
      </c>
      <c r="K35" s="92" t="s">
        <v>28</v>
      </c>
      <c r="L35" s="140" t="s">
        <v>28</v>
      </c>
      <c r="M35" s="141" t="s">
        <v>35</v>
      </c>
      <c r="N35" s="66">
        <f t="shared" si="1"/>
        <v>7.82</v>
      </c>
      <c r="O35" s="93" t="s">
        <v>29</v>
      </c>
      <c r="P35" s="43" t="s">
        <v>30</v>
      </c>
      <c r="Q35" s="142"/>
    </row>
    <row r="36" ht="15.0" customHeight="1">
      <c r="A36" s="135">
        <v>30.0</v>
      </c>
      <c r="B36" s="136" t="s">
        <v>211</v>
      </c>
      <c r="C36" s="136"/>
      <c r="D36" s="116">
        <v>7.84</v>
      </c>
      <c r="E36" s="86">
        <v>7.47</v>
      </c>
      <c r="F36" s="143">
        <v>7.73</v>
      </c>
      <c r="G36" s="88">
        <v>8.64</v>
      </c>
      <c r="H36" s="139">
        <v>7.8</v>
      </c>
      <c r="I36" s="120">
        <v>7.5</v>
      </c>
      <c r="J36" s="91">
        <v>7.82</v>
      </c>
      <c r="K36" s="92" t="s">
        <v>43</v>
      </c>
      <c r="L36" s="140" t="s">
        <v>27</v>
      </c>
      <c r="M36" s="141" t="s">
        <v>35</v>
      </c>
      <c r="N36" s="66">
        <f t="shared" si="1"/>
        <v>7.82</v>
      </c>
      <c r="O36" s="93" t="s">
        <v>137</v>
      </c>
      <c r="P36" s="43" t="s">
        <v>30</v>
      </c>
      <c r="Q36" s="142"/>
    </row>
    <row r="37" ht="15.0" customHeight="1">
      <c r="A37" s="135">
        <v>31.0</v>
      </c>
      <c r="B37" s="136" t="s">
        <v>212</v>
      </c>
      <c r="C37" s="136"/>
      <c r="D37" s="116">
        <v>7.76</v>
      </c>
      <c r="E37" s="86">
        <v>7.42</v>
      </c>
      <c r="F37" s="151">
        <v>7.0</v>
      </c>
      <c r="G37" s="88">
        <v>7.09</v>
      </c>
      <c r="H37" s="139">
        <v>8.17</v>
      </c>
      <c r="I37" s="120">
        <v>7.64</v>
      </c>
      <c r="J37" s="91">
        <v>8.26</v>
      </c>
      <c r="K37" s="92" t="s">
        <v>28</v>
      </c>
      <c r="L37" s="140" t="s">
        <v>28</v>
      </c>
      <c r="M37" s="141" t="s">
        <v>35</v>
      </c>
      <c r="N37" s="66">
        <f t="shared" si="1"/>
        <v>7.62</v>
      </c>
      <c r="O37" s="93" t="s">
        <v>29</v>
      </c>
      <c r="P37" s="43" t="s">
        <v>30</v>
      </c>
      <c r="Q37" s="142"/>
    </row>
    <row r="38" ht="15.0" customHeight="1">
      <c r="A38" s="135">
        <v>32.0</v>
      </c>
      <c r="B38" s="136" t="s">
        <v>213</v>
      </c>
      <c r="C38" s="136"/>
      <c r="D38" s="116">
        <v>8.17</v>
      </c>
      <c r="E38" s="86">
        <v>7.74</v>
      </c>
      <c r="F38" s="152">
        <v>7.0</v>
      </c>
      <c r="G38" s="88">
        <v>7.44</v>
      </c>
      <c r="H38" s="139">
        <v>7.61</v>
      </c>
      <c r="I38" s="120">
        <v>7.4</v>
      </c>
      <c r="J38" s="91">
        <v>8.23</v>
      </c>
      <c r="K38" s="92" t="s">
        <v>43</v>
      </c>
      <c r="L38" s="140" t="s">
        <v>28</v>
      </c>
      <c r="M38" s="141" t="s">
        <v>35</v>
      </c>
      <c r="N38" s="66">
        <f t="shared" si="1"/>
        <v>7.65</v>
      </c>
      <c r="O38" s="93" t="s">
        <v>29</v>
      </c>
      <c r="P38" s="43" t="s">
        <v>30</v>
      </c>
      <c r="Q38" s="142"/>
    </row>
    <row r="39" ht="18.0" customHeight="1">
      <c r="A39" s="135">
        <v>33.0</v>
      </c>
      <c r="B39" s="136" t="s">
        <v>214</v>
      </c>
      <c r="C39" s="136"/>
      <c r="D39" s="116">
        <v>8.25</v>
      </c>
      <c r="E39" s="86">
        <v>8.31</v>
      </c>
      <c r="F39" s="143">
        <v>7.93</v>
      </c>
      <c r="G39" s="88">
        <v>8.83</v>
      </c>
      <c r="H39" s="139">
        <v>8.28</v>
      </c>
      <c r="I39" s="120">
        <v>7.52</v>
      </c>
      <c r="J39" s="91">
        <v>7.58</v>
      </c>
      <c r="K39" s="92" t="s">
        <v>27</v>
      </c>
      <c r="L39" s="140" t="s">
        <v>28</v>
      </c>
      <c r="M39" s="141" t="s">
        <v>35</v>
      </c>
      <c r="N39" s="66">
        <f t="shared" si="1"/>
        <v>8.1</v>
      </c>
      <c r="O39" s="93" t="s">
        <v>29</v>
      </c>
      <c r="P39" s="43" t="s">
        <v>30</v>
      </c>
      <c r="Q39" s="142"/>
    </row>
    <row r="40" ht="15.0" customHeight="1">
      <c r="A40" s="135">
        <v>34.0</v>
      </c>
      <c r="B40" s="136" t="s">
        <v>215</v>
      </c>
      <c r="C40" s="136"/>
      <c r="D40" s="116">
        <v>8.78</v>
      </c>
      <c r="E40" s="86">
        <v>8.46</v>
      </c>
      <c r="F40" s="143">
        <v>7.74</v>
      </c>
      <c r="G40" s="88">
        <v>8.9</v>
      </c>
      <c r="H40" s="139">
        <v>7.83</v>
      </c>
      <c r="I40" s="120">
        <v>8.62</v>
      </c>
      <c r="J40" s="91">
        <v>9.23</v>
      </c>
      <c r="K40" s="92" t="s">
        <v>28</v>
      </c>
      <c r="L40" s="140" t="s">
        <v>28</v>
      </c>
      <c r="M40" s="141" t="s">
        <v>35</v>
      </c>
      <c r="N40" s="66">
        <f t="shared" si="1"/>
        <v>8.5</v>
      </c>
      <c r="O40" s="93" t="s">
        <v>29</v>
      </c>
      <c r="P40" s="43" t="s">
        <v>30</v>
      </c>
      <c r="Q40" s="142"/>
    </row>
    <row r="41" ht="14.25" customHeight="1">
      <c r="A41" s="135">
        <v>35.0</v>
      </c>
      <c r="B41" s="136" t="s">
        <v>216</v>
      </c>
      <c r="C41" s="136"/>
      <c r="D41" s="116">
        <v>9.26</v>
      </c>
      <c r="E41" s="86">
        <v>9.15</v>
      </c>
      <c r="F41" s="143">
        <v>8.53</v>
      </c>
      <c r="G41" s="88">
        <v>8.03</v>
      </c>
      <c r="H41" s="139">
        <v>8.63</v>
      </c>
      <c r="I41" s="120">
        <v>8.84</v>
      </c>
      <c r="J41" s="91">
        <v>9.59</v>
      </c>
      <c r="K41" s="92" t="s">
        <v>35</v>
      </c>
      <c r="L41" s="140" t="s">
        <v>35</v>
      </c>
      <c r="M41" s="141" t="s">
        <v>35</v>
      </c>
      <c r="N41" s="66">
        <f t="shared" si="1"/>
        <v>8.86</v>
      </c>
      <c r="O41" s="93" t="s">
        <v>29</v>
      </c>
      <c r="P41" s="43" t="s">
        <v>30</v>
      </c>
      <c r="Q41" s="142"/>
    </row>
    <row r="42" ht="15.0" customHeight="1">
      <c r="A42" s="135">
        <v>36.0</v>
      </c>
      <c r="B42" s="136" t="s">
        <v>217</v>
      </c>
      <c r="C42" s="136"/>
      <c r="D42" s="116">
        <v>9.61</v>
      </c>
      <c r="E42" s="86">
        <v>9.33</v>
      </c>
      <c r="F42" s="143">
        <v>8.89</v>
      </c>
      <c r="G42" s="88">
        <v>8.95</v>
      </c>
      <c r="H42" s="139">
        <v>9.2</v>
      </c>
      <c r="I42" s="120">
        <v>9.21</v>
      </c>
      <c r="J42" s="91">
        <v>9.54</v>
      </c>
      <c r="K42" s="92" t="s">
        <v>35</v>
      </c>
      <c r="L42" s="140" t="s">
        <v>35</v>
      </c>
      <c r="M42" s="141" t="s">
        <v>35</v>
      </c>
      <c r="N42" s="66">
        <f t="shared" si="1"/>
        <v>9.24</v>
      </c>
      <c r="O42" s="93" t="s">
        <v>29</v>
      </c>
      <c r="P42" s="43" t="s">
        <v>30</v>
      </c>
      <c r="Q42" s="142"/>
    </row>
    <row r="43" ht="15.0" customHeight="1">
      <c r="A43" s="135">
        <v>37.0</v>
      </c>
      <c r="B43" s="136" t="s">
        <v>218</v>
      </c>
      <c r="C43" s="136"/>
      <c r="D43" s="116">
        <v>8.03</v>
      </c>
      <c r="E43" s="86">
        <v>8.27</v>
      </c>
      <c r="F43" s="137">
        <v>7.16</v>
      </c>
      <c r="G43" s="88">
        <v>8.68</v>
      </c>
      <c r="H43" s="139">
        <v>8.66</v>
      </c>
      <c r="I43" s="120">
        <v>7.14</v>
      </c>
      <c r="J43" s="91">
        <v>7.38</v>
      </c>
      <c r="K43" s="92" t="s">
        <v>43</v>
      </c>
      <c r="L43" s="140" t="s">
        <v>27</v>
      </c>
      <c r="M43" s="141" t="s">
        <v>35</v>
      </c>
      <c r="N43" s="66">
        <f t="shared" si="1"/>
        <v>7.9</v>
      </c>
      <c r="O43" s="93" t="s">
        <v>29</v>
      </c>
      <c r="P43" s="43" t="s">
        <v>30</v>
      </c>
      <c r="Q43" s="142"/>
    </row>
    <row r="44" ht="15.0" customHeight="1">
      <c r="A44" s="135">
        <v>38.0</v>
      </c>
      <c r="B44" s="136" t="s">
        <v>219</v>
      </c>
      <c r="C44" s="136"/>
      <c r="D44" s="116">
        <v>8.02</v>
      </c>
      <c r="E44" s="86">
        <v>7.0</v>
      </c>
      <c r="F44" s="147">
        <v>7.0</v>
      </c>
      <c r="G44" s="88">
        <v>7.42</v>
      </c>
      <c r="H44" s="139">
        <v>8.37</v>
      </c>
      <c r="I44" s="120">
        <v>7.29</v>
      </c>
      <c r="J44" s="91">
        <v>8.19</v>
      </c>
      <c r="K44" s="92" t="s">
        <v>43</v>
      </c>
      <c r="L44" s="140" t="s">
        <v>27</v>
      </c>
      <c r="M44" s="141" t="s">
        <v>35</v>
      </c>
      <c r="N44" s="66">
        <f t="shared" si="1"/>
        <v>7.61</v>
      </c>
      <c r="O44" s="93" t="s">
        <v>29</v>
      </c>
      <c r="P44" s="43" t="s">
        <v>30</v>
      </c>
      <c r="Q44" s="142"/>
    </row>
    <row r="45" ht="15.0" customHeight="1">
      <c r="A45" s="135">
        <v>39.0</v>
      </c>
      <c r="B45" s="136" t="s">
        <v>220</v>
      </c>
      <c r="C45" s="136"/>
      <c r="D45" s="116">
        <v>9.14</v>
      </c>
      <c r="E45" s="86">
        <v>9.0</v>
      </c>
      <c r="F45" s="143">
        <v>8.81</v>
      </c>
      <c r="G45" s="88">
        <v>8.78</v>
      </c>
      <c r="H45" s="139">
        <v>8.12</v>
      </c>
      <c r="I45" s="120">
        <v>8.89</v>
      </c>
      <c r="J45" s="91">
        <v>9.31</v>
      </c>
      <c r="K45" s="92" t="s">
        <v>27</v>
      </c>
      <c r="L45" s="140" t="s">
        <v>35</v>
      </c>
      <c r="M45" s="141" t="s">
        <v>35</v>
      </c>
      <c r="N45" s="66">
        <f t="shared" si="1"/>
        <v>8.86</v>
      </c>
      <c r="O45" s="93" t="s">
        <v>29</v>
      </c>
      <c r="P45" s="43" t="s">
        <v>30</v>
      </c>
      <c r="Q45" s="11"/>
    </row>
    <row r="46" ht="15.0" customHeight="1">
      <c r="A46" s="135">
        <v>40.0</v>
      </c>
      <c r="B46" s="153" t="s">
        <v>221</v>
      </c>
      <c r="C46" s="153"/>
      <c r="D46" s="116">
        <v>7.54</v>
      </c>
      <c r="E46" s="86">
        <v>7.26</v>
      </c>
      <c r="F46" s="137">
        <v>7.61</v>
      </c>
      <c r="G46" s="88">
        <v>8.87</v>
      </c>
      <c r="H46" s="139">
        <v>8.49</v>
      </c>
      <c r="I46" s="120">
        <v>7.0</v>
      </c>
      <c r="J46" s="91">
        <v>8.07</v>
      </c>
      <c r="K46" s="92" t="s">
        <v>27</v>
      </c>
      <c r="L46" s="140" t="s">
        <v>27</v>
      </c>
      <c r="M46" s="141" t="s">
        <v>35</v>
      </c>
      <c r="N46" s="66">
        <f t="shared" si="1"/>
        <v>7.83</v>
      </c>
      <c r="O46" s="93" t="s">
        <v>29</v>
      </c>
      <c r="P46" s="43" t="s">
        <v>30</v>
      </c>
      <c r="Q46" s="11"/>
    </row>
    <row r="47" ht="14.25" customHeight="1">
      <c r="B47" s="10" t="s">
        <v>73</v>
      </c>
      <c r="D47" s="106">
        <f t="shared" ref="D47:F47" si="2">AVERAGE(D9:D46)</f>
        <v>8.425263158</v>
      </c>
      <c r="E47" s="60">
        <f t="shared" si="2"/>
        <v>8.083157895</v>
      </c>
      <c r="F47" s="107">
        <f t="shared" si="2"/>
        <v>7.773684211</v>
      </c>
      <c r="G47" s="154">
        <v>8.58</v>
      </c>
      <c r="H47" s="155">
        <f t="shared" ref="H47:J47" si="3">AVERAGE(H9:H46)</f>
        <v>8.483157895</v>
      </c>
      <c r="I47" s="109">
        <f t="shared" si="3"/>
        <v>8.087368421</v>
      </c>
      <c r="J47" s="109">
        <f t="shared" si="3"/>
        <v>8.632105263</v>
      </c>
      <c r="K47" s="65"/>
      <c r="L47" s="156"/>
      <c r="M47" s="65"/>
      <c r="N47" s="109">
        <f>AVERAGE(N9:N46)</f>
        <v>8.276578947</v>
      </c>
      <c r="O47" s="65"/>
    </row>
    <row r="48" ht="14.25" customHeight="1"/>
    <row r="49" ht="14.25" customHeight="1">
      <c r="C49" s="67" t="s">
        <v>74</v>
      </c>
      <c r="D49" s="68"/>
      <c r="F49" s="69" t="s">
        <v>75</v>
      </c>
      <c r="G49" s="70"/>
      <c r="H49" s="70"/>
      <c r="I49" s="71"/>
      <c r="J49" s="72"/>
      <c r="L49" s="69" t="s">
        <v>222</v>
      </c>
      <c r="M49" s="70"/>
      <c r="N49" s="70"/>
      <c r="O49" s="70"/>
      <c r="P49" s="71"/>
    </row>
    <row r="50" ht="14.25" customHeight="1">
      <c r="C50" s="67" t="s">
        <v>77</v>
      </c>
      <c r="D50" s="68"/>
      <c r="F50" s="69" t="s">
        <v>78</v>
      </c>
      <c r="G50" s="70"/>
      <c r="H50" s="70"/>
      <c r="I50" s="70"/>
      <c r="J50" s="71"/>
      <c r="L50" s="69" t="s">
        <v>79</v>
      </c>
      <c r="M50" s="70"/>
      <c r="N50" s="70"/>
      <c r="O50" s="71"/>
      <c r="P50" s="10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3">
    <mergeCell ref="C49:D49"/>
    <mergeCell ref="F49:I49"/>
    <mergeCell ref="L49:P49"/>
    <mergeCell ref="C50:D50"/>
    <mergeCell ref="F50:J50"/>
    <mergeCell ref="L50:O50"/>
    <mergeCell ref="A1:P1"/>
    <mergeCell ref="B2:P2"/>
    <mergeCell ref="C3:E3"/>
    <mergeCell ref="I3:J3"/>
    <mergeCell ref="K3:N3"/>
    <mergeCell ref="I4:J4"/>
    <mergeCell ref="B6:C6"/>
  </mergeCells>
  <conditionalFormatting sqref="D7:J46">
    <cfRule type="cellIs" dxfId="1" priority="1" operator="lessThan">
      <formula>7</formula>
    </cfRule>
  </conditionalFormatting>
  <conditionalFormatting sqref="D7:J46">
    <cfRule type="cellIs" dxfId="1" priority="2" operator="lessThan">
      <formula>6.29</formula>
    </cfRule>
  </conditionalFormatting>
  <conditionalFormatting sqref="N7:N46">
    <cfRule type="cellIs" dxfId="4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113" t="s">
        <v>223</v>
      </c>
    </row>
    <row r="2" ht="14.25" customHeight="1">
      <c r="A2" s="2"/>
      <c r="B2" s="3" t="s">
        <v>1</v>
      </c>
    </row>
    <row r="3" ht="14.25" customHeight="1">
      <c r="B3" s="75" t="s">
        <v>224</v>
      </c>
      <c r="C3" s="5" t="s">
        <v>225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76" t="s">
        <v>226</v>
      </c>
      <c r="E4" s="6"/>
      <c r="F4" s="6"/>
      <c r="G4" s="6"/>
      <c r="H4" s="6"/>
      <c r="I4" s="7" t="s">
        <v>8</v>
      </c>
      <c r="K4" s="11" t="s">
        <v>9</v>
      </c>
      <c r="M4" s="6"/>
    </row>
    <row r="5" ht="6.0" customHeight="1">
      <c r="B5" s="12"/>
      <c r="C5" s="12"/>
      <c r="D5" s="9"/>
      <c r="E5" s="9"/>
      <c r="F5" s="9"/>
      <c r="G5" s="9"/>
      <c r="H5" s="9"/>
      <c r="I5" s="9"/>
      <c r="J5" s="9"/>
      <c r="K5" s="9"/>
      <c r="L5" s="9"/>
      <c r="M5" s="9"/>
    </row>
    <row r="6" ht="157.5" customHeight="1">
      <c r="A6" s="130" t="s">
        <v>10</v>
      </c>
      <c r="B6" s="131" t="s">
        <v>11</v>
      </c>
      <c r="C6" s="132"/>
      <c r="D6" s="157" t="s">
        <v>12</v>
      </c>
      <c r="E6" s="158" t="s">
        <v>13</v>
      </c>
      <c r="F6" s="159" t="s">
        <v>14</v>
      </c>
      <c r="G6" s="160" t="s">
        <v>15</v>
      </c>
      <c r="H6" s="161" t="s">
        <v>16</v>
      </c>
      <c r="I6" s="162" t="s">
        <v>84</v>
      </c>
      <c r="J6" s="163" t="s">
        <v>18</v>
      </c>
      <c r="K6" s="164" t="s">
        <v>85</v>
      </c>
      <c r="L6" s="165" t="s">
        <v>20</v>
      </c>
      <c r="M6" s="157" t="s">
        <v>21</v>
      </c>
      <c r="N6" s="166" t="s">
        <v>22</v>
      </c>
      <c r="O6" s="167" t="s">
        <v>23</v>
      </c>
      <c r="P6" s="83" t="s">
        <v>24</v>
      </c>
    </row>
    <row r="7" ht="14.25" customHeight="1">
      <c r="A7" s="135">
        <v>1.0</v>
      </c>
      <c r="B7" s="168" t="s">
        <v>227</v>
      </c>
      <c r="C7" s="169"/>
      <c r="D7" s="59">
        <v>8.05</v>
      </c>
      <c r="E7" s="170">
        <v>8.9</v>
      </c>
      <c r="F7" s="171">
        <v>8.0</v>
      </c>
      <c r="G7" s="88">
        <v>8.35</v>
      </c>
      <c r="H7" s="172">
        <v>7.98</v>
      </c>
      <c r="I7" s="173">
        <v>9.37</v>
      </c>
      <c r="J7" s="91">
        <v>8.69</v>
      </c>
      <c r="K7" s="92" t="s">
        <v>28</v>
      </c>
      <c r="L7" s="140" t="s">
        <v>35</v>
      </c>
      <c r="M7" s="40" t="s">
        <v>35</v>
      </c>
      <c r="N7" s="174">
        <f t="shared" ref="N7:N42" si="1">TRUNC(AVERAGE(D7:J7),2)</f>
        <v>8.47</v>
      </c>
      <c r="O7" s="175" t="s">
        <v>29</v>
      </c>
      <c r="P7" s="43" t="s">
        <v>30</v>
      </c>
      <c r="Q7" s="142"/>
    </row>
    <row r="8" ht="15.0" customHeight="1">
      <c r="A8" s="135">
        <v>2.0</v>
      </c>
      <c r="B8" s="136" t="s">
        <v>228</v>
      </c>
      <c r="C8" s="176"/>
      <c r="D8" s="59">
        <v>9.24</v>
      </c>
      <c r="E8" s="177">
        <v>8.72</v>
      </c>
      <c r="F8" s="178">
        <v>7.98</v>
      </c>
      <c r="G8" s="88">
        <v>8.79</v>
      </c>
      <c r="H8" s="172">
        <v>8.45</v>
      </c>
      <c r="I8" s="173">
        <v>9.25</v>
      </c>
      <c r="J8" s="91">
        <v>8.92</v>
      </c>
      <c r="K8" s="92" t="s">
        <v>28</v>
      </c>
      <c r="L8" s="140" t="s">
        <v>35</v>
      </c>
      <c r="M8" s="95" t="s">
        <v>35</v>
      </c>
      <c r="N8" s="174">
        <f t="shared" si="1"/>
        <v>8.76</v>
      </c>
      <c r="O8" s="175" t="s">
        <v>29</v>
      </c>
      <c r="P8" s="43" t="s">
        <v>30</v>
      </c>
      <c r="Q8" s="142"/>
    </row>
    <row r="9" ht="15.0" customHeight="1">
      <c r="A9" s="135">
        <v>3.0</v>
      </c>
      <c r="B9" s="136" t="s">
        <v>229</v>
      </c>
      <c r="C9" s="176"/>
      <c r="D9" s="59">
        <v>7.81</v>
      </c>
      <c r="E9" s="177">
        <v>7.2</v>
      </c>
      <c r="F9" s="178">
        <v>7.01</v>
      </c>
      <c r="G9" s="88">
        <v>8.31</v>
      </c>
      <c r="H9" s="172">
        <v>7.43</v>
      </c>
      <c r="I9" s="173">
        <v>8.06</v>
      </c>
      <c r="J9" s="91">
        <v>8.19</v>
      </c>
      <c r="K9" s="92" t="s">
        <v>28</v>
      </c>
      <c r="L9" s="140" t="s">
        <v>35</v>
      </c>
      <c r="M9" s="95" t="s">
        <v>35</v>
      </c>
      <c r="N9" s="174">
        <f t="shared" si="1"/>
        <v>7.71</v>
      </c>
      <c r="O9" s="175" t="s">
        <v>29</v>
      </c>
      <c r="P9" s="43" t="s">
        <v>30</v>
      </c>
      <c r="Q9" s="142"/>
    </row>
    <row r="10" ht="15.0" customHeight="1">
      <c r="A10" s="135">
        <v>4.0</v>
      </c>
      <c r="B10" s="136" t="s">
        <v>230</v>
      </c>
      <c r="C10" s="176"/>
      <c r="D10" s="59">
        <v>7.18</v>
      </c>
      <c r="E10" s="177">
        <v>7.0</v>
      </c>
      <c r="F10" s="179">
        <v>7.0</v>
      </c>
      <c r="G10" s="88">
        <v>7.49</v>
      </c>
      <c r="H10" s="172">
        <v>7.17</v>
      </c>
      <c r="I10" s="173">
        <v>7.63</v>
      </c>
      <c r="J10" s="91">
        <v>7.36</v>
      </c>
      <c r="K10" s="92" t="s">
        <v>28</v>
      </c>
      <c r="L10" s="140" t="s">
        <v>35</v>
      </c>
      <c r="M10" s="95" t="s">
        <v>35</v>
      </c>
      <c r="N10" s="174">
        <f t="shared" si="1"/>
        <v>7.26</v>
      </c>
      <c r="O10" s="175" t="s">
        <v>29</v>
      </c>
      <c r="P10" s="43" t="s">
        <v>231</v>
      </c>
      <c r="Q10" s="142"/>
    </row>
    <row r="11" ht="15.0" customHeight="1">
      <c r="A11" s="135">
        <v>5.0</v>
      </c>
      <c r="B11" s="136" t="s">
        <v>232</v>
      </c>
      <c r="C11" s="176"/>
      <c r="D11" s="59">
        <v>9.36</v>
      </c>
      <c r="E11" s="180">
        <v>9.06</v>
      </c>
      <c r="F11" s="178">
        <v>8.02</v>
      </c>
      <c r="G11" s="88">
        <v>9.07</v>
      </c>
      <c r="H11" s="172">
        <v>9.57</v>
      </c>
      <c r="I11" s="173">
        <v>9.3</v>
      </c>
      <c r="J11" s="91">
        <v>9.39</v>
      </c>
      <c r="K11" s="92" t="s">
        <v>28</v>
      </c>
      <c r="L11" s="140" t="s">
        <v>35</v>
      </c>
      <c r="M11" s="95" t="s">
        <v>35</v>
      </c>
      <c r="N11" s="174">
        <f t="shared" si="1"/>
        <v>9.11</v>
      </c>
      <c r="O11" s="175" t="s">
        <v>29</v>
      </c>
      <c r="P11" s="43" t="s">
        <v>30</v>
      </c>
      <c r="Q11" s="142"/>
    </row>
    <row r="12" ht="15.0" customHeight="1">
      <c r="A12" s="135">
        <v>6.0</v>
      </c>
      <c r="B12" s="136" t="s">
        <v>233</v>
      </c>
      <c r="C12" s="176"/>
      <c r="D12" s="59">
        <v>8.44</v>
      </c>
      <c r="E12" s="180">
        <v>8.03</v>
      </c>
      <c r="F12" s="181">
        <v>7.57</v>
      </c>
      <c r="G12" s="88">
        <v>8.81</v>
      </c>
      <c r="H12" s="172">
        <v>7.88</v>
      </c>
      <c r="I12" s="173">
        <v>8.34</v>
      </c>
      <c r="J12" s="91">
        <v>8.11</v>
      </c>
      <c r="K12" s="92" t="s">
        <v>28</v>
      </c>
      <c r="L12" s="140" t="s">
        <v>35</v>
      </c>
      <c r="M12" s="95" t="s">
        <v>35</v>
      </c>
      <c r="N12" s="174">
        <f t="shared" si="1"/>
        <v>8.16</v>
      </c>
      <c r="O12" s="175" t="s">
        <v>29</v>
      </c>
      <c r="P12" s="43" t="s">
        <v>30</v>
      </c>
      <c r="Q12" s="142"/>
    </row>
    <row r="13" ht="15.0" customHeight="1">
      <c r="A13" s="135">
        <v>7.0</v>
      </c>
      <c r="B13" s="136" t="s">
        <v>234</v>
      </c>
      <c r="C13" s="176"/>
      <c r="D13" s="59">
        <v>9.05</v>
      </c>
      <c r="E13" s="177">
        <v>8.19</v>
      </c>
      <c r="F13" s="178">
        <v>8.31</v>
      </c>
      <c r="G13" s="88">
        <v>9.24</v>
      </c>
      <c r="H13" s="172">
        <v>9.2</v>
      </c>
      <c r="I13" s="173">
        <v>9.03</v>
      </c>
      <c r="J13" s="91">
        <v>9.32</v>
      </c>
      <c r="K13" s="92" t="s">
        <v>28</v>
      </c>
      <c r="L13" s="140" t="s">
        <v>35</v>
      </c>
      <c r="M13" s="95" t="s">
        <v>35</v>
      </c>
      <c r="N13" s="174">
        <f t="shared" si="1"/>
        <v>8.9</v>
      </c>
      <c r="O13" s="175" t="s">
        <v>29</v>
      </c>
      <c r="P13" s="43" t="s">
        <v>30</v>
      </c>
      <c r="Q13" s="142"/>
    </row>
    <row r="14" ht="15.0" customHeight="1">
      <c r="A14" s="135">
        <v>8.0</v>
      </c>
      <c r="B14" s="136" t="s">
        <v>235</v>
      </c>
      <c r="C14" s="176"/>
      <c r="D14" s="59">
        <v>9.07</v>
      </c>
      <c r="E14" s="177">
        <v>7.92</v>
      </c>
      <c r="F14" s="181">
        <v>8.01</v>
      </c>
      <c r="G14" s="88">
        <v>8.56</v>
      </c>
      <c r="H14" s="172">
        <v>9.08</v>
      </c>
      <c r="I14" s="173">
        <v>9.38</v>
      </c>
      <c r="J14" s="91">
        <v>9.67</v>
      </c>
      <c r="K14" s="92" t="s">
        <v>28</v>
      </c>
      <c r="L14" s="140" t="s">
        <v>35</v>
      </c>
      <c r="M14" s="95" t="s">
        <v>35</v>
      </c>
      <c r="N14" s="174">
        <f t="shared" si="1"/>
        <v>8.81</v>
      </c>
      <c r="O14" s="175" t="s">
        <v>29</v>
      </c>
      <c r="P14" s="43" t="s">
        <v>30</v>
      </c>
      <c r="Q14" s="142"/>
    </row>
    <row r="15" ht="15.0" customHeight="1">
      <c r="A15" s="135">
        <v>9.0</v>
      </c>
      <c r="B15" s="136" t="s">
        <v>236</v>
      </c>
      <c r="C15" s="176"/>
      <c r="D15" s="59">
        <v>9.61</v>
      </c>
      <c r="E15" s="170">
        <v>9.43</v>
      </c>
      <c r="F15" s="178">
        <v>9.43</v>
      </c>
      <c r="G15" s="88">
        <v>9.6</v>
      </c>
      <c r="H15" s="182">
        <v>9.61</v>
      </c>
      <c r="I15" s="173">
        <v>9.53</v>
      </c>
      <c r="J15" s="91">
        <v>9.74</v>
      </c>
      <c r="K15" s="92" t="s">
        <v>35</v>
      </c>
      <c r="L15" s="140" t="s">
        <v>35</v>
      </c>
      <c r="M15" s="95" t="s">
        <v>35</v>
      </c>
      <c r="N15" s="174">
        <f t="shared" si="1"/>
        <v>9.56</v>
      </c>
      <c r="O15" s="175" t="s">
        <v>29</v>
      </c>
      <c r="P15" s="43" t="s">
        <v>30</v>
      </c>
      <c r="Q15" s="142"/>
    </row>
    <row r="16" ht="15.0" customHeight="1">
      <c r="A16" s="135">
        <v>10.0</v>
      </c>
      <c r="B16" s="136" t="s">
        <v>237</v>
      </c>
      <c r="C16" s="176"/>
      <c r="D16" s="59">
        <v>7.63</v>
      </c>
      <c r="E16" s="177">
        <v>7.17</v>
      </c>
      <c r="F16" s="171">
        <v>7.0</v>
      </c>
      <c r="G16" s="88">
        <v>7.65</v>
      </c>
      <c r="H16" s="182">
        <v>7.59</v>
      </c>
      <c r="I16" s="173">
        <v>7.61</v>
      </c>
      <c r="J16" s="91">
        <v>7.54</v>
      </c>
      <c r="K16" s="92" t="s">
        <v>27</v>
      </c>
      <c r="L16" s="140" t="s">
        <v>35</v>
      </c>
      <c r="M16" s="95" t="s">
        <v>35</v>
      </c>
      <c r="N16" s="174">
        <f t="shared" si="1"/>
        <v>7.45</v>
      </c>
      <c r="O16" s="175" t="s">
        <v>29</v>
      </c>
      <c r="P16" s="43" t="s">
        <v>30</v>
      </c>
      <c r="Q16" s="142"/>
    </row>
    <row r="17" ht="15.0" customHeight="1">
      <c r="A17" s="135">
        <v>11.0</v>
      </c>
      <c r="B17" s="136" t="s">
        <v>238</v>
      </c>
      <c r="C17" s="176"/>
      <c r="D17" s="59">
        <v>7.19</v>
      </c>
      <c r="E17" s="177">
        <v>7.0</v>
      </c>
      <c r="F17" s="179">
        <v>7.0</v>
      </c>
      <c r="G17" s="88">
        <v>7.93</v>
      </c>
      <c r="H17" s="172">
        <v>7.24</v>
      </c>
      <c r="I17" s="173">
        <v>7.1</v>
      </c>
      <c r="J17" s="91">
        <v>7.0</v>
      </c>
      <c r="K17" s="92" t="s">
        <v>27</v>
      </c>
      <c r="L17" s="140" t="s">
        <v>35</v>
      </c>
      <c r="M17" s="95" t="s">
        <v>35</v>
      </c>
      <c r="N17" s="174">
        <f t="shared" si="1"/>
        <v>7.2</v>
      </c>
      <c r="O17" s="175" t="s">
        <v>29</v>
      </c>
      <c r="P17" s="43" t="s">
        <v>231</v>
      </c>
      <c r="Q17" s="142"/>
    </row>
    <row r="18" ht="15.0" customHeight="1">
      <c r="A18" s="135">
        <v>12.0</v>
      </c>
      <c r="B18" s="136" t="s">
        <v>239</v>
      </c>
      <c r="C18" s="176"/>
      <c r="D18" s="59">
        <v>9.43</v>
      </c>
      <c r="E18" s="177">
        <v>9.18</v>
      </c>
      <c r="F18" s="178">
        <v>9.22</v>
      </c>
      <c r="G18" s="88">
        <v>9.42</v>
      </c>
      <c r="H18" s="172">
        <v>9.42</v>
      </c>
      <c r="I18" s="173">
        <v>9.91</v>
      </c>
      <c r="J18" s="91">
        <v>9.92</v>
      </c>
      <c r="K18" s="92" t="s">
        <v>28</v>
      </c>
      <c r="L18" s="140" t="s">
        <v>35</v>
      </c>
      <c r="M18" s="95" t="s">
        <v>35</v>
      </c>
      <c r="N18" s="174">
        <f t="shared" si="1"/>
        <v>9.5</v>
      </c>
      <c r="O18" s="175" t="s">
        <v>29</v>
      </c>
      <c r="P18" s="43" t="s">
        <v>30</v>
      </c>
      <c r="Q18" s="142"/>
    </row>
    <row r="19" ht="15.0" customHeight="1">
      <c r="A19" s="135">
        <v>13.0</v>
      </c>
      <c r="B19" s="136" t="s">
        <v>240</v>
      </c>
      <c r="C19" s="176"/>
      <c r="D19" s="59">
        <v>7.68</v>
      </c>
      <c r="E19" s="177">
        <v>7.35</v>
      </c>
      <c r="F19" s="181">
        <v>7.01</v>
      </c>
      <c r="G19" s="88">
        <v>8.69</v>
      </c>
      <c r="H19" s="172">
        <v>7.96</v>
      </c>
      <c r="I19" s="173">
        <v>7.79</v>
      </c>
      <c r="J19" s="91">
        <v>8.3</v>
      </c>
      <c r="K19" s="92" t="s">
        <v>27</v>
      </c>
      <c r="L19" s="140" t="s">
        <v>35</v>
      </c>
      <c r="M19" s="95" t="s">
        <v>35</v>
      </c>
      <c r="N19" s="174">
        <f t="shared" si="1"/>
        <v>7.82</v>
      </c>
      <c r="O19" s="175" t="s">
        <v>29</v>
      </c>
      <c r="P19" s="43" t="s">
        <v>30</v>
      </c>
      <c r="Q19" s="142"/>
    </row>
    <row r="20" ht="15.0" customHeight="1">
      <c r="A20" s="135">
        <v>14.0</v>
      </c>
      <c r="B20" s="136" t="s">
        <v>241</v>
      </c>
      <c r="C20" s="176"/>
      <c r="D20" s="59">
        <v>7.27</v>
      </c>
      <c r="E20" s="177">
        <v>7.0</v>
      </c>
      <c r="F20" s="178">
        <v>7.06</v>
      </c>
      <c r="G20" s="88">
        <v>7.97</v>
      </c>
      <c r="H20" s="172">
        <v>7.5</v>
      </c>
      <c r="I20" s="173">
        <v>7.0</v>
      </c>
      <c r="J20" s="91">
        <v>7.48</v>
      </c>
      <c r="K20" s="92" t="s">
        <v>28</v>
      </c>
      <c r="L20" s="140" t="s">
        <v>35</v>
      </c>
      <c r="M20" s="95" t="s">
        <v>35</v>
      </c>
      <c r="N20" s="174">
        <f t="shared" si="1"/>
        <v>7.32</v>
      </c>
      <c r="O20" s="175" t="s">
        <v>29</v>
      </c>
      <c r="P20" s="43" t="s">
        <v>231</v>
      </c>
      <c r="Q20" s="142"/>
    </row>
    <row r="21" ht="15.0" customHeight="1">
      <c r="A21" s="135">
        <v>15.0</v>
      </c>
      <c r="B21" s="136" t="s">
        <v>242</v>
      </c>
      <c r="C21" s="176"/>
      <c r="D21" s="59">
        <v>7.75</v>
      </c>
      <c r="E21" s="177">
        <v>7.0</v>
      </c>
      <c r="F21" s="179">
        <v>7.0</v>
      </c>
      <c r="G21" s="88">
        <v>7.72</v>
      </c>
      <c r="H21" s="172">
        <v>8.06</v>
      </c>
      <c r="I21" s="173">
        <v>8.16</v>
      </c>
      <c r="J21" s="91">
        <v>8.93</v>
      </c>
      <c r="K21" s="92" t="s">
        <v>28</v>
      </c>
      <c r="L21" s="140" t="s">
        <v>35</v>
      </c>
      <c r="M21" s="95" t="s">
        <v>35</v>
      </c>
      <c r="N21" s="174">
        <f t="shared" si="1"/>
        <v>7.8</v>
      </c>
      <c r="O21" s="175" t="s">
        <v>29</v>
      </c>
      <c r="P21" s="43" t="s">
        <v>231</v>
      </c>
      <c r="Q21" s="142"/>
    </row>
    <row r="22" ht="15.0" customHeight="1">
      <c r="A22" s="135">
        <v>16.0</v>
      </c>
      <c r="B22" s="136" t="s">
        <v>243</v>
      </c>
      <c r="C22" s="176"/>
      <c r="D22" s="59">
        <v>7.72</v>
      </c>
      <c r="E22" s="177">
        <v>7.0</v>
      </c>
      <c r="F22" s="179">
        <v>7.0</v>
      </c>
      <c r="G22" s="88">
        <v>8.38</v>
      </c>
      <c r="H22" s="172">
        <v>7.51</v>
      </c>
      <c r="I22" s="173">
        <v>7.0</v>
      </c>
      <c r="J22" s="91">
        <v>7.86</v>
      </c>
      <c r="K22" s="92" t="s">
        <v>28</v>
      </c>
      <c r="L22" s="140" t="s">
        <v>35</v>
      </c>
      <c r="M22" s="95" t="s">
        <v>35</v>
      </c>
      <c r="N22" s="174">
        <f t="shared" si="1"/>
        <v>7.49</v>
      </c>
      <c r="O22" s="175" t="s">
        <v>29</v>
      </c>
      <c r="P22" s="43" t="s">
        <v>231</v>
      </c>
      <c r="Q22" s="142"/>
    </row>
    <row r="23" ht="15.0" customHeight="1">
      <c r="A23" s="135">
        <v>17.0</v>
      </c>
      <c r="B23" s="136" t="s">
        <v>244</v>
      </c>
      <c r="C23" s="176"/>
      <c r="D23" s="59">
        <v>9.54</v>
      </c>
      <c r="E23" s="177">
        <v>9.69</v>
      </c>
      <c r="F23" s="178">
        <v>9.12</v>
      </c>
      <c r="G23" s="88">
        <v>9.53</v>
      </c>
      <c r="H23" s="172">
        <v>9.57</v>
      </c>
      <c r="I23" s="173">
        <v>9.25</v>
      </c>
      <c r="J23" s="91">
        <v>9.6</v>
      </c>
      <c r="K23" s="92" t="s">
        <v>28</v>
      </c>
      <c r="L23" s="140" t="s">
        <v>35</v>
      </c>
      <c r="M23" s="95" t="s">
        <v>35</v>
      </c>
      <c r="N23" s="174">
        <f t="shared" si="1"/>
        <v>9.47</v>
      </c>
      <c r="O23" s="175" t="s">
        <v>29</v>
      </c>
      <c r="P23" s="43" t="s">
        <v>30</v>
      </c>
      <c r="Q23" s="142"/>
    </row>
    <row r="24" ht="15.0" customHeight="1">
      <c r="A24" s="135">
        <v>18.0</v>
      </c>
      <c r="B24" s="136" t="s">
        <v>245</v>
      </c>
      <c r="C24" s="176"/>
      <c r="D24" s="59">
        <v>8.98</v>
      </c>
      <c r="E24" s="177">
        <v>9.23</v>
      </c>
      <c r="F24" s="178">
        <v>9.22</v>
      </c>
      <c r="G24" s="88">
        <v>9.26</v>
      </c>
      <c r="H24" s="172">
        <v>8.97</v>
      </c>
      <c r="I24" s="173">
        <v>9.78</v>
      </c>
      <c r="J24" s="91">
        <v>9.72</v>
      </c>
      <c r="K24" s="92" t="s">
        <v>28</v>
      </c>
      <c r="L24" s="140" t="s">
        <v>35</v>
      </c>
      <c r="M24" s="95" t="s">
        <v>35</v>
      </c>
      <c r="N24" s="174">
        <f t="shared" si="1"/>
        <v>9.3</v>
      </c>
      <c r="O24" s="175" t="s">
        <v>29</v>
      </c>
      <c r="P24" s="43" t="s">
        <v>30</v>
      </c>
      <c r="Q24" s="142"/>
    </row>
    <row r="25" ht="15.0" customHeight="1">
      <c r="A25" s="135">
        <v>19.0</v>
      </c>
      <c r="B25" s="136" t="s">
        <v>246</v>
      </c>
      <c r="C25" s="176"/>
      <c r="D25" s="59">
        <v>8.8</v>
      </c>
      <c r="E25" s="177">
        <v>8.34</v>
      </c>
      <c r="F25" s="178">
        <v>7.85</v>
      </c>
      <c r="G25" s="88">
        <v>8.64</v>
      </c>
      <c r="H25" s="172">
        <v>8.37</v>
      </c>
      <c r="I25" s="173">
        <v>8.98</v>
      </c>
      <c r="J25" s="91">
        <v>8.7</v>
      </c>
      <c r="K25" s="92" t="s">
        <v>28</v>
      </c>
      <c r="L25" s="140" t="s">
        <v>35</v>
      </c>
      <c r="M25" s="95" t="s">
        <v>35</v>
      </c>
      <c r="N25" s="174">
        <f t="shared" si="1"/>
        <v>8.52</v>
      </c>
      <c r="O25" s="175" t="s">
        <v>29</v>
      </c>
      <c r="P25" s="43" t="s">
        <v>30</v>
      </c>
      <c r="Q25" s="142"/>
    </row>
    <row r="26" ht="15.0" customHeight="1">
      <c r="A26" s="135">
        <v>20.0</v>
      </c>
      <c r="B26" s="136" t="s">
        <v>247</v>
      </c>
      <c r="C26" s="176"/>
      <c r="D26" s="59">
        <v>7.84</v>
      </c>
      <c r="E26" s="177">
        <v>8.17</v>
      </c>
      <c r="F26" s="181">
        <v>7.22</v>
      </c>
      <c r="G26" s="88">
        <v>7.92</v>
      </c>
      <c r="H26" s="172">
        <v>8.27</v>
      </c>
      <c r="I26" s="173">
        <v>7.97</v>
      </c>
      <c r="J26" s="91">
        <v>8.28</v>
      </c>
      <c r="K26" s="92" t="s">
        <v>27</v>
      </c>
      <c r="L26" s="140" t="s">
        <v>35</v>
      </c>
      <c r="M26" s="95" t="s">
        <v>35</v>
      </c>
      <c r="N26" s="174">
        <f t="shared" si="1"/>
        <v>7.95</v>
      </c>
      <c r="O26" s="175" t="s">
        <v>29</v>
      </c>
      <c r="P26" s="43" t="s">
        <v>30</v>
      </c>
      <c r="Q26" s="142"/>
    </row>
    <row r="27" ht="18.0" customHeight="1">
      <c r="A27" s="135">
        <v>21.0</v>
      </c>
      <c r="B27" s="136" t="s">
        <v>248</v>
      </c>
      <c r="C27" s="176"/>
      <c r="D27" s="59">
        <v>8.04</v>
      </c>
      <c r="E27" s="180">
        <v>8.04</v>
      </c>
      <c r="F27" s="178">
        <v>7.69</v>
      </c>
      <c r="G27" s="88">
        <v>8.69</v>
      </c>
      <c r="H27" s="172">
        <v>8.2</v>
      </c>
      <c r="I27" s="173">
        <v>8.69</v>
      </c>
      <c r="J27" s="91">
        <v>8.7</v>
      </c>
      <c r="K27" s="92" t="s">
        <v>35</v>
      </c>
      <c r="L27" s="140" t="s">
        <v>35</v>
      </c>
      <c r="M27" s="95" t="s">
        <v>35</v>
      </c>
      <c r="N27" s="174">
        <f t="shared" si="1"/>
        <v>8.29</v>
      </c>
      <c r="O27" s="175" t="s">
        <v>29</v>
      </c>
      <c r="P27" s="43" t="s">
        <v>30</v>
      </c>
      <c r="Q27" s="142"/>
    </row>
    <row r="28" ht="15.0" customHeight="1">
      <c r="A28" s="135">
        <v>22.0</v>
      </c>
      <c r="B28" s="136" t="s">
        <v>249</v>
      </c>
      <c r="C28" s="176"/>
      <c r="D28" s="59">
        <v>9.34</v>
      </c>
      <c r="E28" s="180">
        <v>9.07</v>
      </c>
      <c r="F28" s="178">
        <v>9.44</v>
      </c>
      <c r="G28" s="88">
        <v>9.8</v>
      </c>
      <c r="H28" s="172">
        <v>8.89</v>
      </c>
      <c r="I28" s="173">
        <v>9.86</v>
      </c>
      <c r="J28" s="91">
        <v>9.66</v>
      </c>
      <c r="K28" s="92" t="s">
        <v>35</v>
      </c>
      <c r="L28" s="140" t="s">
        <v>35</v>
      </c>
      <c r="M28" s="95" t="s">
        <v>35</v>
      </c>
      <c r="N28" s="174">
        <f t="shared" si="1"/>
        <v>9.43</v>
      </c>
      <c r="O28" s="175" t="s">
        <v>29</v>
      </c>
      <c r="P28" s="43" t="s">
        <v>30</v>
      </c>
      <c r="Q28" s="142"/>
    </row>
    <row r="29" ht="18.0" customHeight="1">
      <c r="A29" s="135">
        <v>23.0</v>
      </c>
      <c r="B29" s="136" t="s">
        <v>250</v>
      </c>
      <c r="C29" s="176"/>
      <c r="D29" s="59">
        <v>7.8</v>
      </c>
      <c r="E29" s="177">
        <v>7.0</v>
      </c>
      <c r="F29" s="179">
        <v>7.0</v>
      </c>
      <c r="G29" s="88">
        <v>8.43</v>
      </c>
      <c r="H29" s="172">
        <v>8.05</v>
      </c>
      <c r="I29" s="173">
        <v>7.55</v>
      </c>
      <c r="J29" s="91">
        <v>8.08</v>
      </c>
      <c r="K29" s="92" t="s">
        <v>28</v>
      </c>
      <c r="L29" s="140" t="s">
        <v>35</v>
      </c>
      <c r="M29" s="95" t="s">
        <v>35</v>
      </c>
      <c r="N29" s="174">
        <f t="shared" si="1"/>
        <v>7.7</v>
      </c>
      <c r="O29" s="175" t="s">
        <v>29</v>
      </c>
      <c r="P29" s="43" t="s">
        <v>231</v>
      </c>
      <c r="Q29" s="142"/>
    </row>
    <row r="30" ht="15.0" customHeight="1">
      <c r="A30" s="135">
        <v>24.0</v>
      </c>
      <c r="B30" s="136" t="s">
        <v>251</v>
      </c>
      <c r="C30" s="176"/>
      <c r="D30" s="59">
        <v>8.72</v>
      </c>
      <c r="E30" s="177">
        <v>7.8</v>
      </c>
      <c r="F30" s="178">
        <v>7.57</v>
      </c>
      <c r="G30" s="88">
        <v>8.2</v>
      </c>
      <c r="H30" s="172">
        <v>8.4</v>
      </c>
      <c r="I30" s="173">
        <v>7.81</v>
      </c>
      <c r="J30" s="91">
        <v>8.33</v>
      </c>
      <c r="K30" s="92" t="s">
        <v>28</v>
      </c>
      <c r="L30" s="140" t="s">
        <v>35</v>
      </c>
      <c r="M30" s="95" t="s">
        <v>35</v>
      </c>
      <c r="N30" s="174">
        <f t="shared" si="1"/>
        <v>8.11</v>
      </c>
      <c r="O30" s="175" t="s">
        <v>29</v>
      </c>
      <c r="P30" s="43" t="s">
        <v>30</v>
      </c>
      <c r="Q30" s="142"/>
    </row>
    <row r="31" ht="15.0" customHeight="1">
      <c r="A31" s="135">
        <v>25.0</v>
      </c>
      <c r="B31" s="136" t="s">
        <v>252</v>
      </c>
      <c r="C31" s="176"/>
      <c r="D31" s="59">
        <v>7.59</v>
      </c>
      <c r="E31" s="177">
        <v>7.0</v>
      </c>
      <c r="F31" s="179">
        <v>7.0</v>
      </c>
      <c r="G31" s="88">
        <v>8.52</v>
      </c>
      <c r="H31" s="172">
        <v>7.6</v>
      </c>
      <c r="I31" s="173">
        <v>7.07</v>
      </c>
      <c r="J31" s="91">
        <v>7.17</v>
      </c>
      <c r="K31" s="92" t="s">
        <v>28</v>
      </c>
      <c r="L31" s="140" t="s">
        <v>35</v>
      </c>
      <c r="M31" s="95" t="s">
        <v>35</v>
      </c>
      <c r="N31" s="174">
        <f t="shared" si="1"/>
        <v>7.42</v>
      </c>
      <c r="O31" s="175" t="s">
        <v>29</v>
      </c>
      <c r="P31" s="43" t="s">
        <v>30</v>
      </c>
      <c r="Q31" s="142"/>
    </row>
    <row r="32" ht="15.0" customHeight="1">
      <c r="A32" s="135">
        <v>26.0</v>
      </c>
      <c r="B32" s="136" t="s">
        <v>253</v>
      </c>
      <c r="C32" s="176"/>
      <c r="D32" s="59">
        <v>7.83</v>
      </c>
      <c r="E32" s="177">
        <v>7.0</v>
      </c>
      <c r="F32" s="179">
        <v>7.0</v>
      </c>
      <c r="G32" s="88">
        <v>7.02</v>
      </c>
      <c r="H32" s="172">
        <v>7.22</v>
      </c>
      <c r="I32" s="173">
        <v>7.0</v>
      </c>
      <c r="J32" s="91">
        <v>7.44</v>
      </c>
      <c r="K32" s="92" t="s">
        <v>28</v>
      </c>
      <c r="L32" s="140" t="s">
        <v>35</v>
      </c>
      <c r="M32" s="95" t="s">
        <v>35</v>
      </c>
      <c r="N32" s="174">
        <f t="shared" si="1"/>
        <v>7.21</v>
      </c>
      <c r="O32" s="175" t="s">
        <v>29</v>
      </c>
      <c r="P32" s="43" t="s">
        <v>30</v>
      </c>
      <c r="Q32" s="142"/>
    </row>
    <row r="33" ht="15.0" customHeight="1">
      <c r="A33" s="135">
        <v>27.0</v>
      </c>
      <c r="B33" s="136" t="s">
        <v>254</v>
      </c>
      <c r="C33" s="176"/>
      <c r="D33" s="59">
        <v>7.28</v>
      </c>
      <c r="E33" s="180">
        <v>7.0</v>
      </c>
      <c r="F33" s="179">
        <v>7.0</v>
      </c>
      <c r="G33" s="88">
        <v>7.1</v>
      </c>
      <c r="H33" s="172">
        <v>7.4</v>
      </c>
      <c r="I33" s="173">
        <v>7.09</v>
      </c>
      <c r="J33" s="91">
        <v>7.28</v>
      </c>
      <c r="K33" s="92" t="s">
        <v>27</v>
      </c>
      <c r="L33" s="140" t="s">
        <v>35</v>
      </c>
      <c r="M33" s="95" t="s">
        <v>35</v>
      </c>
      <c r="N33" s="174">
        <f t="shared" si="1"/>
        <v>7.16</v>
      </c>
      <c r="O33" s="175" t="s">
        <v>29</v>
      </c>
      <c r="P33" s="43" t="s">
        <v>30</v>
      </c>
      <c r="Q33" s="142"/>
    </row>
    <row r="34" ht="15.0" customHeight="1">
      <c r="A34" s="135">
        <v>28.0</v>
      </c>
      <c r="B34" s="136" t="s">
        <v>255</v>
      </c>
      <c r="C34" s="176"/>
      <c r="D34" s="59">
        <v>8.94</v>
      </c>
      <c r="E34" s="177">
        <v>9.19</v>
      </c>
      <c r="F34" s="181">
        <v>7.96</v>
      </c>
      <c r="G34" s="88">
        <v>8.42</v>
      </c>
      <c r="H34" s="172">
        <v>9.31</v>
      </c>
      <c r="I34" s="173">
        <v>7.96</v>
      </c>
      <c r="J34" s="91">
        <v>8.68</v>
      </c>
      <c r="K34" s="92" t="s">
        <v>28</v>
      </c>
      <c r="L34" s="140" t="s">
        <v>35</v>
      </c>
      <c r="M34" s="95" t="s">
        <v>35</v>
      </c>
      <c r="N34" s="174">
        <f t="shared" si="1"/>
        <v>8.63</v>
      </c>
      <c r="O34" s="175" t="s">
        <v>29</v>
      </c>
      <c r="P34" s="43" t="s">
        <v>30</v>
      </c>
      <c r="Q34" s="142"/>
    </row>
    <row r="35" ht="15.0" customHeight="1">
      <c r="A35" s="135">
        <v>29.0</v>
      </c>
      <c r="B35" s="136" t="s">
        <v>256</v>
      </c>
      <c r="C35" s="176"/>
      <c r="D35" s="59">
        <v>7.83</v>
      </c>
      <c r="E35" s="177">
        <v>7.69</v>
      </c>
      <c r="F35" s="181">
        <v>7.02</v>
      </c>
      <c r="G35" s="88">
        <v>8.24</v>
      </c>
      <c r="H35" s="172">
        <v>7.67</v>
      </c>
      <c r="I35" s="173">
        <v>7.91</v>
      </c>
      <c r="J35" s="91">
        <v>8.47</v>
      </c>
      <c r="K35" s="92" t="s">
        <v>28</v>
      </c>
      <c r="L35" s="140" t="s">
        <v>35</v>
      </c>
      <c r="M35" s="95" t="s">
        <v>35</v>
      </c>
      <c r="N35" s="174">
        <f t="shared" si="1"/>
        <v>7.83</v>
      </c>
      <c r="O35" s="175" t="s">
        <v>29</v>
      </c>
      <c r="P35" s="43" t="s">
        <v>30</v>
      </c>
      <c r="Q35" s="142"/>
    </row>
    <row r="36" ht="15.0" customHeight="1">
      <c r="A36" s="135">
        <v>30.0</v>
      </c>
      <c r="B36" s="136" t="s">
        <v>257</v>
      </c>
      <c r="C36" s="176"/>
      <c r="D36" s="59">
        <v>7.33</v>
      </c>
      <c r="E36" s="177">
        <v>7.0</v>
      </c>
      <c r="F36" s="178">
        <v>7.05</v>
      </c>
      <c r="G36" s="88">
        <v>7.61</v>
      </c>
      <c r="H36" s="172">
        <v>7.26</v>
      </c>
      <c r="I36" s="173">
        <v>7.08</v>
      </c>
      <c r="J36" s="91">
        <v>7.05</v>
      </c>
      <c r="K36" s="92" t="s">
        <v>27</v>
      </c>
      <c r="L36" s="140" t="s">
        <v>35</v>
      </c>
      <c r="M36" s="95" t="s">
        <v>35</v>
      </c>
      <c r="N36" s="174">
        <f t="shared" si="1"/>
        <v>7.19</v>
      </c>
      <c r="O36" s="175" t="s">
        <v>154</v>
      </c>
      <c r="P36" s="43" t="s">
        <v>30</v>
      </c>
      <c r="Q36" s="142"/>
    </row>
    <row r="37" ht="15.0" customHeight="1">
      <c r="A37" s="183">
        <v>31.0</v>
      </c>
      <c r="B37" s="184" t="s">
        <v>258</v>
      </c>
      <c r="C37" s="176"/>
      <c r="D37" s="59">
        <v>7.53</v>
      </c>
      <c r="E37" s="177">
        <v>7.11</v>
      </c>
      <c r="F37" s="181">
        <v>7.02</v>
      </c>
      <c r="G37" s="88">
        <v>7.98</v>
      </c>
      <c r="H37" s="172">
        <v>7.09</v>
      </c>
      <c r="I37" s="173">
        <v>7.3</v>
      </c>
      <c r="J37" s="91">
        <v>7.91</v>
      </c>
      <c r="K37" s="92" t="s">
        <v>27</v>
      </c>
      <c r="L37" s="140" t="s">
        <v>35</v>
      </c>
      <c r="M37" s="95" t="s">
        <v>35</v>
      </c>
      <c r="N37" s="174">
        <f t="shared" si="1"/>
        <v>7.42</v>
      </c>
      <c r="O37" s="175" t="s">
        <v>154</v>
      </c>
      <c r="P37" s="43" t="s">
        <v>30</v>
      </c>
      <c r="Q37" s="142"/>
    </row>
    <row r="38" ht="15.0" customHeight="1">
      <c r="A38" s="183">
        <v>32.0</v>
      </c>
      <c r="B38" s="136" t="s">
        <v>259</v>
      </c>
      <c r="C38" s="176"/>
      <c r="D38" s="59">
        <v>8.48</v>
      </c>
      <c r="E38" s="177">
        <v>8.37</v>
      </c>
      <c r="F38" s="178">
        <v>7.8</v>
      </c>
      <c r="G38" s="88">
        <v>8.47</v>
      </c>
      <c r="H38" s="172">
        <v>8.84</v>
      </c>
      <c r="I38" s="173">
        <v>8.63</v>
      </c>
      <c r="J38" s="91">
        <v>8.78</v>
      </c>
      <c r="K38" s="92" t="s">
        <v>27</v>
      </c>
      <c r="L38" s="140" t="s">
        <v>35</v>
      </c>
      <c r="M38" s="95" t="s">
        <v>35</v>
      </c>
      <c r="N38" s="174">
        <f t="shared" si="1"/>
        <v>8.48</v>
      </c>
      <c r="O38" s="175" t="s">
        <v>29</v>
      </c>
      <c r="P38" s="43" t="s">
        <v>30</v>
      </c>
      <c r="Q38" s="142"/>
    </row>
    <row r="39" ht="18.0" customHeight="1">
      <c r="A39" s="183">
        <v>33.0</v>
      </c>
      <c r="B39" s="136" t="s">
        <v>260</v>
      </c>
      <c r="C39" s="176"/>
      <c r="D39" s="59">
        <v>8.23</v>
      </c>
      <c r="E39" s="177">
        <v>7.67</v>
      </c>
      <c r="F39" s="178">
        <v>7.41</v>
      </c>
      <c r="G39" s="88">
        <v>8.36</v>
      </c>
      <c r="H39" s="172">
        <v>8.13</v>
      </c>
      <c r="I39" s="173">
        <v>8.52</v>
      </c>
      <c r="J39" s="91">
        <v>8.31</v>
      </c>
      <c r="K39" s="92" t="s">
        <v>28</v>
      </c>
      <c r="L39" s="140" t="s">
        <v>35</v>
      </c>
      <c r="M39" s="95" t="s">
        <v>35</v>
      </c>
      <c r="N39" s="174">
        <f t="shared" si="1"/>
        <v>8.09</v>
      </c>
      <c r="O39" s="175" t="s">
        <v>29</v>
      </c>
      <c r="P39" s="43" t="s">
        <v>30</v>
      </c>
      <c r="Q39" s="142"/>
    </row>
    <row r="40" ht="15.0" customHeight="1">
      <c r="A40" s="183">
        <v>34.0</v>
      </c>
      <c r="B40" s="136" t="s">
        <v>261</v>
      </c>
      <c r="C40" s="176"/>
      <c r="D40" s="59">
        <v>8.92</v>
      </c>
      <c r="E40" s="177">
        <v>8.66</v>
      </c>
      <c r="F40" s="178">
        <v>8.14</v>
      </c>
      <c r="G40" s="88">
        <v>8.73</v>
      </c>
      <c r="H40" s="172">
        <v>9.0</v>
      </c>
      <c r="I40" s="173">
        <v>9.08</v>
      </c>
      <c r="J40" s="91">
        <v>8.77</v>
      </c>
      <c r="K40" s="92" t="s">
        <v>28</v>
      </c>
      <c r="L40" s="140" t="s">
        <v>35</v>
      </c>
      <c r="M40" s="95" t="s">
        <v>35</v>
      </c>
      <c r="N40" s="174">
        <f t="shared" si="1"/>
        <v>8.75</v>
      </c>
      <c r="O40" s="175" t="s">
        <v>29</v>
      </c>
      <c r="P40" s="43" t="s">
        <v>30</v>
      </c>
      <c r="Q40" s="142"/>
    </row>
    <row r="41" ht="14.25" customHeight="1">
      <c r="A41" s="183">
        <v>35.0</v>
      </c>
      <c r="B41" s="136" t="s">
        <v>262</v>
      </c>
      <c r="C41" s="176"/>
      <c r="D41" s="59">
        <v>9.09</v>
      </c>
      <c r="E41" s="177">
        <v>8.9</v>
      </c>
      <c r="F41" s="178">
        <v>8.88</v>
      </c>
      <c r="G41" s="88">
        <v>8.94</v>
      </c>
      <c r="H41" s="172">
        <v>8.68</v>
      </c>
      <c r="I41" s="173">
        <v>9.23</v>
      </c>
      <c r="J41" s="91">
        <v>9.67</v>
      </c>
      <c r="K41" s="92" t="s">
        <v>28</v>
      </c>
      <c r="L41" s="140" t="s">
        <v>35</v>
      </c>
      <c r="M41" s="95" t="s">
        <v>35</v>
      </c>
      <c r="N41" s="174">
        <f t="shared" si="1"/>
        <v>9.05</v>
      </c>
      <c r="O41" s="175" t="s">
        <v>29</v>
      </c>
      <c r="P41" s="43" t="s">
        <v>30</v>
      </c>
      <c r="Q41" s="142"/>
    </row>
    <row r="42" ht="15.0" customHeight="1">
      <c r="A42" s="183">
        <v>36.0</v>
      </c>
      <c r="B42" s="136" t="s">
        <v>263</v>
      </c>
      <c r="C42" s="176"/>
      <c r="D42" s="59">
        <v>9.21</v>
      </c>
      <c r="E42" s="180">
        <v>9.03</v>
      </c>
      <c r="F42" s="178">
        <v>8.11</v>
      </c>
      <c r="G42" s="88">
        <v>8.82</v>
      </c>
      <c r="H42" s="172">
        <v>8.35</v>
      </c>
      <c r="I42" s="173">
        <v>8.61</v>
      </c>
      <c r="J42" s="91">
        <v>8.74</v>
      </c>
      <c r="K42" s="92" t="s">
        <v>28</v>
      </c>
      <c r="L42" s="140" t="s">
        <v>35</v>
      </c>
      <c r="M42" s="95" t="s">
        <v>35</v>
      </c>
      <c r="N42" s="174">
        <f t="shared" si="1"/>
        <v>8.69</v>
      </c>
      <c r="O42" s="175" t="s">
        <v>29</v>
      </c>
      <c r="P42" s="43" t="s">
        <v>30</v>
      </c>
      <c r="Q42" s="142"/>
    </row>
    <row r="43" ht="15.0" customHeight="1">
      <c r="A43" s="183">
        <v>37.0</v>
      </c>
      <c r="B43" s="185" t="s">
        <v>264</v>
      </c>
      <c r="C43" s="132"/>
      <c r="D43" s="59">
        <v>2.59</v>
      </c>
      <c r="E43" s="186">
        <v>2.45</v>
      </c>
      <c r="F43" s="179">
        <v>2.47</v>
      </c>
      <c r="G43" s="88">
        <v>2.63</v>
      </c>
      <c r="H43" s="187">
        <v>2.61</v>
      </c>
      <c r="I43" s="173">
        <v>2.87</v>
      </c>
      <c r="J43" s="91">
        <v>2.44</v>
      </c>
      <c r="K43" s="92" t="s">
        <v>27</v>
      </c>
      <c r="L43" s="140" t="s">
        <v>43</v>
      </c>
      <c r="M43" s="95" t="s">
        <v>43</v>
      </c>
      <c r="N43" s="188">
        <v>2.58</v>
      </c>
      <c r="O43" s="175" t="s">
        <v>29</v>
      </c>
      <c r="P43" s="43" t="s">
        <v>265</v>
      </c>
      <c r="Q43" s="142"/>
    </row>
    <row r="44" ht="15.0" customHeight="1">
      <c r="A44" s="183">
        <v>38.0</v>
      </c>
      <c r="B44" s="185" t="s">
        <v>266</v>
      </c>
      <c r="C44" s="132"/>
      <c r="D44" s="59">
        <v>7.82</v>
      </c>
      <c r="E44" s="180">
        <v>7.09</v>
      </c>
      <c r="F44" s="178">
        <v>7.25</v>
      </c>
      <c r="G44" s="88">
        <v>8.13</v>
      </c>
      <c r="H44" s="189">
        <v>7.0</v>
      </c>
      <c r="I44" s="173">
        <v>7.25</v>
      </c>
      <c r="J44" s="91">
        <v>8.43</v>
      </c>
      <c r="K44" s="92" t="s">
        <v>28</v>
      </c>
      <c r="L44" s="140" t="s">
        <v>35</v>
      </c>
      <c r="M44" s="95" t="s">
        <v>35</v>
      </c>
      <c r="N44" s="174">
        <f t="shared" ref="N44:N45" si="2">TRUNC(AVERAGE(D44:J44),2)</f>
        <v>7.56</v>
      </c>
      <c r="O44" s="175" t="s">
        <v>29</v>
      </c>
      <c r="P44" s="43" t="s">
        <v>30</v>
      </c>
      <c r="Q44" s="142"/>
    </row>
    <row r="45" ht="15.0" customHeight="1">
      <c r="A45" s="183">
        <v>39.0</v>
      </c>
      <c r="B45" s="190" t="s">
        <v>267</v>
      </c>
      <c r="C45" s="132"/>
      <c r="D45" s="59">
        <v>9.58</v>
      </c>
      <c r="E45" s="180">
        <v>9.34</v>
      </c>
      <c r="F45" s="178">
        <v>9.46</v>
      </c>
      <c r="G45" s="88">
        <v>9.19</v>
      </c>
      <c r="H45" s="189">
        <v>9.42</v>
      </c>
      <c r="I45" s="173">
        <v>9.78</v>
      </c>
      <c r="J45" s="91">
        <v>9.72</v>
      </c>
      <c r="K45" s="92" t="s">
        <v>35</v>
      </c>
      <c r="L45" s="140" t="s">
        <v>35</v>
      </c>
      <c r="M45" s="95" t="s">
        <v>35</v>
      </c>
      <c r="N45" s="174">
        <f t="shared" si="2"/>
        <v>9.49</v>
      </c>
      <c r="O45" s="175" t="s">
        <v>29</v>
      </c>
      <c r="P45" s="43" t="s">
        <v>30</v>
      </c>
      <c r="Q45" s="11"/>
    </row>
    <row r="46" ht="14.25" customHeight="1">
      <c r="B46" s="10" t="s">
        <v>73</v>
      </c>
      <c r="D46" s="191">
        <f t="shared" ref="D46:J46" si="3">AVERAGE(D6:D45)</f>
        <v>8.19974359</v>
      </c>
      <c r="E46" s="192">
        <f t="shared" si="3"/>
        <v>7.871538462</v>
      </c>
      <c r="F46" s="193">
        <f t="shared" si="3"/>
        <v>7.623076923</v>
      </c>
      <c r="G46" s="194">
        <f t="shared" si="3"/>
        <v>8.323333333</v>
      </c>
      <c r="H46" s="195">
        <f t="shared" si="3"/>
        <v>8.101282051</v>
      </c>
      <c r="I46" s="194">
        <f t="shared" si="3"/>
        <v>8.198205128</v>
      </c>
      <c r="J46" s="194">
        <f t="shared" si="3"/>
        <v>8.367948718</v>
      </c>
      <c r="K46" s="196"/>
      <c r="L46" s="196"/>
      <c r="M46" s="196"/>
      <c r="N46" s="197">
        <f>AVERAGE(N6:N45)</f>
        <v>8.093333333</v>
      </c>
      <c r="O46" s="196"/>
      <c r="P46" s="129"/>
    </row>
    <row r="47" ht="14.25" customHeight="1"/>
    <row r="48" ht="14.25" customHeight="1"/>
    <row r="49" ht="14.25" customHeight="1">
      <c r="B49" s="67" t="s">
        <v>74</v>
      </c>
      <c r="C49" s="68"/>
      <c r="G49" s="69" t="s">
        <v>75</v>
      </c>
      <c r="H49" s="70"/>
      <c r="I49" s="70"/>
      <c r="J49" s="71"/>
      <c r="K49" s="72"/>
      <c r="L49" s="69" t="s">
        <v>268</v>
      </c>
      <c r="M49" s="70"/>
      <c r="N49" s="70"/>
      <c r="O49" s="70"/>
      <c r="P49" s="71"/>
    </row>
    <row r="50" ht="14.25" customHeight="1">
      <c r="B50" s="67" t="s">
        <v>77</v>
      </c>
      <c r="C50" s="68"/>
      <c r="G50" s="69" t="s">
        <v>78</v>
      </c>
      <c r="H50" s="70"/>
      <c r="I50" s="70"/>
      <c r="J50" s="70"/>
      <c r="K50" s="71"/>
      <c r="L50" s="69" t="s">
        <v>79</v>
      </c>
      <c r="M50" s="70"/>
      <c r="N50" s="70"/>
      <c r="O50" s="71"/>
      <c r="P50" s="10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6">
    <mergeCell ref="A1:P1"/>
    <mergeCell ref="B2:P2"/>
    <mergeCell ref="C3:E3"/>
    <mergeCell ref="I3:J3"/>
    <mergeCell ref="K3:N3"/>
    <mergeCell ref="I4:J4"/>
    <mergeCell ref="B6:C6"/>
    <mergeCell ref="G50:K50"/>
    <mergeCell ref="L50:O50"/>
    <mergeCell ref="B43:C43"/>
    <mergeCell ref="B44:C44"/>
    <mergeCell ref="B45:C45"/>
    <mergeCell ref="B49:C49"/>
    <mergeCell ref="G49:J49"/>
    <mergeCell ref="L49:P49"/>
    <mergeCell ref="B50:C50"/>
  </mergeCells>
  <conditionalFormatting sqref="D7:D45 E7:E42 F7:J45">
    <cfRule type="cellIs" dxfId="1" priority="1" operator="lessThan">
      <formula>7</formula>
    </cfRule>
  </conditionalFormatting>
  <conditionalFormatting sqref="D7:D45 E7:E42 F7:J45">
    <cfRule type="cellIs" dxfId="1" priority="2" operator="lessThan">
      <formula>6.29</formula>
    </cfRule>
  </conditionalFormatting>
  <conditionalFormatting sqref="N7:N45">
    <cfRule type="cellIs" dxfId="4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8.71"/>
    <col customWidth="1" min="17" max="26" width="14.0"/>
  </cols>
  <sheetData>
    <row r="1" ht="72.75" customHeight="1">
      <c r="A1" s="113" t="s">
        <v>269</v>
      </c>
    </row>
    <row r="2" ht="14.25" customHeight="1">
      <c r="A2" s="2"/>
      <c r="B2" s="3" t="s">
        <v>1</v>
      </c>
    </row>
    <row r="3" ht="14.25" customHeight="1">
      <c r="B3" s="75" t="s">
        <v>270</v>
      </c>
      <c r="C3" s="5" t="s">
        <v>271</v>
      </c>
      <c r="F3" s="6"/>
      <c r="G3" s="6"/>
      <c r="H3" s="6"/>
      <c r="I3" s="7" t="s">
        <v>3</v>
      </c>
      <c r="K3" s="8" t="s">
        <v>4</v>
      </c>
    </row>
    <row r="4" ht="14.25" customHeight="1">
      <c r="B4" s="9" t="s">
        <v>5</v>
      </c>
      <c r="C4" s="76" t="s">
        <v>272</v>
      </c>
      <c r="E4" s="6"/>
      <c r="F4" s="6"/>
      <c r="G4" s="6"/>
      <c r="H4" s="6"/>
      <c r="I4" s="7" t="s">
        <v>8</v>
      </c>
      <c r="K4" s="11" t="s">
        <v>9</v>
      </c>
      <c r="M4" s="6"/>
    </row>
    <row r="5" ht="6.0" customHeight="1">
      <c r="B5" s="12"/>
      <c r="C5" s="12"/>
      <c r="D5" s="9"/>
      <c r="E5" s="9"/>
      <c r="F5" s="9"/>
      <c r="G5" s="9"/>
      <c r="H5" s="9"/>
      <c r="I5" s="9"/>
      <c r="J5" s="9"/>
      <c r="K5" s="9"/>
      <c r="L5" s="9"/>
      <c r="M5" s="9"/>
    </row>
    <row r="6" ht="157.5" customHeight="1">
      <c r="A6" s="77" t="s">
        <v>10</v>
      </c>
      <c r="B6" s="15" t="s">
        <v>11</v>
      </c>
      <c r="C6" s="78"/>
      <c r="D6" s="16" t="s">
        <v>12</v>
      </c>
      <c r="E6" s="17" t="s">
        <v>13</v>
      </c>
      <c r="F6" s="198" t="s">
        <v>14</v>
      </c>
      <c r="G6" s="199" t="s">
        <v>15</v>
      </c>
      <c r="H6" s="20" t="s">
        <v>16</v>
      </c>
      <c r="I6" s="79" t="s">
        <v>84</v>
      </c>
      <c r="J6" s="22" t="s">
        <v>18</v>
      </c>
      <c r="K6" s="80" t="s">
        <v>85</v>
      </c>
      <c r="L6" s="24" t="s">
        <v>20</v>
      </c>
      <c r="M6" s="25" t="s">
        <v>21</v>
      </c>
      <c r="N6" s="81" t="s">
        <v>22</v>
      </c>
      <c r="O6" s="82" t="s">
        <v>23</v>
      </c>
      <c r="P6" s="83" t="s">
        <v>24</v>
      </c>
    </row>
    <row r="7" ht="14.25" customHeight="1">
      <c r="A7" s="135">
        <v>1.0</v>
      </c>
      <c r="B7" s="136" t="s">
        <v>273</v>
      </c>
      <c r="C7" s="136"/>
      <c r="D7" s="59">
        <v>7.36</v>
      </c>
      <c r="E7" s="200">
        <v>7.12</v>
      </c>
      <c r="F7" s="201">
        <v>7.09</v>
      </c>
      <c r="G7" s="88">
        <v>7.51</v>
      </c>
      <c r="H7" s="89">
        <v>7.3</v>
      </c>
      <c r="I7" s="120">
        <v>7.21</v>
      </c>
      <c r="J7" s="91">
        <v>8.14</v>
      </c>
      <c r="K7" s="92" t="s">
        <v>27</v>
      </c>
      <c r="L7" s="202" t="s">
        <v>28</v>
      </c>
      <c r="M7" s="59" t="s">
        <v>28</v>
      </c>
      <c r="N7" s="66">
        <f t="shared" ref="N7:N43" si="1">TRUNC(AVERAGE(D7:J7),2)</f>
        <v>7.39</v>
      </c>
      <c r="O7" s="93" t="s">
        <v>29</v>
      </c>
      <c r="P7" s="43" t="s">
        <v>30</v>
      </c>
    </row>
    <row r="8" ht="15.0" customHeight="1">
      <c r="A8" s="135">
        <v>2.0</v>
      </c>
      <c r="B8" s="136" t="s">
        <v>274</v>
      </c>
      <c r="C8" s="136"/>
      <c r="D8" s="59">
        <v>7.76</v>
      </c>
      <c r="E8" s="203">
        <v>8.17</v>
      </c>
      <c r="F8" s="204">
        <v>7.69</v>
      </c>
      <c r="G8" s="88">
        <v>8.12</v>
      </c>
      <c r="H8" s="189">
        <v>8.84</v>
      </c>
      <c r="I8" s="120">
        <v>7.95</v>
      </c>
      <c r="J8" s="91">
        <v>8.48</v>
      </c>
      <c r="K8" s="92" t="s">
        <v>28</v>
      </c>
      <c r="L8" s="49" t="s">
        <v>28</v>
      </c>
      <c r="M8" s="59" t="s">
        <v>28</v>
      </c>
      <c r="N8" s="66">
        <f t="shared" si="1"/>
        <v>8.14</v>
      </c>
      <c r="O8" s="93" t="s">
        <v>29</v>
      </c>
      <c r="P8" s="43" t="s">
        <v>30</v>
      </c>
    </row>
    <row r="9" ht="15.0" customHeight="1">
      <c r="A9" s="135">
        <v>3.0</v>
      </c>
      <c r="B9" s="136" t="s">
        <v>275</v>
      </c>
      <c r="C9" s="184" t="s">
        <v>276</v>
      </c>
      <c r="D9" s="59">
        <v>7.56</v>
      </c>
      <c r="E9" s="203">
        <v>7.86</v>
      </c>
      <c r="F9" s="204">
        <v>7.23</v>
      </c>
      <c r="G9" s="88">
        <v>7.7</v>
      </c>
      <c r="H9" s="182">
        <v>7.87</v>
      </c>
      <c r="I9" s="120">
        <v>7.74</v>
      </c>
      <c r="J9" s="91">
        <v>8.01</v>
      </c>
      <c r="K9" s="92" t="s">
        <v>27</v>
      </c>
      <c r="L9" s="49" t="s">
        <v>28</v>
      </c>
      <c r="M9" s="59" t="s">
        <v>28</v>
      </c>
      <c r="N9" s="66">
        <f t="shared" si="1"/>
        <v>7.71</v>
      </c>
      <c r="O9" s="93" t="s">
        <v>29</v>
      </c>
      <c r="P9" s="43" t="s">
        <v>30</v>
      </c>
    </row>
    <row r="10" ht="15.0" customHeight="1">
      <c r="A10" s="135">
        <v>4.0</v>
      </c>
      <c r="B10" s="136" t="s">
        <v>277</v>
      </c>
      <c r="C10" s="136"/>
      <c r="D10" s="59">
        <v>7.48</v>
      </c>
      <c r="E10" s="203">
        <v>7.26</v>
      </c>
      <c r="F10" s="205">
        <v>7.05</v>
      </c>
      <c r="G10" s="88">
        <v>7.45</v>
      </c>
      <c r="H10" s="182">
        <v>7.64</v>
      </c>
      <c r="I10" s="120">
        <v>8.23</v>
      </c>
      <c r="J10" s="91">
        <v>8.05</v>
      </c>
      <c r="K10" s="92" t="s">
        <v>28</v>
      </c>
      <c r="L10" s="49" t="s">
        <v>28</v>
      </c>
      <c r="M10" s="59" t="s">
        <v>28</v>
      </c>
      <c r="N10" s="66">
        <f t="shared" si="1"/>
        <v>7.59</v>
      </c>
      <c r="O10" s="93" t="s">
        <v>137</v>
      </c>
      <c r="P10" s="43" t="s">
        <v>30</v>
      </c>
    </row>
    <row r="11" ht="15.0" customHeight="1">
      <c r="A11" s="135">
        <v>5.0</v>
      </c>
      <c r="B11" s="136" t="s">
        <v>278</v>
      </c>
      <c r="C11" s="136"/>
      <c r="D11" s="59">
        <v>7.25</v>
      </c>
      <c r="E11" s="203">
        <v>7.2</v>
      </c>
      <c r="F11" s="206">
        <v>7.0</v>
      </c>
      <c r="G11" s="88">
        <v>7.69</v>
      </c>
      <c r="H11" s="182">
        <v>7.67</v>
      </c>
      <c r="I11" s="120">
        <v>7.31</v>
      </c>
      <c r="J11" s="91">
        <v>8.33</v>
      </c>
      <c r="K11" s="92" t="s">
        <v>27</v>
      </c>
      <c r="L11" s="49" t="s">
        <v>28</v>
      </c>
      <c r="M11" s="59" t="s">
        <v>28</v>
      </c>
      <c r="N11" s="66">
        <f t="shared" si="1"/>
        <v>7.49</v>
      </c>
      <c r="O11" s="93" t="s">
        <v>29</v>
      </c>
      <c r="P11" s="43" t="s">
        <v>30</v>
      </c>
    </row>
    <row r="12" ht="15.0" customHeight="1">
      <c r="A12" s="135">
        <v>6.0</v>
      </c>
      <c r="B12" s="136" t="s">
        <v>279</v>
      </c>
      <c r="C12" s="136"/>
      <c r="D12" s="59">
        <v>7.68</v>
      </c>
      <c r="E12" s="203">
        <v>8.37</v>
      </c>
      <c r="F12" s="204">
        <v>8.07</v>
      </c>
      <c r="G12" s="88">
        <v>7.96</v>
      </c>
      <c r="H12" s="89">
        <v>9.0</v>
      </c>
      <c r="I12" s="120">
        <v>9.07</v>
      </c>
      <c r="J12" s="91">
        <v>9.03</v>
      </c>
      <c r="K12" s="92" t="s">
        <v>28</v>
      </c>
      <c r="L12" s="53" t="s">
        <v>28</v>
      </c>
      <c r="M12" s="59" t="s">
        <v>35</v>
      </c>
      <c r="N12" s="66">
        <f t="shared" si="1"/>
        <v>8.45</v>
      </c>
      <c r="O12" s="93" t="s">
        <v>137</v>
      </c>
      <c r="P12" s="43" t="s">
        <v>30</v>
      </c>
    </row>
    <row r="13" ht="15.0" customHeight="1">
      <c r="A13" s="135">
        <v>7.0</v>
      </c>
      <c r="B13" s="136" t="s">
        <v>280</v>
      </c>
      <c r="C13" s="136"/>
      <c r="D13" s="59">
        <v>7.92</v>
      </c>
      <c r="E13" s="203">
        <v>8.4</v>
      </c>
      <c r="F13" s="204">
        <v>7.71</v>
      </c>
      <c r="G13" s="88">
        <v>9.14</v>
      </c>
      <c r="H13" s="89">
        <v>8.9</v>
      </c>
      <c r="I13" s="120">
        <v>9.55</v>
      </c>
      <c r="J13" s="91">
        <v>9.51</v>
      </c>
      <c r="K13" s="92" t="s">
        <v>28</v>
      </c>
      <c r="L13" s="53" t="s">
        <v>28</v>
      </c>
      <c r="M13" s="59" t="s">
        <v>35</v>
      </c>
      <c r="N13" s="66">
        <f t="shared" si="1"/>
        <v>8.73</v>
      </c>
      <c r="O13" s="93" t="s">
        <v>29</v>
      </c>
      <c r="P13" s="43" t="s">
        <v>30</v>
      </c>
    </row>
    <row r="14" ht="15.0" customHeight="1">
      <c r="A14" s="135">
        <v>8.0</v>
      </c>
      <c r="B14" s="136" t="s">
        <v>281</v>
      </c>
      <c r="C14" s="136"/>
      <c r="D14" s="59">
        <v>8.7</v>
      </c>
      <c r="E14" s="203">
        <v>8.6</v>
      </c>
      <c r="F14" s="204">
        <v>8.03</v>
      </c>
      <c r="G14" s="88">
        <v>9.33</v>
      </c>
      <c r="H14" s="89">
        <v>8.84</v>
      </c>
      <c r="I14" s="120">
        <v>8.84</v>
      </c>
      <c r="J14" s="91">
        <v>8.52</v>
      </c>
      <c r="K14" s="92" t="s">
        <v>35</v>
      </c>
      <c r="L14" s="53" t="s">
        <v>28</v>
      </c>
      <c r="M14" s="59" t="s">
        <v>28</v>
      </c>
      <c r="N14" s="66">
        <f t="shared" si="1"/>
        <v>8.69</v>
      </c>
      <c r="O14" s="93" t="s">
        <v>29</v>
      </c>
      <c r="P14" s="43" t="s">
        <v>30</v>
      </c>
    </row>
    <row r="15" ht="15.0" customHeight="1">
      <c r="A15" s="135">
        <v>9.0</v>
      </c>
      <c r="B15" s="136" t="s">
        <v>282</v>
      </c>
      <c r="C15" s="136"/>
      <c r="D15" s="59">
        <v>7.28</v>
      </c>
      <c r="E15" s="200">
        <v>7.08</v>
      </c>
      <c r="F15" s="201">
        <v>7.01</v>
      </c>
      <c r="G15" s="88">
        <v>7.87</v>
      </c>
      <c r="H15" s="89">
        <v>8.17</v>
      </c>
      <c r="I15" s="120">
        <v>7.54</v>
      </c>
      <c r="J15" s="91">
        <v>7.92</v>
      </c>
      <c r="K15" s="92" t="s">
        <v>43</v>
      </c>
      <c r="L15" s="53" t="s">
        <v>28</v>
      </c>
      <c r="M15" s="59" t="s">
        <v>28</v>
      </c>
      <c r="N15" s="66">
        <f t="shared" si="1"/>
        <v>7.55</v>
      </c>
      <c r="O15" s="93" t="s">
        <v>29</v>
      </c>
      <c r="P15" s="43" t="s">
        <v>30</v>
      </c>
    </row>
    <row r="16" ht="15.0" customHeight="1">
      <c r="A16" s="135">
        <v>10.0</v>
      </c>
      <c r="B16" s="136" t="s">
        <v>283</v>
      </c>
      <c r="C16" s="136"/>
      <c r="D16" s="59">
        <v>7.51</v>
      </c>
      <c r="E16" s="207">
        <v>8.02</v>
      </c>
      <c r="F16" s="204">
        <v>7.85</v>
      </c>
      <c r="G16" s="88">
        <v>8.44</v>
      </c>
      <c r="H16" s="89">
        <v>7.99</v>
      </c>
      <c r="I16" s="120">
        <v>8.63</v>
      </c>
      <c r="J16" s="91">
        <v>8.79</v>
      </c>
      <c r="K16" s="92" t="s">
        <v>27</v>
      </c>
      <c r="L16" s="53" t="s">
        <v>28</v>
      </c>
      <c r="M16" s="59" t="s">
        <v>28</v>
      </c>
      <c r="N16" s="66">
        <f t="shared" si="1"/>
        <v>8.17</v>
      </c>
      <c r="O16" s="93" t="s">
        <v>29</v>
      </c>
      <c r="P16" s="43" t="s">
        <v>30</v>
      </c>
    </row>
    <row r="17" ht="15.0" customHeight="1">
      <c r="A17" s="135">
        <v>11.0</v>
      </c>
      <c r="B17" s="136" t="s">
        <v>284</v>
      </c>
      <c r="C17" s="136"/>
      <c r="D17" s="59">
        <v>7.25</v>
      </c>
      <c r="E17" s="203">
        <v>7.29</v>
      </c>
      <c r="F17" s="204">
        <v>7.07</v>
      </c>
      <c r="G17" s="88">
        <v>7.27</v>
      </c>
      <c r="H17" s="89">
        <v>7.27</v>
      </c>
      <c r="I17" s="120">
        <v>7.12</v>
      </c>
      <c r="J17" s="91">
        <v>8.07</v>
      </c>
      <c r="K17" s="92" t="s">
        <v>43</v>
      </c>
      <c r="L17" s="49" t="s">
        <v>28</v>
      </c>
      <c r="M17" s="59" t="s">
        <v>28</v>
      </c>
      <c r="N17" s="66">
        <f t="shared" si="1"/>
        <v>7.33</v>
      </c>
      <c r="O17" s="93" t="s">
        <v>137</v>
      </c>
      <c r="P17" s="43" t="s">
        <v>30</v>
      </c>
    </row>
    <row r="18" ht="15.0" customHeight="1">
      <c r="A18" s="135">
        <v>12.0</v>
      </c>
      <c r="B18" s="136" t="s">
        <v>285</v>
      </c>
      <c r="C18" s="136"/>
      <c r="D18" s="59">
        <v>7.34</v>
      </c>
      <c r="E18" s="207">
        <v>8.09</v>
      </c>
      <c r="F18" s="201">
        <v>7.15</v>
      </c>
      <c r="G18" s="88">
        <v>7.79</v>
      </c>
      <c r="H18" s="89">
        <v>7.61</v>
      </c>
      <c r="I18" s="120">
        <v>8.09</v>
      </c>
      <c r="J18" s="91">
        <v>8.26</v>
      </c>
      <c r="K18" s="92" t="s">
        <v>27</v>
      </c>
      <c r="L18" s="53" t="s">
        <v>28</v>
      </c>
      <c r="M18" s="59" t="s">
        <v>28</v>
      </c>
      <c r="N18" s="66">
        <f t="shared" si="1"/>
        <v>7.76</v>
      </c>
      <c r="O18" s="93" t="s">
        <v>29</v>
      </c>
      <c r="P18" s="43" t="s">
        <v>30</v>
      </c>
    </row>
    <row r="19" ht="15.0" customHeight="1">
      <c r="A19" s="135">
        <v>13.0</v>
      </c>
      <c r="B19" s="136" t="s">
        <v>286</v>
      </c>
      <c r="C19" s="136"/>
      <c r="D19" s="59">
        <v>9.0</v>
      </c>
      <c r="E19" s="203">
        <v>9.49</v>
      </c>
      <c r="F19" s="204">
        <v>8.95</v>
      </c>
      <c r="G19" s="88">
        <v>9.59</v>
      </c>
      <c r="H19" s="89">
        <v>9.46</v>
      </c>
      <c r="I19" s="120">
        <v>9.61</v>
      </c>
      <c r="J19" s="91">
        <v>9.66</v>
      </c>
      <c r="K19" s="92" t="s">
        <v>28</v>
      </c>
      <c r="L19" s="49" t="s">
        <v>28</v>
      </c>
      <c r="M19" s="59" t="s">
        <v>35</v>
      </c>
      <c r="N19" s="66">
        <f t="shared" si="1"/>
        <v>9.39</v>
      </c>
      <c r="O19" s="93" t="s">
        <v>29</v>
      </c>
      <c r="P19" s="43" t="s">
        <v>30</v>
      </c>
    </row>
    <row r="20" ht="15.0" customHeight="1">
      <c r="A20" s="135">
        <v>14.0</v>
      </c>
      <c r="B20" s="136" t="s">
        <v>287</v>
      </c>
      <c r="C20" s="136"/>
      <c r="D20" s="59">
        <v>7.48</v>
      </c>
      <c r="E20" s="203">
        <v>7.0</v>
      </c>
      <c r="F20" s="208">
        <v>7.0</v>
      </c>
      <c r="G20" s="88">
        <v>8.25</v>
      </c>
      <c r="H20" s="89">
        <v>7.0</v>
      </c>
      <c r="I20" s="120">
        <v>7.02</v>
      </c>
      <c r="J20" s="91">
        <v>8.18</v>
      </c>
      <c r="K20" s="92" t="s">
        <v>43</v>
      </c>
      <c r="L20" s="49" t="s">
        <v>28</v>
      </c>
      <c r="M20" s="59" t="s">
        <v>28</v>
      </c>
      <c r="N20" s="66">
        <f t="shared" si="1"/>
        <v>7.41</v>
      </c>
      <c r="O20" s="93" t="s">
        <v>154</v>
      </c>
      <c r="P20" s="43" t="s">
        <v>30</v>
      </c>
    </row>
    <row r="21" ht="15.0" customHeight="1">
      <c r="A21" s="135">
        <v>15.0</v>
      </c>
      <c r="B21" s="136" t="s">
        <v>288</v>
      </c>
      <c r="C21" s="136"/>
      <c r="D21" s="59">
        <v>7.33</v>
      </c>
      <c r="E21" s="203">
        <v>7.0</v>
      </c>
      <c r="F21" s="208">
        <v>7.0</v>
      </c>
      <c r="G21" s="88">
        <v>7.37</v>
      </c>
      <c r="H21" s="89">
        <v>7.0</v>
      </c>
      <c r="I21" s="120">
        <v>7.01</v>
      </c>
      <c r="J21" s="91">
        <v>7.49</v>
      </c>
      <c r="K21" s="92" t="s">
        <v>28</v>
      </c>
      <c r="L21" s="49" t="s">
        <v>28</v>
      </c>
      <c r="M21" s="59" t="s">
        <v>28</v>
      </c>
      <c r="N21" s="66">
        <f t="shared" si="1"/>
        <v>7.17</v>
      </c>
      <c r="O21" s="93" t="s">
        <v>29</v>
      </c>
      <c r="P21" s="43" t="s">
        <v>30</v>
      </c>
    </row>
    <row r="22" ht="15.0" customHeight="1">
      <c r="A22" s="135">
        <v>16.0</v>
      </c>
      <c r="B22" s="136" t="s">
        <v>289</v>
      </c>
      <c r="C22" s="136"/>
      <c r="D22" s="59">
        <v>9.44</v>
      </c>
      <c r="E22" s="203">
        <v>9.7</v>
      </c>
      <c r="F22" s="204">
        <v>9.06</v>
      </c>
      <c r="G22" s="88">
        <v>9.73</v>
      </c>
      <c r="H22" s="89">
        <v>9.57</v>
      </c>
      <c r="I22" s="120">
        <v>9.7</v>
      </c>
      <c r="J22" s="91">
        <v>9.83</v>
      </c>
      <c r="K22" s="92" t="s">
        <v>35</v>
      </c>
      <c r="L22" s="53" t="s">
        <v>35</v>
      </c>
      <c r="M22" s="59" t="s">
        <v>35</v>
      </c>
      <c r="N22" s="66">
        <f t="shared" si="1"/>
        <v>9.57</v>
      </c>
      <c r="O22" s="93" t="s">
        <v>29</v>
      </c>
      <c r="P22" s="43" t="s">
        <v>30</v>
      </c>
    </row>
    <row r="23" ht="15.0" customHeight="1">
      <c r="A23" s="135">
        <v>17.0</v>
      </c>
      <c r="B23" s="136" t="s">
        <v>290</v>
      </c>
      <c r="C23" s="136"/>
      <c r="D23" s="59">
        <v>9.52</v>
      </c>
      <c r="E23" s="203">
        <v>9.65</v>
      </c>
      <c r="F23" s="204">
        <v>8.94</v>
      </c>
      <c r="G23" s="88">
        <v>9.14</v>
      </c>
      <c r="H23" s="89">
        <v>9.63</v>
      </c>
      <c r="I23" s="120">
        <v>9.78</v>
      </c>
      <c r="J23" s="91">
        <v>9.86</v>
      </c>
      <c r="K23" s="92" t="s">
        <v>35</v>
      </c>
      <c r="L23" s="49" t="s">
        <v>28</v>
      </c>
      <c r="M23" s="59" t="s">
        <v>35</v>
      </c>
      <c r="N23" s="66">
        <f t="shared" si="1"/>
        <v>9.5</v>
      </c>
      <c r="O23" s="93" t="s">
        <v>29</v>
      </c>
      <c r="P23" s="43" t="s">
        <v>30</v>
      </c>
    </row>
    <row r="24" ht="15.0" customHeight="1">
      <c r="A24" s="135">
        <v>18.0</v>
      </c>
      <c r="B24" s="136" t="s">
        <v>291</v>
      </c>
      <c r="C24" s="136"/>
      <c r="D24" s="59">
        <v>8.64</v>
      </c>
      <c r="E24" s="203">
        <v>8.39</v>
      </c>
      <c r="F24" s="201">
        <v>8.47</v>
      </c>
      <c r="G24" s="88">
        <v>9.38</v>
      </c>
      <c r="H24" s="89">
        <v>8.9</v>
      </c>
      <c r="I24" s="120">
        <v>9.78</v>
      </c>
      <c r="J24" s="91">
        <v>9.76</v>
      </c>
      <c r="K24" s="92" t="s">
        <v>35</v>
      </c>
      <c r="L24" s="53" t="s">
        <v>28</v>
      </c>
      <c r="M24" s="59" t="s">
        <v>35</v>
      </c>
      <c r="N24" s="66">
        <f t="shared" si="1"/>
        <v>9.04</v>
      </c>
      <c r="O24" s="93" t="s">
        <v>29</v>
      </c>
      <c r="P24" s="43" t="s">
        <v>30</v>
      </c>
    </row>
    <row r="25" ht="15.0" customHeight="1">
      <c r="A25" s="135">
        <v>19.0</v>
      </c>
      <c r="B25" s="136" t="s">
        <v>292</v>
      </c>
      <c r="C25" s="136"/>
      <c r="D25" s="59">
        <v>7.96</v>
      </c>
      <c r="E25" s="203">
        <v>7.8</v>
      </c>
      <c r="F25" s="204">
        <v>7.73</v>
      </c>
      <c r="G25" s="88">
        <v>8.7</v>
      </c>
      <c r="H25" s="209">
        <v>8.15</v>
      </c>
      <c r="I25" s="120">
        <v>8.75</v>
      </c>
      <c r="J25" s="91">
        <v>9.18</v>
      </c>
      <c r="K25" s="92" t="s">
        <v>28</v>
      </c>
      <c r="L25" s="53" t="s">
        <v>28</v>
      </c>
      <c r="M25" s="59" t="s">
        <v>35</v>
      </c>
      <c r="N25" s="66">
        <f t="shared" si="1"/>
        <v>8.32</v>
      </c>
      <c r="O25" s="93" t="s">
        <v>154</v>
      </c>
      <c r="P25" s="43" t="s">
        <v>30</v>
      </c>
    </row>
    <row r="26" ht="15.0" customHeight="1">
      <c r="A26" s="135">
        <v>20.0</v>
      </c>
      <c r="B26" s="136" t="s">
        <v>293</v>
      </c>
      <c r="C26" s="136"/>
      <c r="D26" s="59">
        <v>8.86</v>
      </c>
      <c r="E26" s="203">
        <v>8.55</v>
      </c>
      <c r="F26" s="204">
        <v>8.19</v>
      </c>
      <c r="G26" s="88">
        <v>9.15</v>
      </c>
      <c r="H26" s="210">
        <v>8.84</v>
      </c>
      <c r="I26" s="120">
        <v>9.27</v>
      </c>
      <c r="J26" s="91">
        <v>9.53</v>
      </c>
      <c r="K26" s="92" t="s">
        <v>28</v>
      </c>
      <c r="L26" s="53" t="s">
        <v>28</v>
      </c>
      <c r="M26" s="59" t="s">
        <v>35</v>
      </c>
      <c r="N26" s="66">
        <f t="shared" si="1"/>
        <v>8.91</v>
      </c>
      <c r="O26" s="93" t="s">
        <v>29</v>
      </c>
      <c r="P26" s="43" t="s">
        <v>30</v>
      </c>
    </row>
    <row r="27" ht="18.0" customHeight="1">
      <c r="A27" s="135">
        <v>21.0</v>
      </c>
      <c r="B27" s="136" t="s">
        <v>294</v>
      </c>
      <c r="C27" s="136"/>
      <c r="D27" s="59">
        <v>8.26</v>
      </c>
      <c r="E27" s="203">
        <v>8.33</v>
      </c>
      <c r="F27" s="201">
        <v>8.97</v>
      </c>
      <c r="G27" s="88">
        <v>9.53</v>
      </c>
      <c r="H27" s="210">
        <v>8.89</v>
      </c>
      <c r="I27" s="120">
        <v>8.09</v>
      </c>
      <c r="J27" s="91">
        <v>8.73</v>
      </c>
      <c r="K27" s="92" t="s">
        <v>28</v>
      </c>
      <c r="L27" s="53" t="s">
        <v>28</v>
      </c>
      <c r="M27" s="59" t="s">
        <v>28</v>
      </c>
      <c r="N27" s="66">
        <f t="shared" si="1"/>
        <v>8.68</v>
      </c>
      <c r="O27" s="93" t="s">
        <v>29</v>
      </c>
      <c r="P27" s="43" t="s">
        <v>30</v>
      </c>
    </row>
    <row r="28" ht="15.0" customHeight="1">
      <c r="A28" s="135">
        <v>22.0</v>
      </c>
      <c r="B28" s="136" t="s">
        <v>295</v>
      </c>
      <c r="C28" s="136"/>
      <c r="D28" s="59">
        <v>8.18</v>
      </c>
      <c r="E28" s="203">
        <v>7.55</v>
      </c>
      <c r="F28" s="204">
        <v>7.69</v>
      </c>
      <c r="G28" s="88">
        <v>7.86</v>
      </c>
      <c r="H28" s="210">
        <v>7.85</v>
      </c>
      <c r="I28" s="120">
        <v>8.67</v>
      </c>
      <c r="J28" s="91">
        <v>9.28</v>
      </c>
      <c r="K28" s="92" t="s">
        <v>28</v>
      </c>
      <c r="L28" s="49" t="s">
        <v>28</v>
      </c>
      <c r="M28" s="59" t="s">
        <v>28</v>
      </c>
      <c r="N28" s="66">
        <f t="shared" si="1"/>
        <v>8.15</v>
      </c>
      <c r="O28" s="93" t="s">
        <v>29</v>
      </c>
      <c r="P28" s="43" t="s">
        <v>30</v>
      </c>
    </row>
    <row r="29" ht="18.0" customHeight="1">
      <c r="A29" s="135">
        <v>23.0</v>
      </c>
      <c r="B29" s="136" t="s">
        <v>296</v>
      </c>
      <c r="C29" s="136"/>
      <c r="D29" s="59">
        <v>7.19</v>
      </c>
      <c r="E29" s="203">
        <v>7.15</v>
      </c>
      <c r="F29" s="206">
        <v>7.0</v>
      </c>
      <c r="G29" s="88">
        <v>7.7</v>
      </c>
      <c r="H29" s="210">
        <v>7.49</v>
      </c>
      <c r="I29" s="120">
        <v>7.86</v>
      </c>
      <c r="J29" s="91">
        <v>8.26</v>
      </c>
      <c r="K29" s="92" t="s">
        <v>27</v>
      </c>
      <c r="L29" s="53" t="s">
        <v>28</v>
      </c>
      <c r="M29" s="59" t="s">
        <v>28</v>
      </c>
      <c r="N29" s="66">
        <f t="shared" si="1"/>
        <v>7.52</v>
      </c>
      <c r="O29" s="93" t="s">
        <v>137</v>
      </c>
      <c r="P29" s="43" t="s">
        <v>30</v>
      </c>
    </row>
    <row r="30" ht="15.0" customHeight="1">
      <c r="A30" s="135">
        <v>24.0</v>
      </c>
      <c r="B30" s="136" t="s">
        <v>297</v>
      </c>
      <c r="C30" s="136"/>
      <c r="D30" s="59">
        <v>8.09</v>
      </c>
      <c r="E30" s="203">
        <v>8.25</v>
      </c>
      <c r="F30" s="204">
        <v>7.86</v>
      </c>
      <c r="G30" s="88">
        <v>9.52</v>
      </c>
      <c r="H30" s="210">
        <v>9.19</v>
      </c>
      <c r="I30" s="120">
        <v>8.66</v>
      </c>
      <c r="J30" s="91">
        <v>9.38</v>
      </c>
      <c r="K30" s="92" t="s">
        <v>27</v>
      </c>
      <c r="L30" s="49" t="s">
        <v>28</v>
      </c>
      <c r="M30" s="59" t="s">
        <v>35</v>
      </c>
      <c r="N30" s="66">
        <f t="shared" si="1"/>
        <v>8.7</v>
      </c>
      <c r="O30" s="93" t="s">
        <v>137</v>
      </c>
      <c r="P30" s="43" t="s">
        <v>30</v>
      </c>
    </row>
    <row r="31" ht="15.0" customHeight="1">
      <c r="A31" s="135">
        <v>26.0</v>
      </c>
      <c r="B31" s="136" t="s">
        <v>298</v>
      </c>
      <c r="C31" s="136"/>
      <c r="D31" s="59">
        <v>8.45</v>
      </c>
      <c r="E31" s="203">
        <v>8.16</v>
      </c>
      <c r="F31" s="204">
        <v>8.11</v>
      </c>
      <c r="G31" s="88">
        <v>9.14</v>
      </c>
      <c r="H31" s="210">
        <v>8.41</v>
      </c>
      <c r="I31" s="120">
        <v>9.25</v>
      </c>
      <c r="J31" s="91">
        <v>9.36</v>
      </c>
      <c r="K31" s="92" t="s">
        <v>28</v>
      </c>
      <c r="L31" s="49" t="s">
        <v>28</v>
      </c>
      <c r="M31" s="59" t="s">
        <v>35</v>
      </c>
      <c r="N31" s="66">
        <f t="shared" si="1"/>
        <v>8.69</v>
      </c>
      <c r="O31" s="93" t="s">
        <v>29</v>
      </c>
      <c r="P31" s="43" t="s">
        <v>30</v>
      </c>
    </row>
    <row r="32" ht="15.0" customHeight="1">
      <c r="A32" s="135">
        <v>27.0</v>
      </c>
      <c r="B32" s="136" t="s">
        <v>299</v>
      </c>
      <c r="C32" s="136"/>
      <c r="D32" s="59">
        <v>8.9</v>
      </c>
      <c r="E32" s="203">
        <v>8.53</v>
      </c>
      <c r="F32" s="204">
        <v>8.73</v>
      </c>
      <c r="G32" s="88">
        <v>9.57</v>
      </c>
      <c r="H32" s="210">
        <v>9.01</v>
      </c>
      <c r="I32" s="120">
        <v>9.61</v>
      </c>
      <c r="J32" s="91">
        <v>9.59</v>
      </c>
      <c r="K32" s="92" t="s">
        <v>28</v>
      </c>
      <c r="L32" s="53" t="s">
        <v>28</v>
      </c>
      <c r="M32" s="59" t="s">
        <v>35</v>
      </c>
      <c r="N32" s="66">
        <f t="shared" si="1"/>
        <v>9.13</v>
      </c>
      <c r="O32" s="93" t="s">
        <v>29</v>
      </c>
      <c r="P32" s="43" t="s">
        <v>30</v>
      </c>
    </row>
    <row r="33" ht="15.0" customHeight="1">
      <c r="A33" s="135">
        <v>28.0</v>
      </c>
      <c r="B33" s="136" t="s">
        <v>300</v>
      </c>
      <c r="C33" s="136"/>
      <c r="D33" s="59">
        <v>7.42</v>
      </c>
      <c r="E33" s="203">
        <v>7.46</v>
      </c>
      <c r="F33" s="204">
        <v>7.42</v>
      </c>
      <c r="G33" s="88">
        <v>8.45</v>
      </c>
      <c r="H33" s="210">
        <v>8.07</v>
      </c>
      <c r="I33" s="120">
        <v>7.94</v>
      </c>
      <c r="J33" s="91">
        <v>8.75</v>
      </c>
      <c r="K33" s="92" t="s">
        <v>43</v>
      </c>
      <c r="L33" s="49" t="s">
        <v>28</v>
      </c>
      <c r="M33" s="59" t="s">
        <v>28</v>
      </c>
      <c r="N33" s="66">
        <f t="shared" si="1"/>
        <v>7.93</v>
      </c>
      <c r="O33" s="93" t="s">
        <v>29</v>
      </c>
      <c r="P33" s="43" t="s">
        <v>30</v>
      </c>
    </row>
    <row r="34" ht="15.0" customHeight="1">
      <c r="A34" s="135">
        <v>29.0</v>
      </c>
      <c r="B34" s="136" t="s">
        <v>301</v>
      </c>
      <c r="C34" s="136"/>
      <c r="D34" s="59">
        <v>8.38</v>
      </c>
      <c r="E34" s="203">
        <v>8.43</v>
      </c>
      <c r="F34" s="204">
        <v>7.06</v>
      </c>
      <c r="G34" s="88">
        <v>7.93</v>
      </c>
      <c r="H34" s="210">
        <v>8.27</v>
      </c>
      <c r="I34" s="120">
        <v>8.49</v>
      </c>
      <c r="J34" s="91">
        <v>8.39</v>
      </c>
      <c r="K34" s="92" t="s">
        <v>27</v>
      </c>
      <c r="L34" s="49" t="s">
        <v>28</v>
      </c>
      <c r="M34" s="59" t="s">
        <v>28</v>
      </c>
      <c r="N34" s="66">
        <f t="shared" si="1"/>
        <v>8.13</v>
      </c>
      <c r="O34" s="93" t="s">
        <v>29</v>
      </c>
      <c r="P34" s="43" t="s">
        <v>30</v>
      </c>
    </row>
    <row r="35" ht="15.0" customHeight="1">
      <c r="A35" s="135">
        <v>30.0</v>
      </c>
      <c r="B35" s="136" t="s">
        <v>302</v>
      </c>
      <c r="C35" s="136"/>
      <c r="D35" s="59">
        <v>7.1</v>
      </c>
      <c r="E35" s="207">
        <v>7.07</v>
      </c>
      <c r="F35" s="204">
        <v>7.03</v>
      </c>
      <c r="G35" s="88">
        <v>7.71</v>
      </c>
      <c r="H35" s="210">
        <v>7.75</v>
      </c>
      <c r="I35" s="120">
        <v>7.64</v>
      </c>
      <c r="J35" s="91">
        <v>8.7</v>
      </c>
      <c r="K35" s="92" t="s">
        <v>27</v>
      </c>
      <c r="L35" s="49" t="s">
        <v>28</v>
      </c>
      <c r="M35" s="59" t="s">
        <v>28</v>
      </c>
      <c r="N35" s="66">
        <f t="shared" si="1"/>
        <v>7.57</v>
      </c>
      <c r="O35" s="93" t="s">
        <v>137</v>
      </c>
      <c r="P35" s="43" t="s">
        <v>30</v>
      </c>
    </row>
    <row r="36" ht="15.0" customHeight="1">
      <c r="A36" s="135">
        <v>31.0</v>
      </c>
      <c r="B36" s="136" t="s">
        <v>303</v>
      </c>
      <c r="C36" s="136"/>
      <c r="D36" s="59">
        <v>8.01</v>
      </c>
      <c r="E36" s="207">
        <v>8.07</v>
      </c>
      <c r="F36" s="204">
        <v>7.54</v>
      </c>
      <c r="G36" s="88">
        <v>9.11</v>
      </c>
      <c r="H36" s="210">
        <v>8.06</v>
      </c>
      <c r="I36" s="120">
        <v>8.31</v>
      </c>
      <c r="J36" s="91">
        <v>8.69</v>
      </c>
      <c r="K36" s="92" t="s">
        <v>28</v>
      </c>
      <c r="L36" s="49" t="s">
        <v>28</v>
      </c>
      <c r="M36" s="59" t="s">
        <v>28</v>
      </c>
      <c r="N36" s="66">
        <f t="shared" si="1"/>
        <v>8.25</v>
      </c>
      <c r="O36" s="93" t="s">
        <v>137</v>
      </c>
      <c r="P36" s="43" t="s">
        <v>30</v>
      </c>
    </row>
    <row r="37" ht="15.0" customHeight="1">
      <c r="A37" s="135">
        <v>32.0</v>
      </c>
      <c r="B37" s="136" t="s">
        <v>304</v>
      </c>
      <c r="C37" s="136"/>
      <c r="D37" s="59">
        <v>7.89</v>
      </c>
      <c r="E37" s="203">
        <v>7.87</v>
      </c>
      <c r="F37" s="201">
        <v>7.52</v>
      </c>
      <c r="G37" s="88">
        <v>8.16</v>
      </c>
      <c r="H37" s="211">
        <v>8.59</v>
      </c>
      <c r="I37" s="120">
        <v>8.56</v>
      </c>
      <c r="J37" s="91">
        <v>9.21</v>
      </c>
      <c r="K37" s="92" t="s">
        <v>28</v>
      </c>
      <c r="L37" s="53" t="s">
        <v>28</v>
      </c>
      <c r="M37" s="59" t="s">
        <v>28</v>
      </c>
      <c r="N37" s="66">
        <f t="shared" si="1"/>
        <v>8.25</v>
      </c>
      <c r="O37" s="93" t="s">
        <v>29</v>
      </c>
      <c r="P37" s="43" t="s">
        <v>30</v>
      </c>
    </row>
    <row r="38" ht="18.0" customHeight="1">
      <c r="A38" s="135">
        <v>33.0</v>
      </c>
      <c r="B38" s="136" t="s">
        <v>305</v>
      </c>
      <c r="C38" s="136"/>
      <c r="D38" s="59">
        <v>8.06</v>
      </c>
      <c r="E38" s="203">
        <v>7.52</v>
      </c>
      <c r="F38" s="204">
        <v>7.72</v>
      </c>
      <c r="G38" s="88">
        <v>8.16</v>
      </c>
      <c r="H38" s="211">
        <v>8.44</v>
      </c>
      <c r="I38" s="120">
        <v>8.91</v>
      </c>
      <c r="J38" s="91">
        <v>8.53</v>
      </c>
      <c r="K38" s="92" t="s">
        <v>28</v>
      </c>
      <c r="L38" s="53" t="s">
        <v>28</v>
      </c>
      <c r="M38" s="59" t="s">
        <v>28</v>
      </c>
      <c r="N38" s="66">
        <f t="shared" si="1"/>
        <v>8.19</v>
      </c>
      <c r="O38" s="93" t="s">
        <v>154</v>
      </c>
      <c r="P38" s="43" t="s">
        <v>30</v>
      </c>
    </row>
    <row r="39" ht="15.0" customHeight="1">
      <c r="A39" s="135">
        <v>34.0</v>
      </c>
      <c r="B39" s="136" t="s">
        <v>306</v>
      </c>
      <c r="C39" s="136"/>
      <c r="D39" s="59">
        <v>8.51</v>
      </c>
      <c r="E39" s="203">
        <v>8.99</v>
      </c>
      <c r="F39" s="204">
        <v>8.68</v>
      </c>
      <c r="G39" s="88">
        <v>9.2</v>
      </c>
      <c r="H39" s="211">
        <v>8.91</v>
      </c>
      <c r="I39" s="120">
        <v>9.56</v>
      </c>
      <c r="J39" s="91">
        <v>9.44</v>
      </c>
      <c r="K39" s="92" t="s">
        <v>28</v>
      </c>
      <c r="L39" s="53" t="s">
        <v>28</v>
      </c>
      <c r="M39" s="59" t="s">
        <v>35</v>
      </c>
      <c r="N39" s="66">
        <f t="shared" si="1"/>
        <v>9.04</v>
      </c>
      <c r="O39" s="93" t="s">
        <v>29</v>
      </c>
      <c r="P39" s="43" t="s">
        <v>30</v>
      </c>
    </row>
    <row r="40" ht="14.25" customHeight="1">
      <c r="A40" s="135">
        <v>35.0</v>
      </c>
      <c r="B40" s="153" t="s">
        <v>307</v>
      </c>
      <c r="C40" s="153"/>
      <c r="D40" s="59">
        <v>7.86</v>
      </c>
      <c r="E40" s="203">
        <v>7.78</v>
      </c>
      <c r="F40" s="204">
        <v>7.94</v>
      </c>
      <c r="G40" s="88">
        <v>8.06</v>
      </c>
      <c r="H40" s="211">
        <v>8.26</v>
      </c>
      <c r="I40" s="120">
        <v>9.09</v>
      </c>
      <c r="J40" s="91">
        <v>8.7</v>
      </c>
      <c r="K40" s="92" t="s">
        <v>28</v>
      </c>
      <c r="L40" s="49" t="s">
        <v>28</v>
      </c>
      <c r="M40" s="59" t="s">
        <v>28</v>
      </c>
      <c r="N40" s="66">
        <f t="shared" si="1"/>
        <v>8.24</v>
      </c>
      <c r="O40" s="93" t="s">
        <v>154</v>
      </c>
      <c r="P40" s="43" t="s">
        <v>30</v>
      </c>
    </row>
    <row r="41" ht="14.25" customHeight="1">
      <c r="A41" s="135">
        <v>36.0</v>
      </c>
      <c r="B41" s="153" t="s">
        <v>308</v>
      </c>
      <c r="C41" s="153"/>
      <c r="D41" s="59">
        <v>9.33</v>
      </c>
      <c r="E41" s="203">
        <v>9.15</v>
      </c>
      <c r="F41" s="204">
        <v>9.72</v>
      </c>
      <c r="G41" s="88">
        <v>9.77</v>
      </c>
      <c r="H41" s="211">
        <v>9.58</v>
      </c>
      <c r="I41" s="120">
        <v>9.88</v>
      </c>
      <c r="J41" s="91">
        <v>9.85</v>
      </c>
      <c r="K41" s="92" t="s">
        <v>28</v>
      </c>
      <c r="L41" s="53" t="s">
        <v>35</v>
      </c>
      <c r="M41" s="59" t="s">
        <v>35</v>
      </c>
      <c r="N41" s="66">
        <f t="shared" si="1"/>
        <v>9.61</v>
      </c>
      <c r="O41" s="93" t="s">
        <v>29</v>
      </c>
      <c r="P41" s="43" t="s">
        <v>30</v>
      </c>
    </row>
    <row r="42" ht="14.25" customHeight="1">
      <c r="A42" s="135">
        <v>37.0</v>
      </c>
      <c r="B42" s="153" t="s">
        <v>309</v>
      </c>
      <c r="C42" s="153"/>
      <c r="D42" s="59">
        <v>7.69</v>
      </c>
      <c r="E42" s="207">
        <v>7.81</v>
      </c>
      <c r="F42" s="201">
        <v>7.4</v>
      </c>
      <c r="G42" s="88">
        <v>8.69</v>
      </c>
      <c r="H42" s="211">
        <v>8.04</v>
      </c>
      <c r="I42" s="120">
        <v>8.61</v>
      </c>
      <c r="J42" s="91">
        <v>8.63</v>
      </c>
      <c r="K42" s="92" t="s">
        <v>27</v>
      </c>
      <c r="L42" s="49" t="s">
        <v>28</v>
      </c>
      <c r="M42" s="59" t="s">
        <v>28</v>
      </c>
      <c r="N42" s="66">
        <f t="shared" si="1"/>
        <v>8.12</v>
      </c>
      <c r="O42" s="93" t="s">
        <v>29</v>
      </c>
      <c r="P42" s="43" t="s">
        <v>30</v>
      </c>
    </row>
    <row r="43" ht="14.25" customHeight="1">
      <c r="A43" s="212">
        <v>38.0</v>
      </c>
      <c r="B43" s="213" t="s">
        <v>310</v>
      </c>
      <c r="C43" s="214"/>
      <c r="D43" s="59">
        <v>8.12</v>
      </c>
      <c r="E43" s="86">
        <v>7.67</v>
      </c>
      <c r="F43" s="215">
        <v>7.0</v>
      </c>
      <c r="G43" s="154">
        <v>8.28</v>
      </c>
      <c r="H43" s="216">
        <v>7.79</v>
      </c>
      <c r="I43" s="120">
        <v>8.56</v>
      </c>
      <c r="J43" s="217">
        <v>8.09</v>
      </c>
      <c r="K43" s="92" t="s">
        <v>43</v>
      </c>
      <c r="L43" s="49" t="s">
        <v>28</v>
      </c>
      <c r="M43" s="218" t="s">
        <v>28</v>
      </c>
      <c r="N43" s="66">
        <f t="shared" si="1"/>
        <v>7.93</v>
      </c>
      <c r="O43" s="219" t="s">
        <v>154</v>
      </c>
      <c r="P43" s="43" t="s">
        <v>30</v>
      </c>
    </row>
    <row r="44" ht="14.25" customHeight="1">
      <c r="B44" s="10" t="s">
        <v>73</v>
      </c>
      <c r="D44" s="106">
        <f>AVERAGE(D6:D42)</f>
        <v>8.017777778</v>
      </c>
      <c r="E44" s="60">
        <f t="shared" ref="E44:F44" si="2">AVERAGE(E6:E43)</f>
        <v>8.022432432</v>
      </c>
      <c r="F44" s="107">
        <f t="shared" si="2"/>
        <v>7.775135135</v>
      </c>
      <c r="G44" s="220">
        <f>AVERAGE(G6:G42)</f>
        <v>8.503888889</v>
      </c>
      <c r="H44" s="221">
        <f t="shared" ref="H44:J44" si="3">AVERAGE(H6:H43)</f>
        <v>8.331081081</v>
      </c>
      <c r="I44" s="110">
        <f t="shared" si="3"/>
        <v>8.537567568</v>
      </c>
      <c r="J44" s="222">
        <f t="shared" si="3"/>
        <v>8.815675676</v>
      </c>
      <c r="K44" s="223" t="s">
        <v>27</v>
      </c>
      <c r="L44" s="65"/>
      <c r="M44" s="65"/>
      <c r="N44" s="109">
        <f>AVERAGE(N6:N42)</f>
        <v>8.291944444</v>
      </c>
      <c r="O44" s="65"/>
    </row>
    <row r="45" ht="14.25" customHeight="1"/>
    <row r="46" ht="14.25" customHeight="1"/>
    <row r="47" ht="14.25" customHeight="1">
      <c r="B47" s="67" t="s">
        <v>74</v>
      </c>
      <c r="C47" s="68"/>
      <c r="G47" s="69" t="s">
        <v>75</v>
      </c>
      <c r="H47" s="70"/>
      <c r="I47" s="70"/>
      <c r="J47" s="71"/>
      <c r="K47" s="72"/>
      <c r="L47" s="69" t="s">
        <v>311</v>
      </c>
      <c r="M47" s="70"/>
      <c r="N47" s="70"/>
      <c r="O47" s="70"/>
      <c r="P47" s="71"/>
    </row>
    <row r="48" ht="14.25" customHeight="1">
      <c r="B48" s="67" t="s">
        <v>77</v>
      </c>
      <c r="C48" s="68"/>
      <c r="G48" s="69" t="s">
        <v>78</v>
      </c>
      <c r="H48" s="70"/>
      <c r="I48" s="70"/>
      <c r="J48" s="70"/>
      <c r="K48" s="71"/>
      <c r="L48" s="69" t="s">
        <v>79</v>
      </c>
      <c r="M48" s="70"/>
      <c r="N48" s="70"/>
      <c r="O48" s="71"/>
      <c r="P48" s="10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2">
    <mergeCell ref="G47:J47"/>
    <mergeCell ref="L47:P47"/>
    <mergeCell ref="B48:C48"/>
    <mergeCell ref="G48:K48"/>
    <mergeCell ref="L48:O48"/>
    <mergeCell ref="A1:P1"/>
    <mergeCell ref="B2:P2"/>
    <mergeCell ref="C3:E3"/>
    <mergeCell ref="I3:J3"/>
    <mergeCell ref="K3:N3"/>
    <mergeCell ref="I4:J4"/>
    <mergeCell ref="B47:C47"/>
  </mergeCells>
  <conditionalFormatting sqref="D7:H42 I7:I43 J7:J42">
    <cfRule type="cellIs" dxfId="1" priority="1" operator="lessThan">
      <formula>7</formula>
    </cfRule>
  </conditionalFormatting>
  <conditionalFormatting sqref="D7:H42 I7:I43 J7:J42">
    <cfRule type="cellIs" dxfId="1" priority="2" operator="lessThan">
      <formula>6.29</formula>
    </cfRule>
  </conditionalFormatting>
  <conditionalFormatting sqref="N7:N43">
    <cfRule type="cellIs" dxfId="4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80.86"/>
    <col customWidth="1" min="4" max="6" width="10.71"/>
    <col customWidth="1" min="7" max="26" width="14.0"/>
  </cols>
  <sheetData>
    <row r="1" ht="14.25" customHeight="1"/>
    <row r="2" ht="14.25" customHeight="1">
      <c r="B2" s="11" t="s">
        <v>29</v>
      </c>
      <c r="C2" s="11" t="s">
        <v>312</v>
      </c>
    </row>
    <row r="3" ht="14.25" customHeight="1">
      <c r="B3" s="11" t="s">
        <v>137</v>
      </c>
      <c r="C3" s="11" t="s">
        <v>313</v>
      </c>
    </row>
    <row r="4" ht="14.25" customHeight="1">
      <c r="B4" s="11" t="s">
        <v>154</v>
      </c>
      <c r="C4" s="11" t="s">
        <v>314</v>
      </c>
    </row>
    <row r="5" ht="14.25" customHeight="1">
      <c r="B5" s="11" t="s">
        <v>315</v>
      </c>
      <c r="C5" s="11" t="s">
        <v>316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84.29"/>
    <col customWidth="1" min="6" max="6" width="10.71"/>
    <col customWidth="1" min="7" max="26" width="14.0"/>
  </cols>
  <sheetData>
    <row r="1" ht="14.25" customHeight="1"/>
    <row r="2" ht="14.25" customHeight="1"/>
    <row r="3" ht="14.25" customHeight="1"/>
    <row r="4" ht="14.25" customHeight="1">
      <c r="D4" s="142" t="s">
        <v>35</v>
      </c>
      <c r="E4" s="224" t="s">
        <v>317</v>
      </c>
    </row>
    <row r="5" ht="17.25" customHeight="1">
      <c r="D5" s="142" t="s">
        <v>28</v>
      </c>
      <c r="E5" s="224" t="s">
        <v>318</v>
      </c>
    </row>
    <row r="6" ht="14.25" customHeight="1">
      <c r="D6" s="142" t="s">
        <v>27</v>
      </c>
      <c r="E6" s="11" t="s">
        <v>319</v>
      </c>
    </row>
    <row r="7" ht="30.75" customHeight="1">
      <c r="D7" s="142" t="s">
        <v>43</v>
      </c>
      <c r="E7" s="224" t="s">
        <v>320</v>
      </c>
    </row>
    <row r="8" ht="14.25" customHeight="1">
      <c r="D8" s="11" t="s">
        <v>321</v>
      </c>
      <c r="E8" s="224" t="s">
        <v>322</v>
      </c>
    </row>
    <row r="9" ht="14.25" customHeight="1">
      <c r="D9" s="11" t="s">
        <v>323</v>
      </c>
      <c r="E9" s="224" t="s">
        <v>324</v>
      </c>
    </row>
    <row r="10" ht="14.25" customHeight="1">
      <c r="D10" s="11" t="s">
        <v>325</v>
      </c>
      <c r="E10" s="224" t="s">
        <v>326</v>
      </c>
    </row>
    <row r="11" ht="14.25" customHeight="1">
      <c r="D11" s="11" t="s">
        <v>327</v>
      </c>
      <c r="E11" s="224" t="s">
        <v>328</v>
      </c>
    </row>
    <row r="12" ht="14.25" customHeight="1">
      <c r="D12" s="11" t="s">
        <v>329</v>
      </c>
      <c r="E12" s="224" t="s">
        <v>330</v>
      </c>
    </row>
    <row r="13" ht="14.25" customHeight="1">
      <c r="D13" s="11" t="s">
        <v>331</v>
      </c>
      <c r="E13" s="224" t="s">
        <v>332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2024-11-04T07:26:50Z</dcterms:created>
  <dc:creator>Xavier Quintuna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b5dcf0d8fce0488ab956941de1e2062a</vt:lpwstr>
  </property>
</Properties>
</file>