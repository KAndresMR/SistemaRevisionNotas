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avo A" sheetId="1" r:id="rId4"/>
    <sheet state="visible" name="octavo B" sheetId="2" r:id="rId5"/>
    <sheet state="visible" name="noveno A" sheetId="3" r:id="rId6"/>
    <sheet state="visible" name="noveno B" sheetId="4" r:id="rId7"/>
    <sheet state="visible" name="décimo A" sheetId="5" r:id="rId8"/>
    <sheet state="visible" name="décimo B" sheetId="6" r:id="rId9"/>
    <sheet state="hidden" name="ESCALA EVALUACION" sheetId="7" r:id="rId10"/>
    <sheet state="hidden" name="Hoja1" sheetId="8" r:id="rId11"/>
  </sheets>
  <definedNames>
    <definedName name="OCTAVO_A_VES">#REF!</definedName>
    <definedName localSheetId="0" name="MATRIZ_TUTOR_1">'octavo A'!$A$8:$O$52</definedName>
    <definedName name="MATRIZ_TUTOR_2">#REF!</definedName>
    <definedName name="OCTAVO_B_MATU">#REF!</definedName>
    <definedName name="DÉCIMO_B_MATU">#REF!</definedName>
    <definedName name="ESCALA_CUALITATIVA_SUPERIOR">#REF!</definedName>
    <definedName name="SEPTIMO_A_MATU">#REF!</definedName>
    <definedName name="QUINTO_B_MATU">#REF!</definedName>
    <definedName localSheetId="3" name="MATRIZ_TUTOR_1">'noveno B'!$A$8:$O$47</definedName>
    <definedName name="SEXTO_A_MATU">#REF!</definedName>
    <definedName name="SEXTO_B_MATU">#REF!</definedName>
    <definedName localSheetId="2" name="MATRIZ_TUTOR_1">'noveno A'!$A$8:$O$52</definedName>
    <definedName name="DESCRIPCION_OV_AL">Hoja1!$D$4:$E$13</definedName>
    <definedName name="QUINTO_B_VES">#REF!</definedName>
    <definedName name="DÉCIMO_B_VES">#REF!</definedName>
    <definedName name="QUINTO_A_MATU">#REF!</definedName>
    <definedName name="NOVENO_A_VES">#REF!</definedName>
    <definedName name="INFORME_2">#REF!</definedName>
    <definedName name="MATRIZ_COMPORTAMENTAL">'ESCALA EVALUACION'!$B$2:$C$11</definedName>
    <definedName name="OCTAVO_B_VES">#REF!</definedName>
    <definedName name="QUINTO_A_VES">#REF!</definedName>
    <definedName name="NOVENO_A_MATU">#REF!</definedName>
    <definedName name="MATRIZ_TUTOR_3">#REF!</definedName>
    <definedName name="CUALITATIVA_ECA">'noveno A'!$AD$6:$AE$15</definedName>
    <definedName name="SEXTO_B_VES">#REF!</definedName>
    <definedName name="DECIMO_A_VES">#REF!</definedName>
    <definedName name="NOVENO_B_VES">#REF!</definedName>
    <definedName name="NOVENO_B_MATU">#REF!</definedName>
    <definedName name="SEPTIMO_A_VES">#REF!</definedName>
    <definedName name="SEPTIMO_B_MATU">#REF!</definedName>
    <definedName name="MATRIZ_TUTOR_1">'décimo B'!$A$7:$O$41</definedName>
    <definedName name="INFORME_DE_PRENDIZAJES_DEL_SEGUNDO_TRIMESTRE">#REF!</definedName>
    <definedName localSheetId="4" name="MATRIZ_TUTOR_1">'décimo A'!$A$7:$O$44</definedName>
    <definedName localSheetId="1" name="MATRIZ_TUTOR_1">'octavo B'!$A$7:$O$50</definedName>
    <definedName name="SEPTIMO_B_VES">#REF!</definedName>
    <definedName name="SEXTO_A_VES">#REF!</definedName>
    <definedName name="DÉCIMO_A_MATU">#REF!</definedName>
    <definedName name="OCTAVO_A_MATU">#REF!</definedName>
    <definedName name="CAI">#REF!</definedName>
  </definedNames>
  <calcPr/>
  <extLst>
    <ext uri="GoogleSheetsCustomDataVersion2">
      <go:sheetsCustomData xmlns:go="http://customooxmlschemas.google.com/" r:id="rId12" roundtripDataChecksum="AmaDddbw4QXX39pq3cn0QUI4GRZxnVNGnOfInLoSOV0="/>
    </ext>
  </extLst>
</workbook>
</file>

<file path=xl/sharedStrings.xml><?xml version="1.0" encoding="utf-8"?>
<sst xmlns="http://schemas.openxmlformats.org/spreadsheetml/2006/main" count="1695" uniqueCount="374">
  <si>
    <r>
      <rPr>
        <rFont val="Calibri"/>
        <b/>
        <color rgb="FF000000"/>
        <sz val="16.0"/>
      </rPr>
      <t xml:space="preserve">UNIDAD EDUCATIVA "ESTADOS UNIDOS DE NORTE AMÉRICA" 
</t>
    </r>
    <r>
      <rPr>
        <rFont val="Calibri"/>
        <b val="0"/>
        <color rgb="FF000000"/>
        <sz val="16.0"/>
      </rPr>
      <t>Correo electrónico: eeuuescuela@gmail.com  eeuuvicerrectorado@gmail.com</t>
    </r>
    <r>
      <rPr>
        <rFont val="Calibri"/>
        <b val="0"/>
        <color rgb="FF000000"/>
        <sz val="16.0"/>
      </rPr>
      <t xml:space="preserve">
Teléfono: (07)289-0677 Distrito: 01D01  Zona:6</t>
    </r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</si>
  <si>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</si>
  <si>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</si>
  <si>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</si>
  <si>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t>AÑO LECTIVO: 2025-2026</t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</si>
  <si>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</si>
  <si>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</si>
  <si>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Ing. Santiago Quezada MSc</t>
  </si>
  <si>
    <t>Ing. Javier Velez</t>
  </si>
  <si>
    <t xml:space="preserve">JORNADA: </t>
  </si>
  <si>
    <t>MATUTINA</t>
  </si>
  <si>
    <t xml:space="preserve">AÑO DE EGB:        </t>
  </si>
  <si>
    <t>NOVENO A</t>
  </si>
  <si>
    <t>NOVENO B</t>
  </si>
  <si>
    <t>Docente: Lcda. Marcia Siavichay</t>
  </si>
  <si>
    <t>A</t>
  </si>
  <si>
    <t>B</t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</si>
  <si>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</si>
  <si>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Lcda. Nancy Quiranza</t>
  </si>
  <si>
    <t>OCTAVO A</t>
  </si>
  <si>
    <t>CONSOLIDADO FINAL</t>
  </si>
  <si>
    <t>OCTAVO B</t>
  </si>
  <si>
    <t>No</t>
  </si>
  <si>
    <t>NOMINA</t>
  </si>
  <si>
    <t xml:space="preserve"> </t>
  </si>
  <si>
    <t>LENGUA Y LITERATURA</t>
  </si>
  <si>
    <t>MATEMÁTICA</t>
  </si>
  <si>
    <t>CIENCIAS NATURALES</t>
  </si>
  <si>
    <t>ESTUDIOS SOCIALES</t>
  </si>
  <si>
    <t>INGLÉS</t>
  </si>
  <si>
    <t>EDUCACIÓN CULTURAL Y ARTISTICA</t>
  </si>
  <si>
    <t>EDUCACIÓN FÍSICA</t>
  </si>
  <si>
    <t>ANIMACIÓN A LA LECTURA</t>
  </si>
  <si>
    <t>ACOMPAÑAMIENTO INTEGRAL EN EL AULA</t>
  </si>
  <si>
    <t>ORIENTACIÓN VOCACIONAL</t>
  </si>
  <si>
    <t>PROMEDIO FINAL</t>
  </si>
  <si>
    <t>COMPORTAMIENTO</t>
  </si>
  <si>
    <t>CCOMPORTAMIENTO</t>
  </si>
  <si>
    <t>OBSERVACIONES</t>
  </si>
  <si>
    <t>-</t>
  </si>
  <si>
    <t>AGUAYZA URGILES ERICK HERNAN</t>
  </si>
  <si>
    <t>ARIAS CUZCO JOSUE DAVID</t>
  </si>
  <si>
    <t>APOLO CACAY EMILY ANALIA</t>
  </si>
  <si>
    <t>AGUDELO ARTAHOMA ISAAC ALEXANDER</t>
  </si>
  <si>
    <t>8,93</t>
  </si>
  <si>
    <t>A-</t>
  </si>
  <si>
    <t>B-</t>
  </si>
  <si>
    <t>A+</t>
  </si>
  <si>
    <t>S</t>
  </si>
  <si>
    <t>PROMOVIDO</t>
  </si>
  <si>
    <t>B+</t>
  </si>
  <si>
    <t>ATANCURI LALVAY JOEL MATIAS</t>
  </si>
  <si>
    <t>F</t>
  </si>
  <si>
    <t>9,09</t>
  </si>
  <si>
    <t>ALAVA AYABACA LEONARDO DAVID</t>
  </si>
  <si>
    <t>ARCE ORELLANA DARWIN FERNANDO</t>
  </si>
  <si>
    <t>AVILA SANCHEZ ANDY SEBASTIAN</t>
  </si>
  <si>
    <t>PRIMER LUGAR</t>
  </si>
  <si>
    <t>PEÑAFIEL</t>
  </si>
  <si>
    <t>PERALTA S</t>
  </si>
  <si>
    <t>ANASICHA LEMACHE HECTOR DANIEL</t>
  </si>
  <si>
    <t xml:space="preserve">AZANZA CHILLOGALLI JUAN CARLOS </t>
  </si>
  <si>
    <t>SEGUNDO LUGAR</t>
  </si>
  <si>
    <t>ARCE</t>
  </si>
  <si>
    <t>ARIAS CALLE ANTHONY ALEXANDER</t>
  </si>
  <si>
    <t>CHUÑIR</t>
  </si>
  <si>
    <t>ARMIJOS HIDALGO NICOLE ESTEFANIA</t>
  </si>
  <si>
    <t>LLAPA E</t>
  </si>
  <si>
    <t>BARRETO UZHCA CHRISTOPHER ADRIAN</t>
  </si>
  <si>
    <t>TERCER LUGAR</t>
  </si>
  <si>
    <t>AVILA</t>
  </si>
  <si>
    <t>ASMAL AUCAPIÑA ALAN MARCELO</t>
  </si>
  <si>
    <t>PIÑA</t>
  </si>
  <si>
    <t>ATANCURI LOPEZ CHELSEA ABIGAIL</t>
  </si>
  <si>
    <t>CUARTO LUGAR</t>
  </si>
  <si>
    <t>PINTADO</t>
  </si>
  <si>
    <t>CABRERA CANDO LIZBETH CAROLINA</t>
  </si>
  <si>
    <t>AUCAPIÑA AVILA ALEXANDER ADRIANO</t>
  </si>
  <si>
    <t>CABRERA PESANTEZ JESSICA ALEXANDRA</t>
  </si>
  <si>
    <t>CASTRO</t>
  </si>
  <si>
    <t>QUINDE ZUMBA DANIEL ANDRES</t>
  </si>
  <si>
    <t>AVILA CORTE MARIA GRACIA</t>
  </si>
  <si>
    <t>CALDERON CORDOVA MAYKEL DE JESUS</t>
  </si>
  <si>
    <t>O</t>
  </si>
  <si>
    <t>BARBECHO TELLO EMILY BRIGITTE</t>
  </si>
  <si>
    <t>CAMPOVERDE NAULA DANNA MARISOL</t>
  </si>
  <si>
    <t>AUCAPIÑA BARBECHO MIGUEL SEBASTIAN</t>
  </si>
  <si>
    <t>9,94</t>
  </si>
  <si>
    <t>CAMPOVERDE NAULA LENIN ALEJANDRO</t>
  </si>
  <si>
    <t>AVILA BARBECHO JOSTIN ALAIN</t>
  </si>
  <si>
    <t>CHUJUTALLI QUEZADA ARIEL MAURICIO</t>
  </si>
  <si>
    <t>BACULIMA GOMEZ JOSUE DAMIAN</t>
  </si>
  <si>
    <t>BARBECHO MORANTE LUISA VALENTINA</t>
  </si>
  <si>
    <t>CHUJUTALLI QUEZADA PAUL ESTEBAN</t>
  </si>
  <si>
    <t>AVILA NAREA MELISA GISSELLE</t>
  </si>
  <si>
    <t>MAXI SIAVICHAY ANTHONY ALEXIS</t>
  </si>
  <si>
    <t>BELDUMA BELDUMA MAYETSSI</t>
  </si>
  <si>
    <t>CORONEL BERMEO JULIANA MICAELA</t>
  </si>
  <si>
    <t>BELTRAN CARDENAS CRISTEL ALEJANDRA</t>
  </si>
  <si>
    <t>9,76</t>
  </si>
  <si>
    <t>DURAZNO LATA CINDY ELIZABETH</t>
  </si>
  <si>
    <t>BUENO BALAREZO PABLO SEBASTIAN</t>
  </si>
  <si>
    <t>BARROS CARDENAS DAVID ALEXANDER</t>
  </si>
  <si>
    <t>ENRIQUEZ SINCHE PEDRO PABLO</t>
  </si>
  <si>
    <t>SUCUZHAÑAY FERNANDEZ JENNIFER MISHELL</t>
  </si>
  <si>
    <t>GUACHICHULLCA TADAY WILLIAN DAVID</t>
  </si>
  <si>
    <t>BRAVO FERNANDEZ LUIS ANTHONY</t>
  </si>
  <si>
    <t>BARROS VELESACA JUANA DANIELA</t>
  </si>
  <si>
    <t>BUENO CORTE JESSICA ELIZABETH</t>
  </si>
  <si>
    <t>GUZHÑAY BARBECHO BELEN LILIANA</t>
  </si>
  <si>
    <t>7,82</t>
  </si>
  <si>
    <t>IÑAMAGUA PATIÑO ANDREA LIZBETH</t>
  </si>
  <si>
    <t>BARSALLO CORAISACA FRANKLIN JESUS</t>
  </si>
  <si>
    <t>CALDERON URDANIGO MARIA FERNANDA</t>
  </si>
  <si>
    <t>LEMA PERALTA CARLOS DANIEL</t>
  </si>
  <si>
    <t>CHAPA MARIN ANTHONY TOMAS</t>
  </si>
  <si>
    <t>7,56</t>
  </si>
  <si>
    <t>LLANGARI ALVAREZ ITZEL ABIGAIL</t>
  </si>
  <si>
    <t>CHISAGUANO QUINDI MICHAEL GEOVANNY</t>
  </si>
  <si>
    <t>CHIMBOLEMA AREVALO WILLIAM ELIAS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</si>
  <si>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-+++++++</t>
  </si>
  <si>
    <t>CABRERA SOTO ANDERSON PAUL</t>
  </si>
  <si>
    <t>9,03</t>
  </si>
  <si>
    <t>C+</t>
  </si>
  <si>
    <t>LLAPA JUNCAL BETSY ANABEL</t>
  </si>
  <si>
    <t>NO PROMOVIDO</t>
  </si>
  <si>
    <t>CHUCARALAO ZUMBA KARELY STEPHANIA</t>
  </si>
  <si>
    <t>CRESPO BARROS DAVID SEBASTIAN</t>
  </si>
  <si>
    <t>CABRERA VIÑANSACA ARIEL SEBASTIAN</t>
  </si>
  <si>
    <t>8,70</t>
  </si>
  <si>
    <t>LLAPA SIBRI EILEEN MAYTE</t>
  </si>
  <si>
    <t>CHUÑIR NAREA LUYZIANA VICTORIA</t>
  </si>
  <si>
    <t>FARFAN ALVARADO MAYKEL YAHIR</t>
  </si>
  <si>
    <t>CAGUANA UZHCA ELIANA VALENTINA</t>
  </si>
  <si>
    <t>9,53</t>
  </si>
  <si>
    <t>LONDA VIÑANZACA NATHALY DANIELA</t>
  </si>
  <si>
    <t>CHUVA LLANOS RONALD ALEXANDER</t>
  </si>
  <si>
    <t>GUALLPA JARA NATHALY GABRIELA</t>
  </si>
  <si>
    <t>8,33</t>
  </si>
  <si>
    <t>CALLE SIMBAÑA DOMENICA GUADALUPE</t>
  </si>
  <si>
    <t>MARIN GOMEZ ANDREA BELEN</t>
  </si>
  <si>
    <t>JARA GUZHÑAY SAMANTHA ABIGAIL</t>
  </si>
  <si>
    <t>9,06</t>
  </si>
  <si>
    <t>CORONEL GALARZA MELANY YAJAIRA</t>
  </si>
  <si>
    <t>MOROCHO PELAEZ DANIELA FERNANDA</t>
  </si>
  <si>
    <t>CASTRO USHCA LESLY SAMANTA</t>
  </si>
  <si>
    <t>JUELA GOMEZ DOMENICA VALENTINA</t>
  </si>
  <si>
    <t>OVILLO GUALLPA JIMMY XAVIER</t>
  </si>
  <si>
    <t>9,52</t>
  </si>
  <si>
    <t>DUMANAULA ÑAUTA ANA DOMENICA</t>
  </si>
  <si>
    <t>CORONEL ROMERO HERNAN MATEO</t>
  </si>
  <si>
    <t>PERALTA MENDEZ SAMUEL MATEO</t>
  </si>
  <si>
    <t>LONDA ASMAL ANDERSON JULIAN</t>
  </si>
  <si>
    <t>8,03</t>
  </si>
  <si>
    <t>FAJARDO JADAN CRISTIAN OSWALDO</t>
  </si>
  <si>
    <t>PEÑA ORELLANA MATEO ALEXANDER</t>
  </si>
  <si>
    <t>LONDA PASTUIZACA ANTONY MATEO</t>
  </si>
  <si>
    <t>CORREA SUMBA ALISSON KARELIS</t>
  </si>
  <si>
    <t>9,02</t>
  </si>
  <si>
    <t>GARCIA CAIVINAGUA ADRIAN SANTIAGO</t>
  </si>
  <si>
    <t>PINTADO ROBLES ADELA BELEN</t>
  </si>
  <si>
    <t xml:space="preserve">LOZADA FAJARDO JUSTIN SEBASTIAN </t>
  </si>
  <si>
    <t>PONCE SANCHEZ NAOMI MADELEIN</t>
  </si>
  <si>
    <t>7,80</t>
  </si>
  <si>
    <t>GUAYARA BARRETO WILLIAM GABRIEL</t>
  </si>
  <si>
    <t>CORTE PAREDES ALEX FERNANDO</t>
  </si>
  <si>
    <t>QUIZHPE MUÑOZ JHON ESTIVEN</t>
  </si>
  <si>
    <t>9,96</t>
  </si>
  <si>
    <t>RIVERA GARCIA EMILY MICHELLE</t>
  </si>
  <si>
    <t>ILLESCAS AVILA MAGABY ANAI</t>
  </si>
  <si>
    <t>DOMINGUEZ LANDI VANESA NICOL</t>
  </si>
  <si>
    <t>MAYORGA JIMBO CHRISTOFER STALIN</t>
  </si>
  <si>
    <t>ROMERO ORELLANA AMILIS SOFIA</t>
  </si>
  <si>
    <t>7,12</t>
  </si>
  <si>
    <t>LALANGUI NARANJO JEIMI MARISOL</t>
  </si>
  <si>
    <t>FERNANDEZ PATIÑO BRYAN ALEXIS</t>
  </si>
  <si>
    <t>SARAGURO CARCHIPULLA JOAN ALEXANDER</t>
  </si>
  <si>
    <t>LEON AQUINO ANGHELY DAIANNA</t>
  </si>
  <si>
    <t>SOLIZ GUZHÑAY MATEO ISMAEL</t>
  </si>
  <si>
    <t>MENDOZA ROMAN MATIAS ALEJANDRO</t>
  </si>
  <si>
    <t>GOMEZ JUELA BIANCA CAMILA</t>
  </si>
  <si>
    <t>9,78</t>
  </si>
  <si>
    <t>LOPEZ DELGADO DANNY LEONEL</t>
  </si>
  <si>
    <t>SONGOR LLIVISACA DAYANNA DEL CISNE</t>
  </si>
  <si>
    <t>MOROCHO HERNANDEZ KIMBERLY IVANA</t>
  </si>
  <si>
    <t>GUERRA ROMÁN DYLAN ALEXANDER</t>
  </si>
  <si>
    <t>TENEZACA JARRIN JEYKING NICOLAS</t>
  </si>
  <si>
    <t>8,39</t>
  </si>
  <si>
    <t>OLAYA GRANDA MIGUEL ANGEL</t>
  </si>
  <si>
    <t>TOCTE CORRALES JORDY ALEXANDER</t>
  </si>
  <si>
    <t>NACIPUCHA NACIPUCHA EDWIN ANDRES</t>
  </si>
  <si>
    <t>OLAYA PINTADO AMBAR DANELLE</t>
  </si>
  <si>
    <t>GUZHÑAY OLAYA IKER ARIEL</t>
  </si>
  <si>
    <t>TORRES SARMIENTO DANIEL MAXIMILIANO</t>
  </si>
  <si>
    <t>PEÑAFIEL VELECELA NATALY PAMELA</t>
  </si>
  <si>
    <t>NIVICELA ESPINOZA OSCAR AARON</t>
  </si>
  <si>
    <t>VILLAVICENCIO NAVARRO DARWIN ADRIAN</t>
  </si>
  <si>
    <t>LALVAY PALTA SHIRLEY VALENTINA</t>
  </si>
  <si>
    <t>PIÑA BONETE BRYAN ISMAEL</t>
  </si>
  <si>
    <t>PACHECO BARBECHO NIQUEL ALEXANDER</t>
  </si>
  <si>
    <t>7,83</t>
  </si>
  <si>
    <t>PERALTA PUCHA JORDAN EDUARDO</t>
  </si>
  <si>
    <t>RODRIGUEZ SARMIENTO TATIANA JHOMAYRA</t>
  </si>
  <si>
    <t>MAILA CUZCO JOSUE DAVID</t>
  </si>
  <si>
    <t>VIÑANZACA VIÑANSACA DAYANNA GUADALUPE</t>
  </si>
  <si>
    <t>C-</t>
  </si>
  <si>
    <t xml:space="preserve">C- </t>
  </si>
  <si>
    <t>SIMBAÑA CABRERA BIANCA ALEJANDRA</t>
  </si>
  <si>
    <t>N</t>
  </si>
  <si>
    <t>DESERTOR</t>
  </si>
  <si>
    <t>Promedio</t>
  </si>
  <si>
    <t>MALLA CHIMBO ERIKA TATIANA</t>
  </si>
  <si>
    <t>PIÑA LLANGARI NICOLE DOMENICA</t>
  </si>
  <si>
    <t>8,71</t>
  </si>
  <si>
    <t>SINCHI GARCIA ALEXIS JOEL</t>
  </si>
  <si>
    <t>MARTINEZ ORELLANA JEYMI ISAAC</t>
  </si>
  <si>
    <t>TAMAYO SIAVICHAY EMILY ALEJANDRA</t>
  </si>
  <si>
    <t>9,86</t>
  </si>
  <si>
    <t>ROBLES MURILLO ANTHONY JHOSUE</t>
  </si>
  <si>
    <t>TORRES LATA ADRIANA JAZU</t>
  </si>
  <si>
    <t>MENDEZ CALLE CHRISTOPHER SEBASTIAN</t>
  </si>
  <si>
    <t>7,22</t>
  </si>
  <si>
    <t>VACA GONZALEZ PAUL GEOVANNY</t>
  </si>
  <si>
    <t>SIAVICHAY LEMA MELANY ALEXANDRA</t>
  </si>
  <si>
    <t>9,64</t>
  </si>
  <si>
    <t>MOROCHO CHILLOGALLI DENISSE ALEJANDRA</t>
  </si>
  <si>
    <t>VASQUEZ YUNGA JHOSUE DAMIAN</t>
  </si>
  <si>
    <t>SONGOR MUZHA ASHLEY NICOLE</t>
  </si>
  <si>
    <t>8,97</t>
  </si>
  <si>
    <t>YADAICELA SAICO JHOSTIN MATEO</t>
  </si>
  <si>
    <t>NAULA GARZON ANDERSON JHOSUE</t>
  </si>
  <si>
    <t>9,87</t>
  </si>
  <si>
    <t>PANDO CARVAJAL JUAN FRANCISCO</t>
  </si>
  <si>
    <t>YANZA JARRIN JEFFREY ALBERTO</t>
  </si>
  <si>
    <t xml:space="preserve">Ing. Sonia Chicaiza Mgtr. </t>
  </si>
  <si>
    <t xml:space="preserve">Lcda. Isabel Carpio Mgtr. </t>
  </si>
  <si>
    <t>SUIN PERALTA DIEGO EMILIO</t>
  </si>
  <si>
    <t>PERALTA DELGADO ALIXON JAIR</t>
  </si>
  <si>
    <t>7,70</t>
  </si>
  <si>
    <t>TACURI NAVARRO AMANDA PAOLA</t>
  </si>
  <si>
    <t>Rectora (e)</t>
  </si>
  <si>
    <t>8,19</t>
  </si>
  <si>
    <t>Vicerrectora (e)Matutina</t>
  </si>
  <si>
    <t>Docente Tutor</t>
  </si>
  <si>
    <t>TACURI PINTADO RIHANNA TIFFANNY</t>
  </si>
  <si>
    <t>PIÑA GUARQUILA JARED ISMAEL</t>
  </si>
  <si>
    <t>TENEMAZA LEMA VERONICA LIZBETH</t>
  </si>
  <si>
    <t>POZO ZHAÑAY MILENA ANAHI</t>
  </si>
  <si>
    <t>TOCTE CORRALES SHIRLE LISETH</t>
  </si>
  <si>
    <t>8,37</t>
  </si>
  <si>
    <t>PULGARIN CUENCA CAMILA ELIZABETH</t>
  </si>
  <si>
    <t>UZHCA BANEGAS DANIELA ESTEFANIA</t>
  </si>
  <si>
    <t>ROMAN BELDUMA DAYRON JAEL</t>
  </si>
  <si>
    <t>VINTIMILLA MUÑOZ ANA KARINA</t>
  </si>
  <si>
    <t>ROMERO NARVAEZ PAOLA FERNANDA</t>
  </si>
  <si>
    <t>VIÑANZACA GUAMÁN ELIAN JOEL</t>
  </si>
  <si>
    <t>8,40</t>
  </si>
  <si>
    <t>SEGARRA GUERRERO JORDY NICOLAS</t>
  </si>
  <si>
    <t>VIZHÑAY MUÑOZ BRAYAN DAMIAN</t>
  </si>
  <si>
    <t>7,79</t>
  </si>
  <si>
    <t>SIMBAÑA ESPADERO KEVIN ANDRÉS</t>
  </si>
  <si>
    <t>YANQUI BUENO JHENNIFHER JHANNYN</t>
  </si>
  <si>
    <t>8,11</t>
  </si>
  <si>
    <t>ZHANGALLIMBAY VEGA KAREN DOMENICA</t>
  </si>
  <si>
    <t>8,89</t>
  </si>
  <si>
    <t>Lcda. Marcia Siavichay</t>
  </si>
  <si>
    <t>Docente Tutora</t>
  </si>
  <si>
    <t xml:space="preserve">Lcdo. Santiago Quezada Mgtr. 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</si>
  <si>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</si>
  <si>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</si>
  <si>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DÉCIMO A</t>
  </si>
  <si>
    <t>ALBARRACIN QUIZHPI CRISTOPHER SEBASTIAN</t>
  </si>
  <si>
    <t>ALMACHI ALCIVAR FREDDY NERON</t>
  </si>
  <si>
    <t>ANASICHA LEMACHE JHON ESTEVAN</t>
  </si>
  <si>
    <t>APOLO ENRIQUEZ JAVIER SNYDER</t>
  </si>
  <si>
    <t>MMTT</t>
  </si>
  <si>
    <t>ARMIJOS HIDALGO ANTHONY ANDRES</t>
  </si>
  <si>
    <t>AYABACA ANDRADE PRISCILA TATIANA</t>
  </si>
  <si>
    <t>BARROS VELESACA EMILIO NICOLAS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</si>
  <si>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eeuuvicerrectorado@gmail.com
Teléfono: (07)289-0677 Distrito: 01D01  Zona:6</t>
    </r>
  </si>
  <si>
    <t>BARSALLO CORAISACA ANAHI NATALIA</t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</si>
  <si>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</si>
  <si>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BASANTES LONDA JENNIFER VALERIA</t>
  </si>
  <si>
    <t>CABRERA CABRERA CRISTOFER REINALDO</t>
  </si>
  <si>
    <t>DÉCIMO B</t>
  </si>
  <si>
    <t>CALDAS GARCIA DAYANNA RASHEL</t>
  </si>
  <si>
    <t>CALI TINOCO MELANY ANAHÍ</t>
  </si>
  <si>
    <t>CARDENAS NIEMES ANTHONY DANIEL</t>
  </si>
  <si>
    <t>CHIQUI TIGSI PAMELA DAMARIS</t>
  </si>
  <si>
    <t>DELGADO UZHCA ISDRAEL ARMANDO</t>
  </si>
  <si>
    <t>APOLO GUZMAN ANTHONY IVAN</t>
  </si>
  <si>
    <t>DIAZ MISHQUERO KATHERINE MICHELLE</t>
  </si>
  <si>
    <t>DUTA ESPINOZA MIKE ANTHONY</t>
  </si>
  <si>
    <t>GONZALEZ CALLE SCARLETTE ABIGAIL</t>
  </si>
  <si>
    <t>GONZALEZ VALDES ANTHONY JHULIAN</t>
  </si>
  <si>
    <t>GONZALEZ VALDES CRISTHOPHER JOAO</t>
  </si>
  <si>
    <t>ARIAS LUCERO KERLY GUADALUPE</t>
  </si>
  <si>
    <t>GUACHICHULLCA SIAVICHAY JOHN FERNANDO</t>
  </si>
  <si>
    <t>GUALAN YUNGA DAYANNA DEL CISNE</t>
  </si>
  <si>
    <t>GUALLPA QUITUISACA SANTIAGO NICOLAS</t>
  </si>
  <si>
    <t>Transforma los desacuerdos en oportunidades de crecimiento y cooperación.</t>
  </si>
  <si>
    <t>Se involucra y participa en iniciativas que favorecen la convivencia pacífica.</t>
  </si>
  <si>
    <t>GUALPA DELGADO EVELYN TATIANA</t>
  </si>
  <si>
    <t>Demuestra habilidades para llegar a acuerdos y asumir compromisos.</t>
  </si>
  <si>
    <t>CAMPOVERDE FERNANDEZ EMILY DAYANNA</t>
  </si>
  <si>
    <t>Muestra limitaciones para llegar a acuerdos y asumir compromisos.</t>
  </si>
  <si>
    <t>GUAMAN LLAMBA CAMILA ALEJANDRA</t>
  </si>
  <si>
    <t>LOJA  E</t>
  </si>
  <si>
    <t>CARDENAS ORELLANA WENDY PAMELA</t>
  </si>
  <si>
    <t>GUAMAN SIGUA DOMENICA ALEXANDRA</t>
  </si>
  <si>
    <t>HERRERA ASMAL ESTEBAN NICOLAS</t>
  </si>
  <si>
    <t>UZHCA Y</t>
  </si>
  <si>
    <t>CELI MADRID JOSTIN HAIR</t>
  </si>
  <si>
    <t>JARRIN DAVILA MARLON STEVEN</t>
  </si>
  <si>
    <t>FERNANDEZ CUMBE KIMBERLY MARIBEL</t>
  </si>
  <si>
    <t>LEMA PAUCAR MIGUEL ALEJANDRO</t>
  </si>
  <si>
    <t>GUAMAN YANZA PAOLA ADRIANA</t>
  </si>
  <si>
    <t>LEON CRUZ LUIS ALFREDO</t>
  </si>
  <si>
    <t>GUAYANAY CAÑAR NATHALY BRIGITTE</t>
  </si>
  <si>
    <t>GUZHÑAY GUZHÑAY ALAN RANDY</t>
  </si>
  <si>
    <t>MARCATOMA RODRIGUEZ NICOLE STEPHANY</t>
  </si>
  <si>
    <t>HUMALA SUCUZHAÑAY JIMMY ALEXANDER</t>
  </si>
  <si>
    <t>MOROCHO PELAEZ MATEO ALEJANDRO</t>
  </si>
  <si>
    <t>JIMBIQUITI NANTIPIA MATIAS MABERICK</t>
  </si>
  <si>
    <t>ORTIZ PAUCAR JOSTIN ALEXANDER</t>
  </si>
  <si>
    <t>LITA RIVERA LARRY LEONEL</t>
  </si>
  <si>
    <t>QUINDE VIÑANSACA AILYN TAMARA</t>
  </si>
  <si>
    <t>LOJA GUACHICHULLCA EMILY CAROLINA</t>
  </si>
  <si>
    <t>ROMERO NARVAEZ KATHERINE ANAHI</t>
  </si>
  <si>
    <t>LOJA ZHUMI DAYANNA MARIBEL</t>
  </si>
  <si>
    <t>SAETEROS ALLAICO DAVID ALEXANDER</t>
  </si>
  <si>
    <t>LONDA ASMAL CARLOS MATEO</t>
  </si>
  <si>
    <t>VIÑANZACA QUITO KIMBERLY GUADALUPE</t>
  </si>
  <si>
    <t>ZHUNGO FERNANDEZ EUNISE MAYTE</t>
  </si>
  <si>
    <t>Demuestra dominio y comprensión de las habilidades, conocimientos y procedimientos desarrollados con capacidad para aplicarlos en situaciones prácticas y de la cotidianidad, simples y complejas, de forma independiente y colectiva.</t>
  </si>
  <si>
    <t>Demuestra comprensión de habilidades y conocimientos desarrollados para aplicarlos en situaciones de la cotidianidad, de forma independiente y colectiva.</t>
  </si>
  <si>
    <t>MASQUI PEREZ ISRAEL EDUARDO</t>
  </si>
  <si>
    <t>Aplica sus habilidades en situaciones comunes y predecibles, simples y no complejas de forma independiente. Evidencia habilidades para trabajar en equipo y de manera colaborativa, siguiendo instrucciones.</t>
  </si>
  <si>
    <t>Realiza tareas y/o actividades de forma independiente y en ciertas ocasiones de forma colaborativa, sobre la base de la comprensión de los aprendizajes desarrollados. Evidencia habilidades para trabajar de manera individual y en equipo con ciertas limitaciones para seguir instrucciones.</t>
  </si>
  <si>
    <t>Demuestra habilidades, conocimientos y procedimientos de manera integral, predominando el trabajo individual al trabajo en equipo. Requiere apoyo del equipo docente para el aprendizaje mediado.</t>
  </si>
  <si>
    <t>Resuelve tareas o actividades simples sobre la base de sus habilidades, conocimientos y procedimientos adquiridos. Evidencia habilidades básicas de trabajo en equipo. Requiere apoyo del equipo docente para el aprendizaje mediado.</t>
  </si>
  <si>
    <t>D+</t>
  </si>
  <si>
    <t>Resuelve tareas o actividades simples sobre la base de sus habilidades, conocimientos y procedimientos adquiridos guiados con el docente. Evidencia limitaciones para trabajar en equipo.</t>
  </si>
  <si>
    <t>D-</t>
  </si>
  <si>
    <t>MATUTE GUAMAN JOSELIN ANALY</t>
  </si>
  <si>
    <t>Realiza tareas simples, demuestra dificultad para seguir instrucciones y completarlas, requiriendo la orientación frecuente del equipo docente.</t>
  </si>
  <si>
    <t>E+</t>
  </si>
  <si>
    <t>Demuestra dificultades para desarrollar tareas simples y complejas a partir de las habilidades, conocimientos y procedimientos. Requiere intervención permanente del equipo docente para la culminación de sus tareas.</t>
  </si>
  <si>
    <t>E-</t>
  </si>
  <si>
    <t>Expone un desarrollo inicial de conocimientos, habilidades y procedimientos para aplicarlos. Requiere intervención inmediata y apoyo continuo del equipo docente para completar las tareas o actividades asignadas.</t>
  </si>
  <si>
    <t>MAXI SIAVICHAY DAYANNA VALERIA</t>
  </si>
  <si>
    <t>MONAR CARDENAS MAYURY BRIGETTE</t>
  </si>
  <si>
    <t>MONAR ORELLANA ANDERSSON STALYN</t>
  </si>
  <si>
    <t>MORA MAQUISACA DARLA STEPHANIA</t>
  </si>
  <si>
    <t>MUÑOZ ANDRADE ABIGAIL PRISCILA</t>
  </si>
  <si>
    <t xml:space="preserve">Psic.. Lourdes Pomaquiza Mgtr. </t>
  </si>
  <si>
    <t>PALLAZHCO LOJA MICHELLE CAROLINA</t>
  </si>
  <si>
    <t>PERALTA NIETO ALEX SANTIAGO</t>
  </si>
  <si>
    <t>PEREZ MATUTE MATIAS ALEJANDRO</t>
  </si>
  <si>
    <t>PIÑA GUARQUILA JUSTIN EDUARDO</t>
  </si>
  <si>
    <t>QUIZHPI MENDOZA JAVIER MAURICIO</t>
  </si>
  <si>
    <t>RAMIREZ AGUILAR MATHIWS JOEL</t>
  </si>
  <si>
    <t>ROMERO NACIPUCHA JUAN ERNESTO</t>
  </si>
  <si>
    <t>SANDOVAL ORDOÑEZ JOSUE ALEXANDER</t>
  </si>
  <si>
    <t>SANISACA CEME MARJORIE FERNANDA</t>
  </si>
  <si>
    <t>SARAGOCIN LLIVICOTA EZEQUIEL DAVID</t>
  </si>
  <si>
    <t>SOLIS TENEN MATEO ISRAEL</t>
  </si>
  <si>
    <t>TACURI PINTADO ASHLY VIVIANA</t>
  </si>
  <si>
    <t>TAMAY JARA VALERIA ELIZABETH</t>
  </si>
  <si>
    <t>UZHCA PUNIN MATIAS EDUARDO</t>
  </si>
  <si>
    <t>UZHCA SOLANO YALITZA MAITTE</t>
  </si>
  <si>
    <t>VEGA JADAN JOEL FRANCISCO</t>
  </si>
  <si>
    <t>YUQUILEMA RIPALDA SALOME HADMARIZ</t>
  </si>
  <si>
    <t xml:space="preserve">Lcda. Maribel Peralta Mgtr.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</si>
</sst>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34">
    <font>
      <sz val="11.0"/>
      <color rgb="FF000000"/>
      <name val="Calibri"/>
      <scheme val="minor"/>
    </font>
    <font>
      <b/>
      <sz val="16.0"/>
      <color rgb="FF000000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Arial"/>
    </font>
    <font/>
    <font>
      <sz val="9.0"/>
      <color rgb="FF000000"/>
      <name val="Calibri"/>
    </font>
    <font>
      <b/>
      <sz val="9.0"/>
      <color rgb="FF000000"/>
      <name val="Calibri"/>
    </font>
    <font>
      <b/>
      <sz val="14.0"/>
      <color rgb="FF000000"/>
      <name val="Calibri"/>
    </font>
    <font>
      <b/>
      <sz val="8.0"/>
      <color rgb="FF000000"/>
      <name val="Calibri"/>
    </font>
    <font>
      <sz val="10.0"/>
      <color rgb="FF000000"/>
      <name val="SansSerif"/>
    </font>
    <font>
      <sz val="9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0.0"/>
      <color rgb="FF000066"/>
      <name val="Calibri"/>
    </font>
    <font>
      <sz val="12.0"/>
      <color rgb="FF000000"/>
      <name val="Arial"/>
    </font>
    <font>
      <sz val="11.0"/>
      <color rgb="FF000000"/>
      <name val="Arial"/>
    </font>
    <font>
      <sz val="10.0"/>
      <color rgb="FF0000CC"/>
      <name val="Calibri"/>
    </font>
    <font>
      <sz val="11.0"/>
      <color rgb="FF000000"/>
      <name val="&quot;Aptos Narrow&quot;"/>
    </font>
    <font>
      <color theme="1"/>
      <name val="Calibri"/>
      <scheme val="minor"/>
    </font>
    <font>
      <sz val="8.0"/>
      <color rgb="FF000000"/>
      <name val="Arial"/>
    </font>
    <font>
      <sz val="11.0"/>
      <color theme="1"/>
      <name val="Arial"/>
    </font>
    <font>
      <sz val="10.0"/>
      <color rgb="FFFF0000"/>
      <name val="Calibri"/>
    </font>
    <font>
      <b/>
      <sz val="11.0"/>
      <color rgb="FF000000"/>
      <name val="Arial"/>
    </font>
    <font>
      <b/>
      <sz val="9.0"/>
      <color rgb="FF000000"/>
      <name val="Arial"/>
    </font>
    <font>
      <sz val="7.0"/>
      <color rgb="FF000000"/>
      <name val="SansSerif"/>
    </font>
    <font>
      <b/>
      <sz val="10.0"/>
      <color rgb="FF000000"/>
      <name val="Arial"/>
    </font>
    <font>
      <sz val="10.0"/>
      <color theme="1"/>
      <name val="Calibri"/>
      <scheme val="minor"/>
    </font>
    <font>
      <sz val="8.0"/>
      <color theme="1"/>
      <name val="Calibri"/>
    </font>
    <font>
      <b/>
      <sz val="10.0"/>
      <color rgb="FF000066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4DCF8"/>
        <bgColor rgb="FF94DCF8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A0FCF3"/>
        <bgColor rgb="FFA0FCF3"/>
      </patternFill>
    </fill>
    <fill>
      <patternFill patternType="solid">
        <fgColor rgb="FFF8FF9D"/>
        <bgColor rgb="FFF8FF9D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BFBFBF"/>
        <bgColor rgb="FFBFBFBF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99FFCC"/>
        <bgColor rgb="FF99FFCC"/>
      </patternFill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FFC000"/>
        <bgColor rgb="FFFFC000"/>
      </patternFill>
    </fill>
  </fills>
  <borders count="5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104861"/>
      </left>
      <top style="thin">
        <color rgb="FF104861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104861"/>
      </right>
      <top style="thin">
        <color rgb="FF104861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104861"/>
      </left>
      <right style="thin">
        <color rgb="FF104861"/>
      </right>
      <top style="thin">
        <color rgb="FF104861"/>
      </top>
      <bottom style="thin">
        <color rgb="FF104861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hair">
        <color rgb="FF000000"/>
      </top>
    </border>
    <border>
      <left style="hair">
        <color rgb="FF000000"/>
      </left>
      <right/>
      <top/>
      <bottom style="hair">
        <color rgb="FF000000"/>
      </bottom>
    </border>
    <border>
      <right/>
      <top/>
      <bottom style="hair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hair">
        <color rgb="FF000000"/>
      </left>
    </border>
    <border>
      <right style="thin">
        <color rgb="FF000000"/>
      </right>
      <top style="thin">
        <color rgb="FF000000"/>
      </top>
      <bottom/>
    </border>
    <border>
      <left style="hair">
        <color rgb="FF000000"/>
      </left>
      <right/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/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/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1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left" shrinkToFit="0" vertical="bottom" wrapText="1"/>
    </xf>
    <xf borderId="1" fillId="2" fontId="8" numFmtId="2" xfId="0" applyAlignment="1" applyBorder="1" applyFill="1" applyFont="1" applyNumberFormat="1">
      <alignment shrinkToFit="0" vertical="center" wrapText="1"/>
    </xf>
    <xf borderId="2" fillId="0" fontId="9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4" fillId="3" fontId="2" numFmtId="0" xfId="0" applyAlignment="1" applyBorder="1" applyFill="1" applyFont="1">
      <alignment horizontal="center" readingOrder="0" shrinkToFit="0" vertical="center" wrapText="1"/>
    </xf>
    <xf borderId="5" fillId="0" fontId="9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6" fillId="0" fontId="9" numFmtId="0" xfId="0" applyAlignment="1" applyBorder="1" applyFont="1">
      <alignment vertical="center"/>
    </xf>
    <xf borderId="7" fillId="4" fontId="6" numFmtId="2" xfId="0" applyAlignment="1" applyBorder="1" applyFill="1" applyFont="1" applyNumberFormat="1">
      <alignment vertical="center"/>
    </xf>
    <xf borderId="8" fillId="4" fontId="6" numFmtId="2" xfId="0" applyAlignment="1" applyBorder="1" applyFill="1" applyFont="1" applyNumberFormat="1">
      <alignment vertical="center"/>
    </xf>
    <xf borderId="9" fillId="4" fontId="6" numFmtId="2" xfId="0" applyAlignment="1" applyBorder="1" applyFill="1" applyFont="1" applyNumberFormat="1">
      <alignment horizontal="center" vertical="center"/>
    </xf>
    <xf borderId="7" fillId="4" fontId="6" numFmtId="2" xfId="0" applyAlignment="1" applyBorder="1" applyFill="1" applyFont="1" applyNumberFormat="1">
      <alignment readingOrder="0" vertical="center"/>
    </xf>
    <xf borderId="10" fillId="4" fontId="6" numFmtId="2" xfId="0" applyAlignment="1" applyBorder="1" applyFill="1" applyFont="1" applyNumberFormat="1">
      <alignment horizontal="center" vertical="center"/>
    </xf>
    <xf borderId="11" fillId="4" fontId="6" numFmtId="2" xfId="0" applyAlignment="1" applyBorder="1" applyFill="1" applyFont="1" applyNumberFormat="1">
      <alignment horizontal="center" vertical="center"/>
    </xf>
    <xf borderId="12" fillId="5" fontId="10" numFmtId="2" xfId="0" applyAlignment="1" applyBorder="1" applyFill="1" applyFont="1" applyNumberFormat="1">
      <alignment horizontal="center" textRotation="90" vertical="center"/>
    </xf>
    <xf borderId="13" fillId="0" fontId="9" numFmtId="0" xfId="0" applyAlignment="1" applyBorder="1" applyFont="1">
      <alignment vertical="center"/>
    </xf>
    <xf borderId="12" fillId="5" fontId="11" numFmtId="2" xfId="0" applyAlignment="1" applyBorder="1" applyFill="1" applyFont="1" applyNumberFormat="1">
      <alignment horizontal="center" textRotation="90" vertical="center"/>
    </xf>
    <xf borderId="12" fillId="5" fontId="5" numFmtId="2" xfId="0" applyAlignment="1" applyBorder="1" applyFill="1" applyFont="1" applyNumberFormat="1">
      <alignment horizontal="center" textRotation="90" vertical="center"/>
    </xf>
    <xf borderId="8" fillId="6" fontId="11" numFmtId="2" xfId="0" applyAlignment="1" applyBorder="1" applyFill="1" applyFont="1" applyNumberFormat="1">
      <alignment horizontal="center" textRotation="90" vertical="center"/>
    </xf>
    <xf borderId="8" fillId="6" fontId="5" numFmtId="2" xfId="0" applyAlignment="1" applyBorder="1" applyFill="1" applyFont="1" applyNumberFormat="1">
      <alignment horizontal="center" textRotation="90" vertical="center"/>
    </xf>
    <xf borderId="14" fillId="7" fontId="11" numFmtId="2" xfId="0" applyAlignment="1" applyBorder="1" applyFill="1" applyFont="1" applyNumberFormat="1">
      <alignment horizontal="center" textRotation="90" vertical="center"/>
    </xf>
    <xf borderId="14" fillId="7" fontId="5" numFmtId="2" xfId="0" applyAlignment="1" applyBorder="1" applyFill="1" applyFont="1" applyNumberFormat="1">
      <alignment horizontal="center" textRotation="90" vertical="center"/>
    </xf>
    <xf borderId="14" fillId="8" fontId="11" numFmtId="2" xfId="0" applyAlignment="1" applyBorder="1" applyFill="1" applyFont="1" applyNumberFormat="1">
      <alignment horizontal="center" textRotation="90" vertical="center"/>
    </xf>
    <xf borderId="14" fillId="8" fontId="5" numFmtId="2" xfId="0" applyAlignment="1" applyBorder="1" applyFill="1" applyFont="1" applyNumberFormat="1">
      <alignment horizontal="center" textRotation="90" vertical="center"/>
    </xf>
    <xf borderId="14" fillId="9" fontId="11" numFmtId="2" xfId="0" applyAlignment="1" applyBorder="1" applyFill="1" applyFont="1" applyNumberFormat="1">
      <alignment horizontal="center" textRotation="90" vertical="center"/>
    </xf>
    <xf borderId="14" fillId="9" fontId="5" numFmtId="2" xfId="0" applyAlignment="1" applyBorder="1" applyFill="1" applyFont="1" applyNumberFormat="1">
      <alignment horizontal="center" textRotation="90" vertical="center"/>
    </xf>
    <xf borderId="14" fillId="10" fontId="11" numFmtId="2" xfId="0" applyAlignment="1" applyBorder="1" applyFill="1" applyFont="1" applyNumberFormat="1">
      <alignment horizontal="center" textRotation="90" vertical="center"/>
    </xf>
    <xf borderId="14" fillId="10" fontId="5" numFmtId="2" xfId="0" applyAlignment="1" applyBorder="1" applyFill="1" applyFont="1" applyNumberFormat="1">
      <alignment horizontal="center" textRotation="90" vertical="center"/>
    </xf>
    <xf borderId="15" fillId="4" fontId="6" numFmtId="2" xfId="0" applyAlignment="1" applyBorder="1" applyFill="1" applyFont="1" applyNumberFormat="1">
      <alignment vertical="center"/>
    </xf>
    <xf borderId="14" fillId="11" fontId="11" numFmtId="2" xfId="0" applyAlignment="1" applyBorder="1" applyFill="1" applyFont="1" applyNumberFormat="1">
      <alignment horizontal="center" textRotation="90" vertical="center"/>
    </xf>
    <xf borderId="14" fillId="11" fontId="5" numFmtId="2" xfId="0" applyAlignment="1" applyBorder="1" applyFill="1" applyFont="1" applyNumberFormat="1">
      <alignment horizontal="center" textRotation="90" vertical="center"/>
    </xf>
    <xf borderId="14" fillId="12" fontId="5" numFmtId="2" xfId="0" applyAlignment="1" applyBorder="1" applyFill="1" applyFont="1" applyNumberFormat="1">
      <alignment horizontal="center" textRotation="90" vertical="center"/>
    </xf>
    <xf borderId="14" fillId="12" fontId="11" numFmtId="2" xfId="0" applyAlignment="1" applyBorder="1" applyFill="1" applyFont="1" applyNumberFormat="1">
      <alignment horizontal="center" textRotation="90" vertical="center"/>
    </xf>
    <xf borderId="14" fillId="13" fontId="5" numFmtId="2" xfId="0" applyAlignment="1" applyBorder="1" applyFill="1" applyFont="1" applyNumberFormat="1">
      <alignment horizontal="center" textRotation="90" vertical="center"/>
    </xf>
    <xf borderId="14" fillId="13" fontId="11" numFmtId="2" xfId="0" applyAlignment="1" applyBorder="1" applyFill="1" applyFont="1" applyNumberFormat="1">
      <alignment horizontal="center" textRotation="90" vertical="center"/>
    </xf>
    <xf borderId="14" fillId="14" fontId="5" numFmtId="2" xfId="0" applyAlignment="1" applyBorder="1" applyFill="1" applyFont="1" applyNumberFormat="1">
      <alignment horizontal="center" textRotation="90" vertical="center"/>
    </xf>
    <xf borderId="14" fillId="14" fontId="11" numFmtId="2" xfId="0" applyAlignment="1" applyBorder="1" applyFill="1" applyFont="1" applyNumberFormat="1">
      <alignment horizontal="center" textRotation="90" vertical="center"/>
    </xf>
    <xf borderId="8" fillId="15" fontId="5" numFmtId="2" xfId="0" applyAlignment="1" applyBorder="1" applyFill="1" applyFont="1" applyNumberFormat="1">
      <alignment horizontal="center" textRotation="90" vertical="center"/>
    </xf>
    <xf borderId="8" fillId="15" fontId="11" numFmtId="2" xfId="0" applyAlignment="1" applyBorder="1" applyFill="1" applyFont="1" applyNumberFormat="1">
      <alignment horizontal="center" textRotation="90" vertical="center"/>
    </xf>
    <xf borderId="16" fillId="16" fontId="12" numFmtId="2" xfId="0" applyAlignment="1" applyBorder="1" applyFill="1" applyFont="1" applyNumberFormat="1">
      <alignment horizontal="center" readingOrder="0" textRotation="90" vertical="center"/>
    </xf>
    <xf borderId="16" fillId="16" fontId="11" numFmtId="2" xfId="0" applyAlignment="1" applyBorder="1" applyFill="1" applyFont="1" applyNumberFormat="1">
      <alignment horizontal="center" textRotation="90" vertical="center"/>
    </xf>
    <xf borderId="17" fillId="17" fontId="13" numFmtId="2" xfId="0" applyAlignment="1" applyBorder="1" applyFill="1" applyFont="1" applyNumberFormat="1">
      <alignment horizontal="center" vertical="center"/>
    </xf>
    <xf borderId="8" fillId="2" fontId="14" numFmtId="1" xfId="0" applyAlignment="1" applyBorder="1" applyFill="1" applyFont="1" applyNumberFormat="1">
      <alignment horizontal="center" shrinkToFit="0" vertical="center" wrapText="1"/>
    </xf>
    <xf borderId="18" fillId="2" fontId="14" numFmtId="1" xfId="0" applyAlignment="1" applyBorder="1" applyFill="1" applyFont="1" applyNumberFormat="1">
      <alignment horizontal="center" shrinkToFit="0" vertical="center" wrapText="1"/>
    </xf>
    <xf borderId="19" fillId="2" fontId="10" numFmtId="0" xfId="0" applyAlignment="1" applyBorder="1" applyFill="1" applyFont="1">
      <alignment vertical="bottom"/>
    </xf>
    <xf borderId="20" fillId="0" fontId="15" numFmtId="0" xfId="0" applyAlignment="1" applyBorder="1" applyFont="1">
      <alignment vertical="bottom"/>
    </xf>
    <xf borderId="21" fillId="0" fontId="9" numFmtId="0" xfId="0" applyAlignment="1" applyBorder="1" applyFont="1">
      <alignment vertical="center"/>
    </xf>
    <xf borderId="8" fillId="0" fontId="15" numFmtId="0" xfId="0" applyAlignment="1" applyBorder="1" applyFont="1">
      <alignment vertical="bottom"/>
    </xf>
    <xf borderId="22" fillId="0" fontId="15" numFmtId="0" xfId="0" applyAlignment="1" applyBorder="1" applyFont="1">
      <alignment vertical="bottom"/>
    </xf>
    <xf borderId="8" fillId="5" fontId="16" numFmtId="2" xfId="0" applyAlignment="1" applyBorder="1" applyFill="1" applyFont="1" applyNumberFormat="1">
      <alignment horizontal="center" readingOrder="0" vertical="bottom"/>
    </xf>
    <xf borderId="1" fillId="0" fontId="15" numFmtId="0" xfId="0" applyAlignment="1" applyBorder="1" applyFont="1">
      <alignment vertical="bottom"/>
    </xf>
    <xf borderId="8" fillId="5" fontId="16" numFmtId="2" xfId="0" applyAlignment="1" applyBorder="1" applyFill="1" applyFont="1" applyNumberFormat="1">
      <alignment horizontal="center" readingOrder="0" vertical="center"/>
    </xf>
    <xf borderId="8" fillId="6" fontId="16" numFmtId="2" xfId="0" applyAlignment="1" applyBorder="1" applyFill="1" applyFont="1" applyNumberFormat="1">
      <alignment horizontal="center" readingOrder="0" shrinkToFit="0" vertical="center" wrapText="0"/>
    </xf>
    <xf borderId="8" fillId="6" fontId="17" numFmtId="2" xfId="0" applyAlignment="1" applyBorder="1" applyFill="1" applyFont="1" applyNumberFormat="1">
      <alignment horizontal="center" readingOrder="0" vertical="center"/>
    </xf>
    <xf borderId="8" fillId="7" fontId="16" numFmtId="2" xfId="0" applyAlignment="1" applyBorder="1" applyFill="1" applyFont="1" applyNumberFormat="1">
      <alignment horizontal="center" readingOrder="0" shrinkToFit="0" vertical="center" wrapText="0"/>
    </xf>
    <xf borderId="11" fillId="0" fontId="15" numFmtId="0" xfId="0" applyAlignment="1" applyBorder="1" applyFont="1">
      <alignment vertical="bottom"/>
    </xf>
    <xf borderId="8" fillId="8" fontId="16" numFmtId="2" xfId="0" applyAlignment="1" applyBorder="1" applyFill="1" applyFont="1" applyNumberFormat="1">
      <alignment horizontal="center" readingOrder="0" vertical="center"/>
    </xf>
    <xf borderId="8" fillId="18" fontId="16" numFmtId="2" xfId="0" applyAlignment="1" applyBorder="1" applyFill="1" applyFont="1" applyNumberFormat="1">
      <alignment horizontal="center" readingOrder="0" vertical="center"/>
    </xf>
    <xf borderId="8" fillId="9" fontId="16" numFmtId="2" xfId="0" applyAlignment="1" applyBorder="1" applyFill="1" applyFont="1" applyNumberFormat="1">
      <alignment horizontal="center" readingOrder="0" vertical="center"/>
    </xf>
    <xf borderId="8" fillId="9" fontId="16" numFmtId="2" xfId="0" applyAlignment="1" applyBorder="1" applyFill="1" applyFont="1" applyNumberFormat="1">
      <alignment horizontal="center" readingOrder="0" shrinkToFit="0" vertical="center" wrapText="0"/>
    </xf>
    <xf borderId="8" fillId="19" fontId="16" numFmtId="2" xfId="0" applyAlignment="1" applyBorder="1" applyFill="1" applyFont="1" applyNumberFormat="1">
      <alignment horizontal="center" readingOrder="0" vertical="center"/>
    </xf>
    <xf borderId="8" fillId="10" fontId="16" numFmtId="2" xfId="0" applyAlignment="1" applyBorder="1" applyFill="1" applyFont="1" applyNumberFormat="1">
      <alignment horizontal="center" readingOrder="0" vertical="center"/>
    </xf>
    <xf borderId="8" fillId="11" fontId="16" numFmtId="2" xfId="0" applyAlignment="1" applyBorder="1" applyFill="1" applyFont="1" applyNumberFormat="1">
      <alignment horizontal="center" readingOrder="0" shrinkToFit="0" vertical="center" wrapText="0"/>
    </xf>
    <xf borderId="8" fillId="6" fontId="16" numFmtId="2" xfId="0" applyAlignment="1" applyBorder="1" applyFill="1" applyFont="1" applyNumberFormat="1">
      <alignment horizontal="center" readingOrder="0" vertical="center"/>
    </xf>
    <xf borderId="8" fillId="12" fontId="16" numFmtId="2" xfId="0" applyAlignment="1" applyBorder="1" applyFill="1" applyFont="1" applyNumberFormat="1">
      <alignment horizontal="center" readingOrder="0" shrinkToFit="0" vertical="bottom" wrapText="0"/>
    </xf>
    <xf borderId="8" fillId="20" fontId="16" numFmtId="2" xfId="0" applyAlignment="1" applyBorder="1" applyFill="1" applyFont="1" applyNumberFormat="1">
      <alignment horizontal="center" readingOrder="0" vertical="center"/>
    </xf>
    <xf borderId="23" fillId="13" fontId="16" numFmtId="2" xfId="0" applyAlignment="1" applyBorder="1" applyFill="1" applyFont="1" applyNumberFormat="1">
      <alignment horizontal="center" readingOrder="0" shrinkToFit="0" vertical="center" wrapText="0"/>
    </xf>
    <xf borderId="8" fillId="13" fontId="16" numFmtId="2" xfId="0" applyAlignment="1" applyBorder="1" applyFill="1" applyFont="1" applyNumberFormat="1">
      <alignment horizontal="center" readingOrder="0" shrinkToFit="0" vertical="center" wrapText="1"/>
    </xf>
    <xf borderId="8" fillId="21" fontId="16" numFmtId="2" xfId="0" applyAlignment="1" applyBorder="1" applyFill="1" applyFont="1" applyNumberFormat="1">
      <alignment horizontal="center" readingOrder="0" vertical="center"/>
    </xf>
    <xf borderId="8" fillId="13" fontId="16" numFmtId="2" xfId="0" applyAlignment="1" applyBorder="1" applyFill="1" applyFont="1" applyNumberFormat="1">
      <alignment horizontal="center" readingOrder="0" vertical="center"/>
    </xf>
    <xf borderId="8" fillId="9" fontId="16" numFmtId="0" xfId="0" applyAlignment="1" applyBorder="1" applyFill="1" applyFont="1">
      <alignment horizontal="center" readingOrder="0" vertical="bottom"/>
    </xf>
    <xf borderId="8" fillId="14" fontId="18" numFmtId="2" xfId="0" applyAlignment="1" applyBorder="1" applyFill="1" applyFont="1" applyNumberFormat="1">
      <alignment horizontal="center" readingOrder="0" shrinkToFit="0" vertical="center" wrapText="0"/>
    </xf>
    <xf borderId="8" fillId="15" fontId="16" numFmtId="2" xfId="0" applyAlignment="1" applyBorder="1" applyFill="1" applyFont="1" applyNumberFormat="1">
      <alignment horizontal="center" shrinkToFit="0" vertical="center" wrapText="1"/>
    </xf>
    <xf borderId="8" fillId="4" fontId="16" numFmtId="2" xfId="0" applyAlignment="1" applyBorder="1" applyFill="1" applyFont="1" applyNumberFormat="1">
      <alignment horizontal="center" readingOrder="0" vertical="center"/>
    </xf>
    <xf borderId="8" fillId="16" fontId="16" numFmtId="2" xfId="0" applyAlignment="1" applyBorder="1" applyFill="1" applyFont="1" applyNumberFormat="1">
      <alignment horizontal="center" readingOrder="0" shrinkToFit="0" vertical="center" wrapText="1"/>
    </xf>
    <xf borderId="24" fillId="2" fontId="8" numFmtId="2" xfId="0" applyAlignment="1" applyBorder="1" applyFill="1" applyFont="1" applyNumberFormat="1">
      <alignment readingOrder="0" shrinkToFit="0" vertical="center" wrapText="1"/>
    </xf>
    <xf borderId="8" fillId="12" fontId="16" numFmtId="2" xfId="0" applyAlignment="1" applyBorder="1" applyFill="1" applyFont="1" applyNumberFormat="1">
      <alignment horizontal="center" readingOrder="0" vertical="center"/>
    </xf>
    <xf borderId="8" fillId="13" fontId="16" numFmtId="2" xfId="0" applyAlignment="1" applyBorder="1" applyFill="1" applyFont="1" applyNumberFormat="1">
      <alignment horizontal="center" readingOrder="0" shrinkToFit="0" vertical="center" wrapText="0"/>
    </xf>
    <xf borderId="25" fillId="0" fontId="15" numFmtId="0" xfId="0" applyAlignment="1" applyBorder="1" applyFont="1">
      <alignment vertical="bottom"/>
    </xf>
    <xf borderId="8" fillId="16" fontId="19" numFmtId="2" xfId="0" applyAlignment="1" applyBorder="1" applyFill="1" applyFont="1" applyNumberFormat="1">
      <alignment horizontal="center" readingOrder="0" shrinkToFit="0" vertical="center" wrapText="1"/>
    </xf>
    <xf borderId="26" fillId="0" fontId="9" numFmtId="0" xfId="0" applyAlignment="1" applyBorder="1" applyFont="1">
      <alignment vertical="center"/>
    </xf>
    <xf borderId="8" fillId="14" fontId="16" numFmtId="2" xfId="0" applyAlignment="1" applyBorder="1" applyFill="1" applyFont="1" applyNumberFormat="1">
      <alignment horizontal="center" readingOrder="0" shrinkToFit="0" vertical="center" wrapText="0"/>
    </xf>
    <xf borderId="8" fillId="16" fontId="20" numFmtId="2" xfId="0" applyAlignment="1" applyBorder="1" applyFill="1" applyFont="1" applyNumberFormat="1">
      <alignment horizontal="center" readingOrder="0" vertical="bottom"/>
    </xf>
    <xf borderId="8" fillId="2" fontId="8" numFmtId="2" xfId="0" applyAlignment="1" applyBorder="1" applyFill="1" applyFont="1" applyNumberFormat="1">
      <alignment readingOrder="0" shrinkToFit="0" vertical="center" wrapText="1"/>
    </xf>
    <xf borderId="3" fillId="2" fontId="8" numFmtId="2" xfId="0" applyAlignment="1" applyBorder="1" applyFill="1" applyFont="1" applyNumberFormat="1">
      <alignment readingOrder="0" shrinkToFit="0" vertical="center" wrapText="1"/>
    </xf>
    <xf borderId="8" fillId="16" fontId="16" numFmtId="2" xfId="0" applyAlignment="1" applyBorder="1" applyFill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27" fillId="2" fontId="10" numFmtId="0" xfId="0" applyAlignment="1" applyBorder="1" applyFill="1" applyFont="1">
      <alignment vertical="bottom"/>
    </xf>
    <xf borderId="28" fillId="2" fontId="15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vertical="bottom"/>
    </xf>
    <xf borderId="8" fillId="8" fontId="18" numFmtId="2" xfId="0" applyAlignment="1" applyBorder="1" applyFill="1" applyFont="1" applyNumberFormat="1">
      <alignment horizontal="center" readingOrder="0" vertical="center"/>
    </xf>
    <xf borderId="8" fillId="9" fontId="16" numFmtId="2" xfId="0" applyAlignment="1" applyBorder="1" applyFill="1" applyFont="1" applyNumberFormat="1">
      <alignment horizontal="center" readingOrder="0" vertical="bottom"/>
    </xf>
    <xf borderId="29" fillId="0" fontId="9" numFmtId="0" xfId="0" applyAlignment="1" applyBorder="1" applyFont="1">
      <alignment vertical="center"/>
    </xf>
    <xf borderId="8" fillId="9" fontId="18" numFmtId="2" xfId="0" applyAlignment="1" applyBorder="1" applyFill="1" applyFont="1" applyNumberFormat="1">
      <alignment horizontal="center" readingOrder="0" vertical="center"/>
    </xf>
    <xf borderId="8" fillId="4" fontId="18" numFmtId="2" xfId="0" applyAlignment="1" applyBorder="1" applyFill="1" applyFont="1" applyNumberFormat="1">
      <alignment horizontal="center" readingOrder="0" vertical="center"/>
    </xf>
    <xf borderId="8" fillId="10" fontId="18" numFmtId="2" xfId="0" applyAlignment="1" applyBorder="1" applyFill="1" applyFont="1" applyNumberFormat="1">
      <alignment horizontal="center" readingOrder="0" vertical="center"/>
    </xf>
    <xf borderId="8" fillId="12" fontId="21" numFmtId="2" xfId="0" applyAlignment="1" applyBorder="1" applyFill="1" applyFont="1" applyNumberFormat="1">
      <alignment horizontal="center" readingOrder="0" vertical="center"/>
    </xf>
    <xf borderId="8" fillId="5" fontId="18" numFmtId="2" xfId="0" applyAlignment="1" applyBorder="1" applyFill="1" applyFont="1" applyNumberFormat="1">
      <alignment horizontal="center" readingOrder="0" vertical="center"/>
    </xf>
    <xf borderId="8" fillId="6" fontId="18" numFmtId="2" xfId="0" applyAlignment="1" applyBorder="1" applyFill="1" applyFont="1" applyNumberFormat="1">
      <alignment horizontal="center" readingOrder="0" vertical="center"/>
    </xf>
    <xf borderId="0" fillId="0" fontId="22" numFmtId="0" xfId="0" applyAlignment="1" applyFont="1">
      <alignment readingOrder="0" shrinkToFit="0" vertical="bottom" wrapText="0"/>
    </xf>
    <xf borderId="8" fillId="21" fontId="18" numFmtId="2" xfId="0" applyAlignment="1" applyBorder="1" applyFill="1" applyFont="1" applyNumberFormat="1">
      <alignment horizontal="center" readingOrder="0" vertical="center"/>
    </xf>
    <xf borderId="0" fillId="0" fontId="20" numFmtId="0" xfId="0" applyAlignment="1" applyFont="1">
      <alignment horizontal="right" readingOrder="0" shrinkToFit="0" vertical="bottom" wrapText="0"/>
    </xf>
    <xf borderId="0" fillId="0" fontId="23" numFmtId="0" xfId="0" applyAlignment="1" applyFont="1">
      <alignment readingOrder="0" vertical="center"/>
    </xf>
    <xf borderId="8" fillId="2" fontId="8" numFmtId="1" xfId="0" applyAlignment="1" applyBorder="1" applyFill="1" applyFont="1" applyNumberFormat="1">
      <alignment horizontal="center" shrinkToFit="0" vertical="center" wrapText="1"/>
    </xf>
    <xf borderId="0" fillId="0" fontId="22" numFmtId="0" xfId="0" applyAlignment="1" applyFont="1">
      <alignment horizontal="right" readingOrder="0" shrinkToFit="0" vertical="bottom" wrapText="0"/>
    </xf>
    <xf borderId="8" fillId="18" fontId="18" numFmtId="2" xfId="0" applyAlignment="1" applyBorder="1" applyFill="1" applyFont="1" applyNumberFormat="1">
      <alignment horizontal="center" readingOrder="0" vertical="center"/>
    </xf>
    <xf borderId="8" fillId="9" fontId="16" numFmtId="0" xfId="0" applyAlignment="1" applyBorder="1" applyFill="1" applyFont="1">
      <alignment horizontal="center" readingOrder="0" vertical="center"/>
    </xf>
    <xf borderId="8" fillId="19" fontId="18" numFmtId="2" xfId="0" applyAlignment="1" applyBorder="1" applyFill="1" applyFont="1" applyNumberFormat="1">
      <alignment horizontal="center" readingOrder="0" vertical="center"/>
    </xf>
    <xf borderId="8" fillId="11" fontId="18" numFmtId="2" xfId="0" applyAlignment="1" applyBorder="1" applyFill="1" applyFont="1" applyNumberForma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8" fillId="2" fontId="8" numFmtId="1" xfId="0" applyAlignment="1" applyBorder="1" applyFill="1" applyFont="1" applyNumberFormat="1">
      <alignment horizontal="center" readingOrder="0" shrinkToFit="0" vertical="center" wrapText="1"/>
    </xf>
    <xf borderId="8" fillId="7" fontId="16" numFmtId="0" xfId="0" applyAlignment="1" applyBorder="1" applyFill="1" applyFont="1">
      <alignment horizontal="center" readingOrder="0" shrinkToFit="0" vertical="center" wrapText="0"/>
    </xf>
    <xf borderId="22" fillId="0" fontId="9" numFmtId="0" xfId="0" applyAlignment="1" applyBorder="1" applyFont="1">
      <alignment vertical="center"/>
    </xf>
    <xf borderId="0" fillId="0" fontId="23" numFmtId="164" xfId="0" applyAlignment="1" applyFont="1" applyNumberFormat="1">
      <alignment readingOrder="0" vertical="center"/>
    </xf>
    <xf borderId="30" fillId="0" fontId="15" numFmtId="0" xfId="0" applyAlignment="1" applyBorder="1" applyFont="1">
      <alignment vertical="bottom"/>
    </xf>
    <xf borderId="31" fillId="0" fontId="9" numFmtId="0" xfId="0" applyAlignment="1" applyBorder="1" applyFont="1">
      <alignment vertical="center"/>
    </xf>
    <xf borderId="8" fillId="6" fontId="18" numFmtId="0" xfId="0" applyAlignment="1" applyBorder="1" applyFill="1" applyFont="1">
      <alignment horizontal="center" readingOrder="0" vertical="center"/>
    </xf>
    <xf borderId="8" fillId="8" fontId="17" numFmtId="2" xfId="0" applyAlignment="1" applyBorder="1" applyFill="1" applyFont="1" applyNumberFormat="1">
      <alignment horizontal="center" readingOrder="0" vertical="center"/>
    </xf>
    <xf borderId="8" fillId="2" fontId="24" numFmtId="2" xfId="0" applyAlignment="1" applyBorder="1" applyFill="1" applyFont="1" applyNumberFormat="1">
      <alignment readingOrder="0" shrinkToFit="0" vertical="center" wrapText="1"/>
    </xf>
    <xf borderId="8" fillId="20" fontId="21" numFmtId="2" xfId="0" applyAlignment="1" applyBorder="1" applyFill="1" applyFont="1" applyNumberFormat="1">
      <alignment horizontal="center" readingOrder="0" vertical="center"/>
    </xf>
    <xf borderId="8" fillId="9" fontId="18" numFmtId="0" xfId="0" applyAlignment="1" applyBorder="1" applyFill="1" applyFont="1">
      <alignment horizontal="center" readingOrder="0" vertical="center"/>
    </xf>
    <xf borderId="1" fillId="0" fontId="14" numFmtId="1" xfId="0" applyAlignment="1" applyBorder="1" applyFont="1" applyNumberFormat="1">
      <alignment horizontal="center" shrinkToFit="0" vertical="center" wrapText="1"/>
    </xf>
    <xf borderId="8" fillId="4" fontId="16" numFmtId="2" xfId="0" applyAlignment="1" applyBorder="1" applyFill="1" applyFont="1" applyNumberFormat="1">
      <alignment horizontal="center" readingOrder="0" shrinkToFit="0" vertical="center" wrapText="1"/>
    </xf>
    <xf borderId="8" fillId="6" fontId="17" numFmtId="0" xfId="0" applyAlignment="1" applyBorder="1" applyFill="1" applyFont="1">
      <alignment horizontal="center" readingOrder="0" vertical="center"/>
    </xf>
    <xf borderId="8" fillId="5" fontId="16" numFmtId="2" xfId="0" applyAlignment="1" applyBorder="1" applyFill="1" applyFont="1" applyNumberFormat="1">
      <alignment horizontal="center" readingOrder="0" shrinkToFit="0" vertical="center" wrapText="1"/>
    </xf>
    <xf borderId="8" fillId="11" fontId="16" numFmtId="0" xfId="0" applyAlignment="1" applyBorder="1" applyFill="1" applyFont="1">
      <alignment horizontal="center" readingOrder="0" shrinkToFit="0" vertical="center" wrapText="0"/>
    </xf>
    <xf borderId="8" fillId="22" fontId="16" numFmtId="2" xfId="0" applyAlignment="1" applyBorder="1" applyFill="1" applyFont="1" applyNumberFormat="1">
      <alignment horizontal="center" shrinkToFit="0" vertical="center" wrapText="1"/>
    </xf>
    <xf borderId="8" fillId="0" fontId="6" numFmtId="0" xfId="0" applyAlignment="1" applyBorder="1" applyFont="1">
      <alignment readingOrder="0" vertical="bottom"/>
    </xf>
    <xf borderId="8" fillId="7" fontId="16" numFmtId="2" xfId="0" applyAlignment="1" applyBorder="1" applyFill="1" applyFont="1" applyNumberFormat="1">
      <alignment horizontal="center" readingOrder="0" vertical="center"/>
    </xf>
    <xf borderId="24" fillId="2" fontId="24" numFmtId="2" xfId="0" applyAlignment="1" applyBorder="1" applyFill="1" applyFont="1" applyNumberFormat="1">
      <alignment readingOrder="0" shrinkToFit="0" vertical="center" wrapText="1"/>
    </xf>
    <xf borderId="4" fillId="2" fontId="10" numFmtId="0" xfId="0" applyAlignment="1" applyBorder="1" applyFill="1" applyFont="1">
      <alignment horizontal="left" vertical="bottom"/>
    </xf>
    <xf borderId="8" fillId="5" fontId="16" numFmtId="2" xfId="0" applyAlignment="1" applyBorder="1" applyFill="1" applyFont="1" applyNumberFormat="1">
      <alignment horizontal="center" shrinkToFit="0" vertical="center" wrapText="1"/>
    </xf>
    <xf borderId="8" fillId="6" fontId="16" numFmtId="2" xfId="0" applyAlignment="1" applyBorder="1" applyFill="1" applyFont="1" applyNumberFormat="1">
      <alignment horizontal="center" shrinkToFit="0" vertical="center" wrapText="1"/>
    </xf>
    <xf borderId="8" fillId="7" fontId="16" numFmtId="2" xfId="0" applyAlignment="1" applyBorder="1" applyFill="1" applyFont="1" applyNumberFormat="1">
      <alignment horizontal="center" shrinkToFit="0" vertical="center" wrapText="1"/>
    </xf>
    <xf borderId="8" fillId="8" fontId="16" numFmtId="2" xfId="0" applyAlignment="1" applyBorder="1" applyFill="1" applyFont="1" applyNumberFormat="1">
      <alignment horizontal="center" shrinkToFit="0" vertical="center" wrapText="1"/>
    </xf>
    <xf borderId="8" fillId="9" fontId="16" numFmtId="2" xfId="0" applyAlignment="1" applyBorder="1" applyFill="1" applyFont="1" applyNumberFormat="1">
      <alignment horizontal="center" shrinkToFit="0" vertical="center" wrapText="1"/>
    </xf>
    <xf borderId="8" fillId="10" fontId="16" numFmtId="2" xfId="0" applyAlignment="1" applyBorder="1" applyFill="1" applyFont="1" applyNumberFormat="1">
      <alignment horizontal="center" shrinkToFit="0" vertical="center" wrapText="1"/>
    </xf>
    <xf borderId="32" fillId="2" fontId="15" numFmtId="0" xfId="0" applyAlignment="1" applyBorder="1" applyFill="1" applyFont="1">
      <alignment vertical="bottom"/>
    </xf>
    <xf borderId="8" fillId="11" fontId="16" numFmtId="2" xfId="0" applyAlignment="1" applyBorder="1" applyFill="1" applyFont="1" applyNumberFormat="1">
      <alignment horizontal="center" shrinkToFit="0" vertical="center" wrapText="1"/>
    </xf>
    <xf borderId="8" fillId="2" fontId="10" numFmtId="0" xfId="0" applyAlignment="1" applyBorder="1" applyFill="1" applyFont="1">
      <alignment horizontal="left" vertical="bottom"/>
    </xf>
    <xf borderId="8" fillId="2" fontId="16" numFmtId="2" xfId="0" applyAlignment="1" applyBorder="1" applyFill="1" applyFont="1" applyNumberFormat="1">
      <alignment horizontal="center" shrinkToFit="0" vertical="center" wrapText="1"/>
    </xf>
    <xf borderId="8" fillId="0" fontId="17" numFmtId="0" xfId="0" applyAlignment="1" applyBorder="1" applyFont="1">
      <alignment horizontal="center" vertical="center"/>
    </xf>
    <xf borderId="8" fillId="0" fontId="17" numFmtId="0" xfId="0" applyAlignment="1" applyBorder="1" applyFont="1">
      <alignment vertical="center"/>
    </xf>
    <xf borderId="33" fillId="0" fontId="6" numFmtId="0" xfId="0" applyAlignment="1" applyBorder="1" applyFont="1">
      <alignment vertical="bottom"/>
    </xf>
    <xf borderId="4" fillId="2" fontId="8" numFmtId="0" xfId="0" applyAlignment="1" applyBorder="1" applyFill="1" applyFont="1">
      <alignment horizontal="left" readingOrder="0" vertical="bottom"/>
    </xf>
    <xf borderId="8" fillId="10" fontId="16" numFmtId="2" xfId="0" applyAlignment="1" applyBorder="1" applyFill="1" applyFont="1" applyNumberFormat="1">
      <alignment horizontal="center" readingOrder="0" shrinkToFit="0" vertical="center" wrapText="1"/>
    </xf>
    <xf borderId="1" fillId="2" fontId="25" numFmtId="2" xfId="0" applyAlignment="1" applyBorder="1" applyFill="1" applyFont="1" applyNumberFormat="1">
      <alignment shrinkToFit="0" vertical="center" wrapText="1"/>
    </xf>
    <xf borderId="8" fillId="12" fontId="16" numFmtId="2" xfId="0" applyAlignment="1" applyBorder="1" applyFill="1" applyFont="1" applyNumberFormat="1">
      <alignment horizontal="center" readingOrder="0" shrinkToFit="0" vertical="center" wrapText="1"/>
    </xf>
    <xf borderId="15" fillId="2" fontId="7" numFmtId="2" xfId="0" applyAlignment="1" applyBorder="1" applyFill="1" applyFont="1" applyNumberFormat="1">
      <alignment vertical="center"/>
    </xf>
    <xf borderId="8" fillId="8" fontId="26" numFmtId="2" xfId="0" applyAlignment="1" applyBorder="1" applyFill="1" applyFont="1" applyNumberFormat="1">
      <alignment horizontal="center" readingOrder="0" vertical="center"/>
    </xf>
    <xf borderId="34" fillId="2" fontId="14" numFmtId="1" xfId="0" applyAlignment="1" applyBorder="1" applyFill="1" applyFont="1" applyNumberFormat="1">
      <alignment horizontal="center" shrinkToFit="0" vertical="center" wrapText="1"/>
    </xf>
    <xf borderId="3" fillId="2" fontId="24" numFmtId="2" xfId="0" applyAlignment="1" applyBorder="1" applyFill="1" applyFont="1" applyNumberFormat="1">
      <alignment readingOrder="0" shrinkToFit="0" vertical="center" wrapText="1"/>
    </xf>
    <xf borderId="30" fillId="23" fontId="15" numFmtId="0" xfId="0" applyAlignment="1" applyBorder="1" applyFill="1" applyFont="1">
      <alignment vertical="bottom"/>
    </xf>
    <xf borderId="8" fillId="24" fontId="16" numFmtId="2" xfId="0" applyAlignment="1" applyBorder="1" applyFill="1" applyFont="1" applyNumberFormat="1">
      <alignment horizontal="center" shrinkToFit="0" vertical="center" wrapText="1"/>
    </xf>
    <xf borderId="8" fillId="23" fontId="16" numFmtId="2" xfId="0" applyAlignment="1" applyBorder="1" applyFill="1" applyFont="1" applyNumberFormat="1">
      <alignment horizontal="center" shrinkToFit="0" vertical="center" wrapText="1"/>
    </xf>
    <xf borderId="8" fillId="23" fontId="16" numFmtId="2" xfId="0" applyAlignment="1" applyBorder="1" applyFill="1" applyFont="1" applyNumberFormat="1">
      <alignment horizontal="center" readingOrder="0" shrinkToFit="0" vertical="center" wrapText="1"/>
    </xf>
    <xf borderId="35" fillId="2" fontId="14" numFmtId="2" xfId="0" applyAlignment="1" applyBorder="1" applyFill="1" applyFont="1" applyNumberFormat="1">
      <alignment shrinkToFit="0" vertical="center" wrapText="1"/>
    </xf>
    <xf borderId="36" fillId="2" fontId="15" numFmtId="0" xfId="0" applyAlignment="1" applyBorder="1" applyFill="1" applyFont="1">
      <alignment vertical="bottom"/>
    </xf>
    <xf borderId="37" fillId="0" fontId="6" numFmtId="0" xfId="0" applyAlignment="1" applyBorder="1" applyFont="1">
      <alignment vertical="bottom"/>
    </xf>
    <xf borderId="38" fillId="0" fontId="9" numFmtId="0" xfId="0" applyAlignment="1" applyBorder="1" applyFont="1">
      <alignment vertical="center"/>
    </xf>
    <xf borderId="39" fillId="2" fontId="14" numFmtId="1" xfId="0" applyAlignment="1" applyBorder="1" applyFill="1" applyFont="1" applyNumberFormat="1">
      <alignment horizontal="center" shrinkToFit="0" vertical="center" wrapText="1"/>
    </xf>
    <xf borderId="8" fillId="19" fontId="16" numFmtId="2" xfId="0" applyAlignment="1" applyBorder="1" applyFill="1" applyFont="1" applyNumberFormat="1">
      <alignment horizontal="center" readingOrder="0" vertical="bottom"/>
    </xf>
    <xf borderId="40" fillId="2" fontId="8" numFmtId="2" xfId="0" applyAlignment="1" applyBorder="1" applyFill="1" applyFont="1" applyNumberFormat="1">
      <alignment readingOrder="0" shrinkToFit="0" vertical="center" wrapText="1"/>
    </xf>
    <xf borderId="41" fillId="0" fontId="15" numFmtId="0" xfId="0" applyAlignment="1" applyBorder="1" applyFont="1">
      <alignment vertical="bottom"/>
    </xf>
    <xf borderId="42" fillId="0" fontId="9" numFmtId="0" xfId="0" applyAlignment="1" applyBorder="1" applyFont="1">
      <alignment vertical="center"/>
    </xf>
    <xf borderId="11" fillId="2" fontId="10" numFmtId="0" xfId="0" applyAlignment="1" applyBorder="1" applyFill="1" applyFont="1">
      <alignment horizontal="left" vertical="bottom"/>
    </xf>
    <xf borderId="8" fillId="21" fontId="16" numFmtId="2" xfId="0" applyAlignment="1" applyBorder="1" applyFill="1" applyFont="1" applyNumberFormat="1">
      <alignment horizontal="center" shrinkToFit="0" vertical="center" wrapText="1"/>
    </xf>
    <xf borderId="43" fillId="2" fontId="3" numFmtId="2" xfId="0" applyAlignment="1" applyBorder="1" applyFill="1" applyFont="1" applyNumberFormat="1">
      <alignment horizontal="center" vertical="bottom"/>
    </xf>
    <xf borderId="8" fillId="18" fontId="16" numFmtId="2" xfId="0" applyAlignment="1" applyBorder="1" applyFill="1" applyFont="1" applyNumberFormat="1">
      <alignment horizontal="center" shrinkToFit="0" vertical="center" wrapText="1"/>
    </xf>
    <xf borderId="43" fillId="2" fontId="16" numFmtId="2" xfId="0" applyAlignment="1" applyBorder="1" applyFill="1" applyFont="1" applyNumberFormat="1">
      <alignment horizontal="center" shrinkToFit="0" vertical="center" wrapText="1"/>
    </xf>
    <xf borderId="8" fillId="19" fontId="16" numFmtId="2" xfId="0" applyAlignment="1" applyBorder="1" applyFill="1" applyFont="1" applyNumberFormat="1">
      <alignment horizontal="center" shrinkToFit="0" vertical="center" wrapText="1"/>
    </xf>
    <xf borderId="44" fillId="23" fontId="16" numFmtId="2" xfId="0" applyAlignment="1" applyBorder="1" applyFill="1" applyFont="1" applyNumberFormat="1">
      <alignment horizontal="center" shrinkToFit="0" vertical="center" wrapText="1"/>
    </xf>
    <xf borderId="43" fillId="2" fontId="27" numFmtId="2" xfId="0" applyAlignment="1" applyBorder="1" applyFill="1" applyFont="1" applyNumberFormat="1">
      <alignment horizontal="center" vertical="bottom"/>
    </xf>
    <xf borderId="15" fillId="23" fontId="16" numFmtId="2" xfId="0" applyAlignment="1" applyBorder="1" applyFill="1" applyFont="1" applyNumberFormat="1">
      <alignment horizontal="center" shrinkToFit="0" vertical="center" wrapText="1"/>
    </xf>
    <xf borderId="43" fillId="2" fontId="14" numFmtId="2" xfId="0" applyAlignment="1" applyBorder="1" applyFill="1" applyFont="1" applyNumberFormat="1">
      <alignment shrinkToFit="0" vertical="center" wrapText="1"/>
    </xf>
    <xf borderId="43" fillId="2" fontId="14" numFmtId="1" xfId="0" applyAlignment="1" applyBorder="1" applyFill="1" applyFont="1" applyNumberFormat="1">
      <alignment horizontal="center" shrinkToFit="0" vertical="center" wrapText="1"/>
    </xf>
    <xf borderId="43" fillId="2" fontId="10" numFmtId="0" xfId="0" applyAlignment="1" applyBorder="1" applyFill="1" applyFont="1">
      <alignment horizontal="left" vertical="bottom"/>
    </xf>
    <xf borderId="10" fillId="2" fontId="14" numFmtId="2" xfId="0" applyAlignment="1" applyBorder="1" applyFill="1" applyFont="1" applyNumberFormat="1">
      <alignment shrinkToFit="0" vertical="center" wrapText="1"/>
    </xf>
    <xf borderId="45" fillId="23" fontId="16" numFmtId="2" xfId="0" applyAlignment="1" applyBorder="1" applyFill="1" applyFont="1" applyNumberFormat="1">
      <alignment horizontal="center" shrinkToFit="0" vertical="center" wrapText="1"/>
    </xf>
    <xf borderId="10" fillId="2" fontId="28" numFmtId="2" xfId="0" applyAlignment="1" applyBorder="1" applyFill="1" applyFont="1" applyNumberFormat="1">
      <alignment horizontal="center" vertical="center"/>
    </xf>
    <xf borderId="1" fillId="0" fontId="6" numFmtId="0" xfId="0" applyAlignment="1" applyBorder="1" applyFont="1">
      <alignment vertical="bottom"/>
    </xf>
    <xf borderId="10" fillId="2" fontId="28" numFmtId="2" xfId="0" applyAlignment="1" applyBorder="1" applyFill="1" applyFont="1" applyNumberFormat="1">
      <alignment horizontal="center" vertical="bottom"/>
    </xf>
    <xf borderId="45" fillId="2" fontId="14" numFmtId="1" xfId="0" applyAlignment="1" applyBorder="1" applyFill="1" applyFont="1" applyNumberFormat="1">
      <alignment horizontal="center" shrinkToFit="0" vertical="center" wrapText="1"/>
    </xf>
    <xf borderId="10" fillId="2" fontId="14" numFmtId="2" xfId="0" applyAlignment="1" applyBorder="1" applyFill="1" applyFont="1" applyNumberFormat="1">
      <alignment horizontal="center" shrinkToFit="0" vertical="center" wrapText="1"/>
    </xf>
    <xf borderId="37" fillId="2" fontId="29" numFmtId="0" xfId="0" applyAlignment="1" applyBorder="1" applyFill="1" applyFont="1">
      <alignment horizontal="left" shrinkToFit="0" vertical="center" wrapText="1"/>
    </xf>
    <xf borderId="10" fillId="2" fontId="27" numFmtId="2" xfId="0" applyAlignment="1" applyBorder="1" applyFill="1" applyFont="1" applyNumberFormat="1">
      <alignment horizontal="center" vertical="bottom"/>
    </xf>
    <xf borderId="46" fillId="0" fontId="9" numFmtId="0" xfId="0" applyAlignment="1" applyBorder="1" applyFont="1">
      <alignment vertical="center"/>
    </xf>
    <xf borderId="10" fillId="2" fontId="8" numFmtId="2" xfId="0" applyAlignment="1" applyBorder="1" applyFill="1" applyFont="1" applyNumberFormat="1">
      <alignment horizontal="center" shrinkToFit="0" vertical="center" wrapText="1"/>
    </xf>
    <xf borderId="47" fillId="2" fontId="14" numFmtId="2" xfId="0" applyAlignment="1" applyBorder="1" applyFill="1" applyFont="1" applyNumberFormat="1">
      <alignment shrinkToFit="0" vertical="center" wrapText="1"/>
    </xf>
    <xf borderId="10" fillId="2" fontId="14" numFmtId="1" xfId="0" applyAlignment="1" applyBorder="1" applyFill="1" applyFont="1" applyNumberFormat="1">
      <alignment horizontal="center" shrinkToFit="0" vertical="center" wrapText="1"/>
    </xf>
    <xf borderId="48" fillId="2" fontId="28" numFmtId="2" xfId="0" applyAlignment="1" applyBorder="1" applyFill="1" applyFont="1" applyNumberFormat="1">
      <alignment horizontal="center" vertical="center"/>
    </xf>
    <xf borderId="47" fillId="2" fontId="14" numFmtId="2" xfId="0" applyAlignment="1" applyBorder="1" applyFill="1" applyFont="1" applyNumberFormat="1">
      <alignment horizontal="center" shrinkToFit="0" vertical="center" wrapText="1"/>
    </xf>
    <xf borderId="15" fillId="2" fontId="14" numFmtId="2" xfId="0" applyAlignment="1" applyBorder="1" applyFill="1" applyFont="1" applyNumberFormat="1">
      <alignment horizontal="center" shrinkToFit="0" vertical="center" wrapText="1"/>
    </xf>
    <xf borderId="49" fillId="2" fontId="14" numFmtId="2" xfId="0" applyAlignment="1" applyBorder="1" applyFill="1" applyFont="1" applyNumberFormat="1">
      <alignment shrinkToFit="0" vertical="center" wrapText="1"/>
    </xf>
    <xf borderId="18" fillId="2" fontId="14" numFmtId="2" xfId="0" applyAlignment="1" applyBorder="1" applyFill="1" applyFont="1" applyNumberFormat="1">
      <alignment horizontal="center" shrinkToFit="0" vertical="center" wrapText="1"/>
    </xf>
    <xf borderId="1" fillId="2" fontId="14" numFmtId="1" xfId="0" applyAlignment="1" applyBorder="1" applyFill="1" applyFont="1" applyNumberFormat="1">
      <alignment horizontal="center" shrinkToFit="0" vertical="center" wrapText="1"/>
    </xf>
    <xf borderId="2" fillId="2" fontId="8" numFmtId="2" xfId="0" applyAlignment="1" applyBorder="1" applyFill="1" applyFont="1" applyNumberFormat="1">
      <alignment shrinkToFit="0" vertical="center" wrapText="1"/>
    </xf>
    <xf borderId="15" fillId="2" fontId="14" numFmtId="2" xfId="0" applyAlignment="1" applyBorder="1" applyFill="1" applyFont="1" applyNumberFormat="1">
      <alignment shrinkToFit="0" vertical="center" wrapText="1"/>
    </xf>
    <xf borderId="1" fillId="2" fontId="29" numFmtId="0" xfId="0" applyAlignment="1" applyBorder="1" applyFill="1" applyFont="1">
      <alignment horizontal="left" shrinkToFit="0" vertical="center" wrapText="1"/>
    </xf>
    <xf borderId="10" fillId="2" fontId="6" numFmtId="0" xfId="0" applyAlignment="1" applyBorder="1" applyFill="1" applyFont="1">
      <alignment vertical="bottom"/>
    </xf>
    <xf borderId="47" fillId="23" fontId="14" numFmtId="2" xfId="0" applyAlignment="1" applyBorder="1" applyFill="1" applyFont="1" applyNumberFormat="1">
      <alignment shrinkToFit="0" vertical="center" wrapText="1"/>
    </xf>
    <xf borderId="47" fillId="23" fontId="14" numFmtId="2" xfId="0" applyAlignment="1" applyBorder="1" applyFill="1" applyFont="1" applyNumberFormat="1">
      <alignment horizontal="center" shrinkToFit="0" vertical="center" wrapText="1"/>
    </xf>
    <xf borderId="10" fillId="2" fontId="8" numFmtId="2" xfId="0" applyAlignment="1" applyBorder="1" applyFill="1" applyFont="1" applyNumberFormat="1">
      <alignment shrinkToFit="0" vertical="center" wrapText="1"/>
    </xf>
    <xf borderId="45" fillId="23" fontId="14" numFmtId="2" xfId="0" applyAlignment="1" applyBorder="1" applyFill="1" applyFont="1" applyNumberFormat="1">
      <alignment horizontal="center" shrinkToFit="0" vertical="center" wrapText="1"/>
    </xf>
    <xf borderId="15" fillId="23" fontId="14" numFmtId="2" xfId="0" applyAlignment="1" applyBorder="1" applyFill="1" applyFont="1" applyNumberFormat="1">
      <alignment shrinkToFit="0" vertical="center" wrapText="1"/>
    </xf>
    <xf borderId="15" fillId="23" fontId="14" numFmtId="2" xfId="0" applyAlignment="1" applyBorder="1" applyFill="1" applyFont="1" applyNumberFormat="1">
      <alignment horizontal="center" shrinkToFit="0" vertical="center" wrapText="1"/>
    </xf>
    <xf borderId="49" fillId="23" fontId="14" numFmtId="2" xfId="0" applyAlignment="1" applyBorder="1" applyFill="1" applyFont="1" applyNumberFormat="1">
      <alignment shrinkToFit="0" vertical="center" wrapText="1"/>
    </xf>
    <xf borderId="18" fillId="23" fontId="14" numFmtId="2" xfId="0" applyAlignment="1" applyBorder="1" applyFill="1" applyFont="1" applyNumberFormat="1">
      <alignment horizontal="center" shrinkToFit="0" vertical="center" wrapText="1"/>
    </xf>
    <xf borderId="4" fillId="2" fontId="29" numFmtId="0" xfId="0" applyAlignment="1" applyBorder="1" applyFill="1" applyFont="1">
      <alignment horizontal="left" shrinkToFit="0" vertical="center" wrapText="1"/>
    </xf>
    <xf borderId="4" fillId="2" fontId="30" numFmtId="2" xfId="0" applyAlignment="1" applyBorder="1" applyFill="1" applyFont="1" applyNumberFormat="1">
      <alignment horizontal="center" shrinkToFit="0" vertical="center" wrapText="1"/>
    </xf>
    <xf borderId="4" fillId="23" fontId="2" numFmtId="0" xfId="0" applyAlignment="1" applyBorder="1" applyFill="1" applyFont="1">
      <alignment horizontal="center" readingOrder="0" shrinkToFit="0" vertical="center" wrapText="1"/>
    </xf>
    <xf borderId="8" fillId="2" fontId="10" numFmtId="0" xfId="0" applyAlignment="1" applyBorder="1" applyFill="1" applyFont="1">
      <alignment vertical="bottom"/>
    </xf>
    <xf borderId="8" fillId="14" fontId="16" numFmtId="2" xfId="0" applyAlignment="1" applyBorder="1" applyFill="1" applyFont="1" applyNumberFormat="1">
      <alignment horizontal="center" readingOrder="0" vertical="center"/>
    </xf>
    <xf borderId="8" fillId="2" fontId="10" numFmtId="2" xfId="0" applyAlignment="1" applyBorder="1" applyFill="1" applyFont="1" applyNumberFormat="1">
      <alignment readingOrder="0" shrinkToFit="0" vertical="center" wrapText="1"/>
    </xf>
    <xf borderId="8" fillId="14" fontId="18" numFmtId="2" xfId="0" applyAlignment="1" applyBorder="1" applyFill="1" applyFont="1" applyNumberFormat="1">
      <alignment horizontal="center" readingOrder="0" vertical="center"/>
    </xf>
    <xf borderId="0" fillId="0" fontId="20" numFmtId="0" xfId="0" applyAlignment="1" applyFont="1">
      <alignment readingOrder="0" shrinkToFit="0" vertical="bottom" wrapText="0"/>
    </xf>
    <xf borderId="0" fillId="0" fontId="31" numFmtId="0" xfId="0" applyAlignment="1" applyFont="1">
      <alignment vertical="center"/>
    </xf>
    <xf borderId="8" fillId="2" fontId="32" numFmtId="0" xfId="0" applyAlignment="1" applyBorder="1" applyFill="1" applyFont="1">
      <alignment vertical="bottom"/>
    </xf>
    <xf borderId="8" fillId="0" fontId="14" numFmtId="1" xfId="0" applyAlignment="1" applyBorder="1" applyFont="1" applyNumberFormat="1">
      <alignment horizontal="center" shrinkToFit="0" vertical="center" wrapText="1"/>
    </xf>
    <xf borderId="8" fillId="20" fontId="16" numFmtId="2" xfId="0" applyAlignment="1" applyBorder="1" applyFill="1" applyFont="1" applyNumberFormat="1">
      <alignment horizontal="center" readingOrder="0" shrinkToFit="0" vertical="bottom" wrapText="0"/>
    </xf>
    <xf borderId="8" fillId="25" fontId="16" numFmtId="2" xfId="0" applyAlignment="1" applyBorder="1" applyFill="1" applyFont="1" applyNumberFormat="1">
      <alignment horizontal="center" readingOrder="0" shrinkToFit="0" vertical="bottom" wrapText="0"/>
    </xf>
    <xf borderId="11" fillId="2" fontId="32" numFmtId="0" xfId="0" applyAlignment="1" applyBorder="1" applyFill="1" applyFont="1">
      <alignment vertical="bottom"/>
    </xf>
    <xf borderId="0" fillId="0" fontId="6" numFmtId="0" xfId="0" applyAlignment="1" applyFont="1">
      <alignment shrinkToFit="0" vertical="bottom" wrapText="1"/>
    </xf>
    <xf borderId="8" fillId="5" fontId="10" numFmtId="2" xfId="0" applyAlignment="1" applyBorder="1" applyFill="1" applyFont="1" applyNumberFormat="1">
      <alignment horizontal="center" shrinkToFit="0" vertical="center" wrapText="1"/>
    </xf>
    <xf borderId="8" fillId="6" fontId="10" numFmtId="2" xfId="0" applyAlignment="1" applyBorder="1" applyFill="1" applyFont="1" applyNumberFormat="1">
      <alignment horizontal="center" shrinkToFit="0" vertical="center" wrapText="1"/>
    </xf>
    <xf borderId="8" fillId="7" fontId="10" numFmtId="2" xfId="0" applyAlignment="1" applyBorder="1" applyFill="1" applyFont="1" applyNumberFormat="1">
      <alignment horizontal="center" shrinkToFit="0" vertical="center" wrapText="1"/>
    </xf>
    <xf borderId="8" fillId="8" fontId="10" numFmtId="2" xfId="0" applyAlignment="1" applyBorder="1" applyFill="1" applyFont="1" applyNumberFormat="1">
      <alignment horizontal="center" shrinkToFit="0" vertical="center" wrapText="1"/>
    </xf>
    <xf borderId="8" fillId="9" fontId="10" numFmtId="2" xfId="0" applyAlignment="1" applyBorder="1" applyFill="1" applyFont="1" applyNumberFormat="1">
      <alignment horizontal="center" shrinkToFit="0" vertical="center" wrapText="1"/>
    </xf>
    <xf borderId="8" fillId="10" fontId="10" numFmtId="2" xfId="0" applyAlignment="1" applyBorder="1" applyFill="1" applyFont="1" applyNumberFormat="1">
      <alignment horizontal="center" shrinkToFit="0" vertical="center" wrapText="1"/>
    </xf>
    <xf borderId="11" fillId="23" fontId="32" numFmtId="0" xfId="0" applyAlignment="1" applyBorder="1" applyFill="1" applyFont="1">
      <alignment vertical="bottom"/>
    </xf>
    <xf borderId="8" fillId="26" fontId="10" numFmtId="2" xfId="0" applyAlignment="1" applyBorder="1" applyFill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8" fillId="15" fontId="10" numFmtId="2" xfId="0" applyAlignment="1" applyBorder="1" applyFill="1" applyFont="1" applyNumberFormat="1">
      <alignment horizontal="center" shrinkToFit="0" vertical="center" wrapText="1"/>
    </xf>
    <xf borderId="0" fillId="0" fontId="15" numFmtId="0" xfId="0" applyAlignment="1" applyFont="1">
      <alignment vertical="center"/>
    </xf>
    <xf borderId="33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48" fillId="23" fontId="33" numFmtId="2" xfId="0" applyAlignment="1" applyBorder="1" applyFill="1" applyFont="1" applyNumberFormat="1">
      <alignment horizontal="center" vertical="center"/>
    </xf>
    <xf borderId="0" fillId="0" fontId="17" numFmtId="0" xfId="0" applyAlignment="1" applyFont="1">
      <alignment vertical="center"/>
    </xf>
    <xf borderId="1" fillId="2" fontId="25" numFmtId="2" xfId="0" applyAlignment="1" applyBorder="1" applyFill="1" applyFont="1" applyNumberFormat="1">
      <alignment readingOrder="0" shrinkToFit="0" vertical="center" wrapText="1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0066"/>
      </font>
      <fill>
        <patternFill patternType="solid">
          <fgColor rgb="FFF8FF9D"/>
          <bgColor rgb="FFF8FF9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28575</xdr:rowOff>
    </xdr:from>
    <xdr:ext cx="800100" cy="800100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1.29"/>
    <col customWidth="1" min="3" max="3" width="13.86"/>
    <col customWidth="1" min="4" max="13" width="6.29"/>
    <col customWidth="1" min="14" max="14" width="10.71"/>
    <col customWidth="1" min="15" max="15" width="7.57"/>
    <col customWidth="1" min="16" max="16" width="13.71"/>
    <col customWidth="1" min="17" max="17" width="19.29"/>
    <col customWidth="1" min="18" max="21" width="10.71"/>
  </cols>
  <sheetData>
    <row r="1" ht="72.75" customHeight="1">
      <c r="A1" s="2" t="s">
        <v>1</v>
      </c>
    </row>
    <row r="2" ht="14.25" customHeight="1">
      <c r="A2" s="3"/>
      <c r="B2" s="4" t="s">
        <v>4</v>
      </c>
    </row>
    <row r="3" ht="14.25" customHeight="1">
      <c r="B3" s="5" t="s">
        <v>14</v>
      </c>
      <c r="C3" s="6"/>
      <c r="F3" s="7"/>
      <c r="G3" s="7"/>
      <c r="H3" s="7"/>
      <c r="I3" s="8" t="s">
        <v>9</v>
      </c>
      <c r="K3" s="9" t="s">
        <v>10</v>
      </c>
    </row>
    <row r="4" ht="14.25" customHeight="1">
      <c r="B4" s="10" t="s">
        <v>11</v>
      </c>
      <c r="C4" s="11" t="s">
        <v>19</v>
      </c>
      <c r="D4" s="12"/>
      <c r="E4" s="7"/>
      <c r="F4" s="7"/>
      <c r="G4" s="7"/>
      <c r="H4" s="7"/>
      <c r="I4" s="8"/>
      <c r="K4" s="13"/>
      <c r="M4" s="7"/>
    </row>
    <row r="5" ht="6.0" customHeight="1">
      <c r="B5" s="14"/>
      <c r="C5" s="14"/>
      <c r="D5" s="10"/>
      <c r="E5" s="10"/>
      <c r="F5" s="10"/>
      <c r="G5" s="10"/>
      <c r="H5" s="10"/>
      <c r="I5" s="10"/>
      <c r="J5" s="10"/>
      <c r="K5" s="10"/>
      <c r="L5" s="10"/>
      <c r="M5" s="10"/>
      <c r="U5" s="20"/>
    </row>
    <row r="6" ht="14.25" customHeight="1">
      <c r="B6" s="18" t="s">
        <v>20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1"/>
    </row>
    <row r="7" ht="157.5" customHeight="1">
      <c r="A7" s="42" t="s">
        <v>22</v>
      </c>
      <c r="B7" s="24" t="s">
        <v>23</v>
      </c>
      <c r="C7" s="26"/>
      <c r="D7" s="30" t="s">
        <v>25</v>
      </c>
      <c r="E7" s="32" t="s">
        <v>26</v>
      </c>
      <c r="F7" s="34" t="s">
        <v>27</v>
      </c>
      <c r="G7" s="36" t="s">
        <v>28</v>
      </c>
      <c r="H7" s="38" t="s">
        <v>29</v>
      </c>
      <c r="I7" s="40" t="s">
        <v>30</v>
      </c>
      <c r="J7" s="43" t="s">
        <v>31</v>
      </c>
      <c r="K7" s="46" t="s">
        <v>32</v>
      </c>
      <c r="L7" s="48" t="s">
        <v>33</v>
      </c>
      <c r="M7" s="50" t="s">
        <v>34</v>
      </c>
      <c r="N7" s="52" t="s">
        <v>35</v>
      </c>
      <c r="O7" s="54" t="s">
        <v>37</v>
      </c>
      <c r="P7" s="55" t="s">
        <v>38</v>
      </c>
      <c r="U7" s="13" t="s">
        <v>39</v>
      </c>
    </row>
    <row r="8" ht="14.25" customHeight="1">
      <c r="A8" s="57">
        <v>1.0</v>
      </c>
      <c r="B8" s="69" t="s">
        <v>42</v>
      </c>
      <c r="C8" s="29"/>
      <c r="D8" s="65">
        <v>7.97</v>
      </c>
      <c r="E8" s="77">
        <v>7.45</v>
      </c>
      <c r="F8" s="68">
        <v>7.01</v>
      </c>
      <c r="G8" s="70">
        <v>7.67</v>
      </c>
      <c r="H8" s="72">
        <v>7.57</v>
      </c>
      <c r="I8" s="82">
        <v>7.38</v>
      </c>
      <c r="J8" s="76">
        <v>8.45</v>
      </c>
      <c r="K8" s="78" t="s">
        <v>45</v>
      </c>
      <c r="L8" s="83" t="s">
        <v>47</v>
      </c>
      <c r="M8" s="85" t="s">
        <v>47</v>
      </c>
      <c r="N8" s="86">
        <f t="shared" ref="N8:N45" si="1">TRUNC(AVERAGE(D8:J8),2)</f>
        <v>7.64</v>
      </c>
      <c r="O8" s="96" t="s">
        <v>48</v>
      </c>
      <c r="P8" s="98" t="s">
        <v>49</v>
      </c>
    </row>
    <row r="9" ht="15.0" customHeight="1">
      <c r="A9" s="57">
        <v>2.0</v>
      </c>
      <c r="B9" s="102" t="s">
        <v>55</v>
      </c>
      <c r="C9" s="106"/>
      <c r="D9" s="111">
        <v>9.78</v>
      </c>
      <c r="E9" s="112">
        <v>9.94</v>
      </c>
      <c r="F9" s="68">
        <v>9.84</v>
      </c>
      <c r="G9" s="104">
        <v>9.95</v>
      </c>
      <c r="H9" s="72">
        <v>9.98</v>
      </c>
      <c r="I9" s="114">
        <v>9.78</v>
      </c>
      <c r="J9" s="76">
        <v>10.0</v>
      </c>
      <c r="K9" s="78" t="s">
        <v>47</v>
      </c>
      <c r="L9" s="83" t="s">
        <v>47</v>
      </c>
      <c r="M9" s="85" t="s">
        <v>47</v>
      </c>
      <c r="N9" s="86">
        <f t="shared" si="1"/>
        <v>9.89</v>
      </c>
      <c r="O9" s="96" t="s">
        <v>48</v>
      </c>
      <c r="P9" s="98" t="s">
        <v>49</v>
      </c>
      <c r="Q9" s="113" t="s">
        <v>57</v>
      </c>
      <c r="R9" s="115">
        <f>LARGE(N8:N45,1)</f>
        <v>9.89</v>
      </c>
      <c r="S9" s="116" t="s">
        <v>63</v>
      </c>
    </row>
    <row r="10" ht="15.0" customHeight="1">
      <c r="A10" s="57">
        <v>3.0</v>
      </c>
      <c r="B10" s="102" t="s">
        <v>64</v>
      </c>
      <c r="C10" s="106"/>
      <c r="D10" s="111">
        <v>7.37</v>
      </c>
      <c r="E10" s="112">
        <v>7.1</v>
      </c>
      <c r="F10" s="68">
        <v>7.0</v>
      </c>
      <c r="G10" s="70">
        <v>7.0</v>
      </c>
      <c r="H10" s="72">
        <v>7.0</v>
      </c>
      <c r="I10" s="114">
        <v>7.67</v>
      </c>
      <c r="J10" s="76">
        <v>8.12</v>
      </c>
      <c r="K10" s="78" t="s">
        <v>46</v>
      </c>
      <c r="L10" s="83" t="s">
        <v>45</v>
      </c>
      <c r="M10" s="85" t="s">
        <v>47</v>
      </c>
      <c r="N10" s="86">
        <f t="shared" si="1"/>
        <v>7.32</v>
      </c>
      <c r="O10" s="96" t="s">
        <v>52</v>
      </c>
      <c r="P10" s="98" t="s">
        <v>49</v>
      </c>
      <c r="Q10" s="113" t="s">
        <v>62</v>
      </c>
      <c r="R10" s="118">
        <f>LARGE(N8:N45,2)</f>
        <v>9.82</v>
      </c>
      <c r="S10" s="116" t="s">
        <v>72</v>
      </c>
    </row>
    <row r="11" ht="15.0" customHeight="1">
      <c r="A11" s="57">
        <v>4.0</v>
      </c>
      <c r="B11" s="102" t="s">
        <v>73</v>
      </c>
      <c r="C11" s="106"/>
      <c r="D11" s="111">
        <v>9.95</v>
      </c>
      <c r="E11" s="112">
        <v>9.6</v>
      </c>
      <c r="F11" s="68">
        <v>9.5</v>
      </c>
      <c r="G11" s="104">
        <v>9.59</v>
      </c>
      <c r="H11" s="72">
        <v>9.68</v>
      </c>
      <c r="I11" s="114">
        <v>9.74</v>
      </c>
      <c r="J11" s="76">
        <v>9.76</v>
      </c>
      <c r="K11" s="78" t="s">
        <v>47</v>
      </c>
      <c r="L11" s="83" t="s">
        <v>47</v>
      </c>
      <c r="M11" s="85" t="s">
        <v>47</v>
      </c>
      <c r="N11" s="86">
        <f t="shared" si="1"/>
        <v>9.68</v>
      </c>
      <c r="O11" s="96" t="s">
        <v>48</v>
      </c>
      <c r="P11" s="98" t="s">
        <v>49</v>
      </c>
      <c r="Q11" s="113" t="s">
        <v>69</v>
      </c>
      <c r="R11" s="118">
        <f>LARGE(N8:N45,3)</f>
        <v>9.8</v>
      </c>
      <c r="S11" s="116" t="s">
        <v>79</v>
      </c>
    </row>
    <row r="12" ht="15.0" customHeight="1">
      <c r="A12" s="57">
        <v>5.0</v>
      </c>
      <c r="B12" s="128" t="s">
        <v>81</v>
      </c>
      <c r="C12" s="129"/>
      <c r="D12" s="111">
        <v>9.79</v>
      </c>
      <c r="E12" s="112">
        <v>9.35</v>
      </c>
      <c r="F12" s="68">
        <v>9.5</v>
      </c>
      <c r="G12" s="104">
        <v>9.76</v>
      </c>
      <c r="H12" s="72">
        <v>9.5</v>
      </c>
      <c r="I12" s="114">
        <v>9.76</v>
      </c>
      <c r="J12" s="76">
        <v>9.77</v>
      </c>
      <c r="K12" s="78" t="s">
        <v>45</v>
      </c>
      <c r="L12" s="83" t="s">
        <v>47</v>
      </c>
      <c r="M12" s="85" t="s">
        <v>47</v>
      </c>
      <c r="N12" s="86">
        <f t="shared" si="1"/>
        <v>9.63</v>
      </c>
      <c r="O12" s="96" t="s">
        <v>48</v>
      </c>
      <c r="P12" s="98" t="s">
        <v>49</v>
      </c>
      <c r="Q12" s="116" t="s">
        <v>69</v>
      </c>
      <c r="R12" s="123">
        <f>LARGE(N8:N45,4)</f>
        <v>9.77</v>
      </c>
    </row>
    <row r="13" ht="15.0" customHeight="1">
      <c r="A13" s="57">
        <v>6.0</v>
      </c>
      <c r="B13" s="102" t="s">
        <v>94</v>
      </c>
      <c r="C13" s="106"/>
      <c r="D13" s="111">
        <v>9.77</v>
      </c>
      <c r="E13" s="130">
        <v>8.84</v>
      </c>
      <c r="F13" s="68">
        <v>9.67</v>
      </c>
      <c r="G13" s="104">
        <v>9.72</v>
      </c>
      <c r="H13" s="72">
        <v>9.47</v>
      </c>
      <c r="I13" s="114">
        <v>9.27</v>
      </c>
      <c r="J13" s="76">
        <v>9.01</v>
      </c>
      <c r="K13" s="78" t="s">
        <v>47</v>
      </c>
      <c r="L13" s="83" t="s">
        <v>47</v>
      </c>
      <c r="M13" s="85" t="s">
        <v>47</v>
      </c>
      <c r="N13" s="86">
        <f t="shared" si="1"/>
        <v>9.39</v>
      </c>
      <c r="O13" s="96" t="s">
        <v>48</v>
      </c>
      <c r="P13" s="98" t="s">
        <v>49</v>
      </c>
    </row>
    <row r="14" ht="15.0" customHeight="1">
      <c r="A14" s="57">
        <v>7.0</v>
      </c>
      <c r="B14" s="102" t="s">
        <v>102</v>
      </c>
      <c r="C14" s="106"/>
      <c r="D14" s="111">
        <v>8.99</v>
      </c>
      <c r="E14" s="112">
        <v>9.07</v>
      </c>
      <c r="F14" s="68">
        <v>8.13</v>
      </c>
      <c r="G14" s="104">
        <v>8.56</v>
      </c>
      <c r="H14" s="72">
        <v>8.9</v>
      </c>
      <c r="I14" s="114">
        <v>9.11</v>
      </c>
      <c r="J14" s="76">
        <v>8.54</v>
      </c>
      <c r="K14" s="78" t="s">
        <v>45</v>
      </c>
      <c r="L14" s="83" t="s">
        <v>47</v>
      </c>
      <c r="M14" s="95" t="s">
        <v>47</v>
      </c>
      <c r="N14" s="86">
        <f t="shared" si="1"/>
        <v>8.75</v>
      </c>
      <c r="O14" s="96" t="s">
        <v>48</v>
      </c>
      <c r="P14" s="98" t="s">
        <v>49</v>
      </c>
    </row>
    <row r="15" ht="15.0" customHeight="1">
      <c r="A15" s="57">
        <v>8.0</v>
      </c>
      <c r="B15" s="102" t="s">
        <v>107</v>
      </c>
      <c r="C15" s="106"/>
      <c r="D15" s="111">
        <v>9.52</v>
      </c>
      <c r="E15" s="112">
        <v>9.05</v>
      </c>
      <c r="F15" s="68">
        <v>9.28</v>
      </c>
      <c r="G15" s="104">
        <v>9.85</v>
      </c>
      <c r="H15" s="72">
        <v>9.39</v>
      </c>
      <c r="I15" s="114">
        <v>9.19</v>
      </c>
      <c r="J15" s="76">
        <v>9.28</v>
      </c>
      <c r="K15" s="78" t="s">
        <v>47</v>
      </c>
      <c r="L15" s="83" t="s">
        <v>47</v>
      </c>
      <c r="M15" s="85" t="s">
        <v>47</v>
      </c>
      <c r="N15" s="86">
        <f t="shared" si="1"/>
        <v>9.36</v>
      </c>
      <c r="O15" s="96" t="s">
        <v>48</v>
      </c>
      <c r="P15" s="98" t="s">
        <v>49</v>
      </c>
    </row>
    <row r="16" ht="15.0" customHeight="1">
      <c r="A16" s="57">
        <v>9.0</v>
      </c>
      <c r="B16" s="102" t="s">
        <v>112</v>
      </c>
      <c r="C16" s="106"/>
      <c r="D16" s="111">
        <v>7.89</v>
      </c>
      <c r="E16" s="112">
        <v>7.0</v>
      </c>
      <c r="F16" s="68">
        <v>7.21</v>
      </c>
      <c r="G16" s="131">
        <v>7.13</v>
      </c>
      <c r="H16" s="72">
        <v>7.0</v>
      </c>
      <c r="I16" s="114">
        <v>7.58</v>
      </c>
      <c r="J16" s="76">
        <v>8.8</v>
      </c>
      <c r="K16" s="78" t="s">
        <v>45</v>
      </c>
      <c r="L16" s="83" t="s">
        <v>47</v>
      </c>
      <c r="M16" s="85" t="s">
        <v>47</v>
      </c>
      <c r="N16" s="86">
        <f t="shared" si="1"/>
        <v>7.51</v>
      </c>
      <c r="O16" s="96" t="s">
        <v>48</v>
      </c>
      <c r="P16" s="98" t="s">
        <v>49</v>
      </c>
      <c r="U16" s="13" t="s">
        <v>120</v>
      </c>
    </row>
    <row r="17" ht="15.0" customHeight="1">
      <c r="A17" s="57">
        <v>10.0</v>
      </c>
      <c r="B17" s="102" t="s">
        <v>121</v>
      </c>
      <c r="C17" s="106"/>
      <c r="D17" s="111">
        <v>9.77</v>
      </c>
      <c r="E17" s="112">
        <v>9.3</v>
      </c>
      <c r="F17" s="68">
        <v>9.61</v>
      </c>
      <c r="G17" s="104">
        <v>9.88</v>
      </c>
      <c r="H17" s="72">
        <v>9.41</v>
      </c>
      <c r="I17" s="114">
        <v>9.64</v>
      </c>
      <c r="J17" s="76">
        <v>9.46</v>
      </c>
      <c r="K17" s="78" t="s">
        <v>47</v>
      </c>
      <c r="L17" s="83" t="s">
        <v>47</v>
      </c>
      <c r="M17" s="85" t="s">
        <v>47</v>
      </c>
      <c r="N17" s="86">
        <f t="shared" si="1"/>
        <v>9.58</v>
      </c>
      <c r="O17" s="96" t="s">
        <v>48</v>
      </c>
      <c r="P17" s="98" t="s">
        <v>49</v>
      </c>
    </row>
    <row r="18" ht="15.0" customHeight="1">
      <c r="A18" s="57">
        <v>11.0</v>
      </c>
      <c r="B18" s="128" t="s">
        <v>128</v>
      </c>
      <c r="C18" s="129"/>
      <c r="D18" s="111">
        <v>9.76</v>
      </c>
      <c r="E18" s="112">
        <v>9.58</v>
      </c>
      <c r="F18" s="68">
        <v>9.47</v>
      </c>
      <c r="G18" s="104">
        <v>9.3</v>
      </c>
      <c r="H18" s="72">
        <v>9.3</v>
      </c>
      <c r="I18" s="114">
        <v>9.08</v>
      </c>
      <c r="J18" s="76">
        <v>9.86</v>
      </c>
      <c r="K18" s="78" t="s">
        <v>45</v>
      </c>
      <c r="L18" s="83" t="s">
        <v>47</v>
      </c>
      <c r="M18" s="85" t="s">
        <v>47</v>
      </c>
      <c r="N18" s="86">
        <f t="shared" si="1"/>
        <v>9.47</v>
      </c>
      <c r="O18" s="96" t="s">
        <v>48</v>
      </c>
      <c r="P18" s="98" t="s">
        <v>49</v>
      </c>
    </row>
    <row r="19" ht="15.0" customHeight="1">
      <c r="A19" s="57">
        <v>12.0</v>
      </c>
      <c r="B19" s="102" t="s">
        <v>133</v>
      </c>
      <c r="C19" s="106"/>
      <c r="D19" s="111">
        <v>9.26</v>
      </c>
      <c r="E19" s="112">
        <v>8.53</v>
      </c>
      <c r="F19" s="68">
        <v>8.89</v>
      </c>
      <c r="G19" s="104">
        <v>8.47</v>
      </c>
      <c r="H19" s="72">
        <v>8.36</v>
      </c>
      <c r="I19" s="114">
        <v>8.73</v>
      </c>
      <c r="J19" s="76">
        <v>9.47</v>
      </c>
      <c r="K19" s="78" t="s">
        <v>47</v>
      </c>
      <c r="L19" s="83" t="s">
        <v>47</v>
      </c>
      <c r="M19" s="85" t="s">
        <v>47</v>
      </c>
      <c r="N19" s="86">
        <f t="shared" si="1"/>
        <v>8.81</v>
      </c>
      <c r="O19" s="96" t="s">
        <v>48</v>
      </c>
      <c r="P19" s="98" t="s">
        <v>49</v>
      </c>
    </row>
    <row r="20" ht="15.0" customHeight="1">
      <c r="A20" s="57">
        <v>13.0</v>
      </c>
      <c r="B20" s="128" t="s">
        <v>139</v>
      </c>
      <c r="C20" s="129"/>
      <c r="D20" s="111">
        <v>9.8</v>
      </c>
      <c r="E20" s="112">
        <v>9.28</v>
      </c>
      <c r="F20" s="68">
        <v>9.37</v>
      </c>
      <c r="G20" s="104">
        <v>9.7</v>
      </c>
      <c r="H20" s="72">
        <v>9.44</v>
      </c>
      <c r="I20" s="114">
        <v>9.4</v>
      </c>
      <c r="J20" s="76">
        <v>9.19</v>
      </c>
      <c r="K20" s="78" t="s">
        <v>47</v>
      </c>
      <c r="L20" s="83" t="s">
        <v>47</v>
      </c>
      <c r="M20" s="85" t="s">
        <v>47</v>
      </c>
      <c r="N20" s="86">
        <f t="shared" si="1"/>
        <v>9.45</v>
      </c>
      <c r="O20" s="96" t="s">
        <v>48</v>
      </c>
      <c r="P20" s="98" t="s">
        <v>49</v>
      </c>
    </row>
    <row r="21" ht="15.0" customHeight="1">
      <c r="A21" s="57">
        <v>14.0</v>
      </c>
      <c r="B21" s="128" t="s">
        <v>145</v>
      </c>
      <c r="C21" s="129"/>
      <c r="D21" s="111">
        <v>9.94</v>
      </c>
      <c r="E21" s="112">
        <v>9.55</v>
      </c>
      <c r="F21" s="68">
        <v>9.85</v>
      </c>
      <c r="G21" s="104">
        <v>9.77</v>
      </c>
      <c r="H21" s="72">
        <v>9.96</v>
      </c>
      <c r="I21" s="114">
        <v>9.67</v>
      </c>
      <c r="J21" s="76">
        <v>9.9</v>
      </c>
      <c r="K21" s="78" t="s">
        <v>47</v>
      </c>
      <c r="L21" s="83" t="s">
        <v>47</v>
      </c>
      <c r="M21" s="85" t="s">
        <v>47</v>
      </c>
      <c r="N21" s="86">
        <f t="shared" si="1"/>
        <v>9.8</v>
      </c>
      <c r="O21" s="96" t="s">
        <v>48</v>
      </c>
      <c r="P21" s="98" t="s">
        <v>49</v>
      </c>
    </row>
    <row r="22" ht="15.0" customHeight="1">
      <c r="A22" s="57">
        <v>15.0</v>
      </c>
      <c r="B22" s="128" t="s">
        <v>150</v>
      </c>
      <c r="C22" s="129"/>
      <c r="D22" s="111">
        <v>8.02</v>
      </c>
      <c r="E22" s="112">
        <v>7.65</v>
      </c>
      <c r="F22" s="68">
        <v>7.51</v>
      </c>
      <c r="G22" s="104">
        <v>7.75</v>
      </c>
      <c r="H22" s="72">
        <v>7.44</v>
      </c>
      <c r="I22" s="82">
        <v>8.07</v>
      </c>
      <c r="J22" s="76">
        <v>8.11</v>
      </c>
      <c r="K22" s="78" t="s">
        <v>50</v>
      </c>
      <c r="L22" s="83" t="s">
        <v>47</v>
      </c>
      <c r="M22" s="85" t="s">
        <v>47</v>
      </c>
      <c r="N22" s="86">
        <f t="shared" si="1"/>
        <v>7.79</v>
      </c>
      <c r="O22" s="96" t="s">
        <v>48</v>
      </c>
      <c r="P22" s="98" t="s">
        <v>49</v>
      </c>
    </row>
    <row r="23" ht="15.0" customHeight="1">
      <c r="A23" s="135">
        <v>16.0</v>
      </c>
      <c r="B23" s="102" t="s">
        <v>157</v>
      </c>
      <c r="C23" s="106"/>
      <c r="D23" s="111">
        <v>9.01</v>
      </c>
      <c r="E23" s="112">
        <v>8.0</v>
      </c>
      <c r="F23" s="68">
        <v>8.99</v>
      </c>
      <c r="G23" s="104">
        <v>8.22</v>
      </c>
      <c r="H23" s="72">
        <v>8.04</v>
      </c>
      <c r="I23" s="114">
        <v>8.99</v>
      </c>
      <c r="J23" s="76">
        <v>8.8</v>
      </c>
      <c r="K23" s="78" t="s">
        <v>47</v>
      </c>
      <c r="L23" s="83" t="s">
        <v>47</v>
      </c>
      <c r="M23" s="95" t="s">
        <v>47</v>
      </c>
      <c r="N23" s="86">
        <f t="shared" si="1"/>
        <v>8.57</v>
      </c>
      <c r="O23" s="96" t="s">
        <v>48</v>
      </c>
      <c r="P23" s="98" t="s">
        <v>49</v>
      </c>
    </row>
    <row r="24" ht="15.0" customHeight="1">
      <c r="A24" s="57">
        <v>17.0</v>
      </c>
      <c r="B24" s="102" t="s">
        <v>165</v>
      </c>
      <c r="C24" s="106"/>
      <c r="D24" s="111">
        <v>9.31</v>
      </c>
      <c r="E24" s="112">
        <v>8.66</v>
      </c>
      <c r="F24" s="68">
        <v>9.33</v>
      </c>
      <c r="G24" s="104">
        <v>9.22</v>
      </c>
      <c r="H24" s="72">
        <v>7.86</v>
      </c>
      <c r="I24" s="114">
        <v>8.75</v>
      </c>
      <c r="J24" s="76">
        <v>9.62</v>
      </c>
      <c r="K24" s="78" t="s">
        <v>47</v>
      </c>
      <c r="L24" s="83" t="s">
        <v>47</v>
      </c>
      <c r="M24" s="85" t="s">
        <v>47</v>
      </c>
      <c r="N24" s="86">
        <f t="shared" si="1"/>
        <v>8.96</v>
      </c>
      <c r="O24" s="96" t="s">
        <v>48</v>
      </c>
      <c r="P24" s="98" t="s">
        <v>49</v>
      </c>
    </row>
    <row r="25" ht="15.0" customHeight="1">
      <c r="A25" s="57">
        <v>18.0</v>
      </c>
      <c r="B25" s="102" t="s">
        <v>170</v>
      </c>
      <c r="C25" s="106"/>
      <c r="D25" s="111">
        <v>9.81</v>
      </c>
      <c r="E25" s="112">
        <v>8.99</v>
      </c>
      <c r="F25" s="68">
        <v>9.49</v>
      </c>
      <c r="G25" s="104">
        <v>9.65</v>
      </c>
      <c r="H25" s="72">
        <v>9.6</v>
      </c>
      <c r="I25" s="114">
        <v>9.22</v>
      </c>
      <c r="J25" s="76">
        <v>9.64</v>
      </c>
      <c r="K25" s="78" t="s">
        <v>47</v>
      </c>
      <c r="L25" s="83" t="s">
        <v>47</v>
      </c>
      <c r="M25" s="95" t="s">
        <v>47</v>
      </c>
      <c r="N25" s="86">
        <f t="shared" si="1"/>
        <v>9.48</v>
      </c>
      <c r="O25" s="96" t="s">
        <v>48</v>
      </c>
      <c r="P25" s="98" t="s">
        <v>49</v>
      </c>
    </row>
    <row r="26" ht="15.0" customHeight="1">
      <c r="A26" s="57">
        <v>19.0</v>
      </c>
      <c r="B26" s="102" t="s">
        <v>175</v>
      </c>
      <c r="C26" s="106"/>
      <c r="D26" s="111">
        <v>9.26</v>
      </c>
      <c r="E26" s="112">
        <v>8.99</v>
      </c>
      <c r="F26" s="68">
        <v>8.86</v>
      </c>
      <c r="G26" s="104">
        <v>9.11</v>
      </c>
      <c r="H26" s="72">
        <v>8.6</v>
      </c>
      <c r="I26" s="114">
        <v>9.09</v>
      </c>
      <c r="J26" s="76">
        <v>9.76</v>
      </c>
      <c r="K26" s="78" t="s">
        <v>47</v>
      </c>
      <c r="L26" s="83" t="s">
        <v>47</v>
      </c>
      <c r="M26" s="85" t="s">
        <v>47</v>
      </c>
      <c r="N26" s="86">
        <f t="shared" si="1"/>
        <v>9.09</v>
      </c>
      <c r="O26" s="96" t="s">
        <v>48</v>
      </c>
      <c r="P26" s="98" t="s">
        <v>49</v>
      </c>
    </row>
    <row r="27" ht="15.0" customHeight="1">
      <c r="A27" s="57">
        <v>20.0</v>
      </c>
      <c r="B27" s="102" t="s">
        <v>180</v>
      </c>
      <c r="C27" s="106"/>
      <c r="D27" s="111">
        <v>8.73</v>
      </c>
      <c r="E27" s="130">
        <v>7.41</v>
      </c>
      <c r="F27" s="68">
        <v>8.63</v>
      </c>
      <c r="G27" s="104">
        <v>8.28</v>
      </c>
      <c r="H27" s="72">
        <v>8.38</v>
      </c>
      <c r="I27" s="114">
        <v>9.02</v>
      </c>
      <c r="J27" s="76">
        <v>8.87</v>
      </c>
      <c r="K27" s="78" t="s">
        <v>45</v>
      </c>
      <c r="L27" s="83" t="s">
        <v>47</v>
      </c>
      <c r="M27" s="85" t="s">
        <v>47</v>
      </c>
      <c r="N27" s="86">
        <f t="shared" si="1"/>
        <v>8.47</v>
      </c>
      <c r="O27" s="96" t="s">
        <v>48</v>
      </c>
      <c r="P27" s="98" t="s">
        <v>49</v>
      </c>
    </row>
    <row r="28" ht="15.0" customHeight="1">
      <c r="A28" s="57">
        <v>21.0</v>
      </c>
      <c r="B28" s="102" t="s">
        <v>185</v>
      </c>
      <c r="C28" s="106"/>
      <c r="D28" s="111">
        <v>8.51</v>
      </c>
      <c r="E28" s="112">
        <v>7.75</v>
      </c>
      <c r="F28" s="68">
        <v>8.02</v>
      </c>
      <c r="G28" s="104">
        <v>7.98</v>
      </c>
      <c r="H28" s="72">
        <v>7.67</v>
      </c>
      <c r="I28" s="114">
        <v>8.45</v>
      </c>
      <c r="J28" s="76">
        <v>9.42</v>
      </c>
      <c r="K28" s="78" t="s">
        <v>50</v>
      </c>
      <c r="L28" s="83" t="s">
        <v>47</v>
      </c>
      <c r="M28" s="95" t="s">
        <v>47</v>
      </c>
      <c r="N28" s="86">
        <f t="shared" si="1"/>
        <v>8.25</v>
      </c>
      <c r="O28" s="96" t="s">
        <v>52</v>
      </c>
      <c r="P28" s="98" t="s">
        <v>49</v>
      </c>
    </row>
    <row r="29" ht="18.0" customHeight="1">
      <c r="A29" s="57">
        <v>22.0</v>
      </c>
      <c r="B29" s="102" t="s">
        <v>192</v>
      </c>
      <c r="C29" s="106"/>
      <c r="D29" s="111">
        <v>8.52</v>
      </c>
      <c r="E29" s="112">
        <v>7.31</v>
      </c>
      <c r="F29" s="68">
        <v>7.81</v>
      </c>
      <c r="G29" s="104">
        <v>7.81</v>
      </c>
      <c r="H29" s="72">
        <v>8.13</v>
      </c>
      <c r="I29" s="114">
        <v>8.51</v>
      </c>
      <c r="J29" s="76">
        <v>8.34</v>
      </c>
      <c r="K29" s="78" t="s">
        <v>50</v>
      </c>
      <c r="L29" s="83" t="s">
        <v>47</v>
      </c>
      <c r="M29" s="85" t="s">
        <v>47</v>
      </c>
      <c r="N29" s="86">
        <f t="shared" si="1"/>
        <v>8.06</v>
      </c>
      <c r="O29" s="96" t="s">
        <v>48</v>
      </c>
      <c r="P29" s="98" t="s">
        <v>49</v>
      </c>
    </row>
    <row r="30" ht="15.0" customHeight="1">
      <c r="A30" s="57">
        <v>23.0</v>
      </c>
      <c r="B30" s="102" t="s">
        <v>197</v>
      </c>
      <c r="C30" s="106"/>
      <c r="D30" s="111">
        <v>9.87</v>
      </c>
      <c r="E30" s="112">
        <v>9.49</v>
      </c>
      <c r="F30" s="68">
        <v>9.81</v>
      </c>
      <c r="G30" s="104">
        <v>9.92</v>
      </c>
      <c r="H30" s="72">
        <v>9.64</v>
      </c>
      <c r="I30" s="114">
        <v>9.78</v>
      </c>
      <c r="J30" s="76">
        <v>9.93</v>
      </c>
      <c r="K30" s="78" t="s">
        <v>47</v>
      </c>
      <c r="L30" s="83" t="s">
        <v>47</v>
      </c>
      <c r="M30" s="85" t="s">
        <v>47</v>
      </c>
      <c r="N30" s="140">
        <f t="shared" si="1"/>
        <v>9.77</v>
      </c>
      <c r="O30" s="96" t="s">
        <v>48</v>
      </c>
      <c r="P30" s="98" t="s">
        <v>49</v>
      </c>
    </row>
    <row r="31" ht="18.0" customHeight="1">
      <c r="A31" s="57">
        <v>24.0</v>
      </c>
      <c r="B31" s="102" t="s">
        <v>203</v>
      </c>
      <c r="C31" s="106"/>
      <c r="D31" s="111">
        <v>9.18</v>
      </c>
      <c r="E31" s="112">
        <v>9.13</v>
      </c>
      <c r="F31" s="68">
        <v>9.35</v>
      </c>
      <c r="G31" s="104">
        <v>9.09</v>
      </c>
      <c r="H31" s="72">
        <v>8.36</v>
      </c>
      <c r="I31" s="114">
        <v>9.05</v>
      </c>
      <c r="J31" s="76">
        <v>9.73</v>
      </c>
      <c r="K31" s="78" t="s">
        <v>47</v>
      </c>
      <c r="L31" s="83" t="s">
        <v>47</v>
      </c>
      <c r="M31" s="95" t="s">
        <v>47</v>
      </c>
      <c r="N31" s="86">
        <f t="shared" si="1"/>
        <v>9.12</v>
      </c>
      <c r="O31" s="96" t="s">
        <v>48</v>
      </c>
      <c r="P31" s="98" t="s">
        <v>49</v>
      </c>
    </row>
    <row r="32" ht="15.0" customHeight="1">
      <c r="A32" s="57">
        <v>25.0</v>
      </c>
      <c r="B32" s="102" t="s">
        <v>211</v>
      </c>
      <c r="C32" s="106"/>
      <c r="D32" s="111">
        <v>8.96</v>
      </c>
      <c r="E32" s="130">
        <v>8.46</v>
      </c>
      <c r="F32" s="68">
        <v>9.24</v>
      </c>
      <c r="G32" s="104">
        <v>9.25</v>
      </c>
      <c r="H32" s="72">
        <v>8.66</v>
      </c>
      <c r="I32" s="114">
        <v>8.99</v>
      </c>
      <c r="J32" s="76">
        <v>8.93</v>
      </c>
      <c r="K32" s="78" t="s">
        <v>47</v>
      </c>
      <c r="L32" s="83" t="s">
        <v>47</v>
      </c>
      <c r="M32" s="85" t="s">
        <v>47</v>
      </c>
      <c r="N32" s="86">
        <f t="shared" si="1"/>
        <v>8.92</v>
      </c>
      <c r="O32" s="96" t="s">
        <v>48</v>
      </c>
      <c r="P32" s="98" t="s">
        <v>49</v>
      </c>
    </row>
    <row r="33" ht="15.0" customHeight="1">
      <c r="A33" s="57">
        <v>26.0</v>
      </c>
      <c r="B33" s="102" t="s">
        <v>215</v>
      </c>
      <c r="C33" s="106"/>
      <c r="D33" s="111">
        <v>9.21</v>
      </c>
      <c r="E33" s="112">
        <v>9.09</v>
      </c>
      <c r="F33" s="68">
        <v>9.19</v>
      </c>
      <c r="G33" s="104">
        <v>8.97</v>
      </c>
      <c r="H33" s="72">
        <v>9.6</v>
      </c>
      <c r="I33" s="114">
        <v>8.83</v>
      </c>
      <c r="J33" s="76">
        <v>9.02</v>
      </c>
      <c r="K33" s="78" t="s">
        <v>45</v>
      </c>
      <c r="L33" s="83" t="s">
        <v>47</v>
      </c>
      <c r="M33" s="85" t="s">
        <v>47</v>
      </c>
      <c r="N33" s="86">
        <f t="shared" si="1"/>
        <v>9.13</v>
      </c>
      <c r="O33" s="96" t="s">
        <v>48</v>
      </c>
      <c r="P33" s="98" t="s">
        <v>49</v>
      </c>
    </row>
    <row r="34" ht="15.0" customHeight="1">
      <c r="A34" s="57">
        <v>27.0</v>
      </c>
      <c r="B34" s="102" t="s">
        <v>220</v>
      </c>
      <c r="C34" s="106"/>
      <c r="D34" s="111">
        <v>9.67</v>
      </c>
      <c r="E34" s="130">
        <v>9.54</v>
      </c>
      <c r="F34" s="68">
        <v>9.58</v>
      </c>
      <c r="G34" s="104">
        <v>9.35</v>
      </c>
      <c r="H34" s="72">
        <v>8.88</v>
      </c>
      <c r="I34" s="114">
        <v>9.34</v>
      </c>
      <c r="J34" s="76">
        <v>9.39</v>
      </c>
      <c r="K34" s="78" t="s">
        <v>47</v>
      </c>
      <c r="L34" s="83" t="s">
        <v>47</v>
      </c>
      <c r="M34" s="85" t="s">
        <v>47</v>
      </c>
      <c r="N34" s="86">
        <f t="shared" si="1"/>
        <v>9.39</v>
      </c>
      <c r="O34" s="96" t="s">
        <v>48</v>
      </c>
      <c r="P34" s="98" t="s">
        <v>49</v>
      </c>
    </row>
    <row r="35" ht="15.0" customHeight="1">
      <c r="A35" s="135">
        <v>28.0</v>
      </c>
      <c r="B35" s="151" t="s">
        <v>225</v>
      </c>
      <c r="C35" s="153"/>
      <c r="D35" s="111">
        <v>8.92</v>
      </c>
      <c r="E35" s="112">
        <v>7.8</v>
      </c>
      <c r="F35" s="68">
        <v>8.79</v>
      </c>
      <c r="G35" s="104">
        <v>8.5</v>
      </c>
      <c r="H35" s="72">
        <v>7.88</v>
      </c>
      <c r="I35" s="114">
        <v>8.29</v>
      </c>
      <c r="J35" s="76">
        <v>8.61</v>
      </c>
      <c r="K35" s="78" t="s">
        <v>47</v>
      </c>
      <c r="L35" s="83" t="s">
        <v>47</v>
      </c>
      <c r="M35" s="85" t="s">
        <v>47</v>
      </c>
      <c r="N35" s="86">
        <f t="shared" si="1"/>
        <v>8.39</v>
      </c>
      <c r="O35" s="96" t="s">
        <v>48</v>
      </c>
      <c r="P35" s="98" t="s">
        <v>49</v>
      </c>
    </row>
    <row r="36" ht="15.0" customHeight="1">
      <c r="A36" s="57">
        <v>29.0</v>
      </c>
      <c r="B36" s="128" t="s">
        <v>230</v>
      </c>
      <c r="C36" s="129"/>
      <c r="D36" s="111">
        <v>8.41</v>
      </c>
      <c r="E36" s="112">
        <v>8.06</v>
      </c>
      <c r="F36" s="68">
        <v>8.46</v>
      </c>
      <c r="G36" s="70">
        <v>8.11</v>
      </c>
      <c r="H36" s="72">
        <v>7.96</v>
      </c>
      <c r="I36" s="114">
        <v>7.86</v>
      </c>
      <c r="J36" s="76">
        <v>8.7</v>
      </c>
      <c r="K36" s="78" t="s">
        <v>45</v>
      </c>
      <c r="L36" s="83" t="s">
        <v>47</v>
      </c>
      <c r="M36" s="85" t="s">
        <v>47</v>
      </c>
      <c r="N36" s="86">
        <f t="shared" si="1"/>
        <v>8.22</v>
      </c>
      <c r="O36" s="96" t="s">
        <v>48</v>
      </c>
      <c r="P36" s="98" t="s">
        <v>49</v>
      </c>
    </row>
    <row r="37" ht="15.0" customHeight="1">
      <c r="A37" s="57">
        <v>30.0</v>
      </c>
      <c r="B37" s="128" t="s">
        <v>232</v>
      </c>
      <c r="C37" s="129"/>
      <c r="D37" s="111">
        <v>7.53</v>
      </c>
      <c r="E37" s="130">
        <v>7.2</v>
      </c>
      <c r="F37" s="68">
        <v>7.0</v>
      </c>
      <c r="G37" s="104">
        <v>7.1</v>
      </c>
      <c r="H37" s="72">
        <v>7.14</v>
      </c>
      <c r="I37" s="114">
        <v>7.48</v>
      </c>
      <c r="J37" s="76">
        <v>8.02</v>
      </c>
      <c r="K37" s="78" t="s">
        <v>50</v>
      </c>
      <c r="L37" s="83" t="s">
        <v>47</v>
      </c>
      <c r="M37" s="95" t="s">
        <v>47</v>
      </c>
      <c r="N37" s="86">
        <f t="shared" si="1"/>
        <v>7.35</v>
      </c>
      <c r="O37" s="96" t="s">
        <v>48</v>
      </c>
      <c r="P37" s="98" t="s">
        <v>49</v>
      </c>
    </row>
    <row r="38" ht="15.0" customHeight="1">
      <c r="A38" s="57">
        <v>31.0</v>
      </c>
      <c r="B38" s="128" t="s">
        <v>237</v>
      </c>
      <c r="C38" s="129"/>
      <c r="D38" s="111">
        <v>6.96</v>
      </c>
      <c r="E38" s="112">
        <v>7.26</v>
      </c>
      <c r="F38" s="68">
        <v>5.98</v>
      </c>
      <c r="G38" s="163">
        <v>6.52</v>
      </c>
      <c r="H38" s="72">
        <v>6.48</v>
      </c>
      <c r="I38" s="114">
        <v>7.56</v>
      </c>
      <c r="J38" s="76">
        <v>8.26</v>
      </c>
      <c r="K38" s="78" t="s">
        <v>50</v>
      </c>
      <c r="L38" s="83" t="s">
        <v>45</v>
      </c>
      <c r="M38" s="85" t="s">
        <v>47</v>
      </c>
      <c r="N38" s="86">
        <f t="shared" si="1"/>
        <v>7</v>
      </c>
      <c r="O38" s="96" t="s">
        <v>83</v>
      </c>
      <c r="P38" s="165" t="s">
        <v>125</v>
      </c>
    </row>
    <row r="39" ht="15.0" customHeight="1">
      <c r="A39" s="57">
        <v>32.0</v>
      </c>
      <c r="B39" s="166" t="s">
        <v>245</v>
      </c>
      <c r="C39" s="129"/>
      <c r="D39" s="111">
        <v>9.94</v>
      </c>
      <c r="E39" s="112">
        <v>9.86</v>
      </c>
      <c r="F39" s="68">
        <v>9.75</v>
      </c>
      <c r="G39" s="104">
        <v>9.97</v>
      </c>
      <c r="H39" s="72">
        <v>9.88</v>
      </c>
      <c r="I39" s="114">
        <v>9.49</v>
      </c>
      <c r="J39" s="76">
        <v>9.88</v>
      </c>
      <c r="K39" s="78" t="s">
        <v>47</v>
      </c>
      <c r="L39" s="83" t="s">
        <v>47</v>
      </c>
      <c r="M39" s="85" t="s">
        <v>47</v>
      </c>
      <c r="N39" s="167">
        <f t="shared" si="1"/>
        <v>9.82</v>
      </c>
      <c r="O39" s="96" t="s">
        <v>48</v>
      </c>
      <c r="P39" s="98" t="s">
        <v>49</v>
      </c>
    </row>
    <row r="40" ht="15.0" customHeight="1">
      <c r="A40" s="57">
        <v>33.0</v>
      </c>
      <c r="B40" s="102" t="s">
        <v>247</v>
      </c>
      <c r="C40" s="106"/>
      <c r="D40" s="111">
        <v>7.83</v>
      </c>
      <c r="E40" s="130">
        <v>7.7</v>
      </c>
      <c r="F40" s="68">
        <v>7.33</v>
      </c>
      <c r="G40" s="131">
        <v>7.22</v>
      </c>
      <c r="H40" s="72">
        <v>7.38</v>
      </c>
      <c r="I40" s="114">
        <v>7.59</v>
      </c>
      <c r="J40" s="76">
        <v>7.99</v>
      </c>
      <c r="K40" s="78" t="s">
        <v>45</v>
      </c>
      <c r="L40" s="83" t="s">
        <v>47</v>
      </c>
      <c r="M40" s="85" t="s">
        <v>47</v>
      </c>
      <c r="N40" s="86">
        <f t="shared" si="1"/>
        <v>7.57</v>
      </c>
      <c r="O40" s="96" t="s">
        <v>48</v>
      </c>
      <c r="P40" s="98" t="s">
        <v>49</v>
      </c>
    </row>
    <row r="41" ht="14.25" customHeight="1">
      <c r="A41" s="57">
        <v>34.0</v>
      </c>
      <c r="B41" s="102" t="s">
        <v>250</v>
      </c>
      <c r="C41" s="106"/>
      <c r="D41" s="111">
        <v>9.54</v>
      </c>
      <c r="E41" s="130">
        <v>9.09</v>
      </c>
      <c r="F41" s="68">
        <v>9.12</v>
      </c>
      <c r="G41" s="104">
        <v>9.04</v>
      </c>
      <c r="H41" s="72">
        <v>9.0</v>
      </c>
      <c r="I41" s="114">
        <v>9.35</v>
      </c>
      <c r="J41" s="76">
        <v>9.16</v>
      </c>
      <c r="K41" s="78" t="s">
        <v>47</v>
      </c>
      <c r="L41" s="83" t="s">
        <v>47</v>
      </c>
      <c r="M41" s="85" t="s">
        <v>47</v>
      </c>
      <c r="N41" s="86">
        <f t="shared" si="1"/>
        <v>9.18</v>
      </c>
      <c r="O41" s="96" t="s">
        <v>48</v>
      </c>
      <c r="P41" s="98" t="s">
        <v>49</v>
      </c>
    </row>
    <row r="42" ht="15.0" customHeight="1">
      <c r="A42" s="57">
        <v>35.0</v>
      </c>
      <c r="B42" s="128" t="s">
        <v>252</v>
      </c>
      <c r="C42" s="129"/>
      <c r="D42" s="111">
        <v>9.5</v>
      </c>
      <c r="E42" s="112">
        <v>9.31</v>
      </c>
      <c r="F42" s="68">
        <v>9.26</v>
      </c>
      <c r="G42" s="104">
        <v>9.35</v>
      </c>
      <c r="H42" s="72">
        <v>9.09</v>
      </c>
      <c r="I42" s="114">
        <v>9.14</v>
      </c>
      <c r="J42" s="76">
        <v>9.64</v>
      </c>
      <c r="K42" s="78" t="s">
        <v>47</v>
      </c>
      <c r="L42" s="83" t="s">
        <v>47</v>
      </c>
      <c r="M42" s="85" t="s">
        <v>47</v>
      </c>
      <c r="N42" s="86">
        <f t="shared" si="1"/>
        <v>9.32</v>
      </c>
      <c r="O42" s="96" t="s">
        <v>48</v>
      </c>
      <c r="P42" s="98" t="s">
        <v>49</v>
      </c>
    </row>
    <row r="43" ht="14.25" customHeight="1">
      <c r="A43" s="174">
        <v>36.0</v>
      </c>
      <c r="B43" s="128" t="s">
        <v>254</v>
      </c>
      <c r="C43" s="129"/>
      <c r="D43" s="111">
        <v>8.94</v>
      </c>
      <c r="E43" s="112">
        <v>7.11</v>
      </c>
      <c r="F43" s="68">
        <v>7.04</v>
      </c>
      <c r="G43" s="104">
        <v>7.0</v>
      </c>
      <c r="H43" s="72">
        <v>7.98</v>
      </c>
      <c r="I43" s="114">
        <v>7.27</v>
      </c>
      <c r="J43" s="76">
        <v>7.92</v>
      </c>
      <c r="K43" s="78" t="s">
        <v>50</v>
      </c>
      <c r="L43" s="83" t="s">
        <v>47</v>
      </c>
      <c r="M43" s="85" t="s">
        <v>47</v>
      </c>
      <c r="N43" s="86">
        <f t="shared" si="1"/>
        <v>7.6</v>
      </c>
      <c r="O43" s="96" t="s">
        <v>52</v>
      </c>
      <c r="P43" s="98" t="s">
        <v>49</v>
      </c>
    </row>
    <row r="44" ht="15.0" customHeight="1">
      <c r="A44" s="56">
        <v>37.0</v>
      </c>
      <c r="B44" s="69" t="s">
        <v>257</v>
      </c>
      <c r="C44" s="29"/>
      <c r="D44" s="111">
        <v>7.0</v>
      </c>
      <c r="E44" s="112">
        <v>7.0</v>
      </c>
      <c r="F44" s="68">
        <v>7.0</v>
      </c>
      <c r="G44" s="70">
        <v>7.0</v>
      </c>
      <c r="H44" s="72">
        <v>7.07</v>
      </c>
      <c r="I44" s="114">
        <v>7.42</v>
      </c>
      <c r="J44" s="76">
        <v>7.41</v>
      </c>
      <c r="K44" s="78" t="s">
        <v>50</v>
      </c>
      <c r="L44" s="83" t="s">
        <v>47</v>
      </c>
      <c r="M44" s="85" t="s">
        <v>47</v>
      </c>
      <c r="N44" s="86">
        <f t="shared" si="1"/>
        <v>7.12</v>
      </c>
      <c r="O44" s="96" t="s">
        <v>52</v>
      </c>
      <c r="P44" s="176" t="s">
        <v>49</v>
      </c>
    </row>
    <row r="45" ht="15.0" customHeight="1">
      <c r="A45" s="56">
        <v>38.0</v>
      </c>
      <c r="B45" s="69" t="s">
        <v>260</v>
      </c>
      <c r="C45" s="29"/>
      <c r="D45" s="111">
        <v>9.09</v>
      </c>
      <c r="E45" s="130">
        <v>8.65</v>
      </c>
      <c r="F45" s="68">
        <v>8.56</v>
      </c>
      <c r="G45" s="104">
        <v>8.41</v>
      </c>
      <c r="H45" s="72">
        <v>8.53</v>
      </c>
      <c r="I45" s="114">
        <v>8.64</v>
      </c>
      <c r="J45" s="76">
        <v>9.33</v>
      </c>
      <c r="K45" s="78" t="s">
        <v>45</v>
      </c>
      <c r="L45" s="83" t="s">
        <v>47</v>
      </c>
      <c r="M45" s="85" t="s">
        <v>47</v>
      </c>
      <c r="N45" s="86">
        <f t="shared" si="1"/>
        <v>8.74</v>
      </c>
      <c r="O45" s="96" t="s">
        <v>48</v>
      </c>
      <c r="P45" s="97" t="s">
        <v>49</v>
      </c>
    </row>
    <row r="46" ht="15.0" customHeight="1">
      <c r="A46" s="56"/>
      <c r="B46" s="179" t="s">
        <v>210</v>
      </c>
      <c r="C46" s="29"/>
      <c r="D46" s="145">
        <f t="shared" ref="D46:J46" si="2">AVERAGE(D8:D45)</f>
        <v>8.981052632</v>
      </c>
      <c r="E46" s="146">
        <f t="shared" si="2"/>
        <v>8.503947368</v>
      </c>
      <c r="F46" s="147">
        <f t="shared" si="2"/>
        <v>8.642894737</v>
      </c>
      <c r="G46" s="148">
        <f t="shared" si="2"/>
        <v>8.662368421</v>
      </c>
      <c r="H46" s="149">
        <f t="shared" si="2"/>
        <v>8.531842105</v>
      </c>
      <c r="I46" s="180">
        <f t="shared" si="2"/>
        <v>8.741578947</v>
      </c>
      <c r="J46" s="152">
        <f t="shared" si="2"/>
        <v>9.055</v>
      </c>
      <c r="K46" s="181"/>
      <c r="L46" s="181"/>
      <c r="M46" s="183"/>
      <c r="N46" s="86">
        <f>AVERAGE(N8:N45)</f>
        <v>8.726052632</v>
      </c>
      <c r="O46" s="186"/>
      <c r="P46" s="188"/>
    </row>
    <row r="47" ht="15.0" customHeight="1">
      <c r="A47" s="189"/>
      <c r="B47" s="190"/>
      <c r="C47" s="190"/>
      <c r="D47" s="191"/>
      <c r="E47" s="191"/>
      <c r="F47" s="193"/>
      <c r="G47" s="191"/>
      <c r="H47" s="195"/>
      <c r="I47" s="195"/>
      <c r="J47" s="197"/>
      <c r="K47" s="195"/>
      <c r="L47" s="199"/>
      <c r="M47" s="201"/>
      <c r="N47" s="191"/>
      <c r="O47" s="199"/>
      <c r="P47" s="191"/>
      <c r="Q47" s="13"/>
    </row>
    <row r="48" ht="15.0" customHeight="1">
      <c r="A48" s="203"/>
      <c r="B48" s="144"/>
      <c r="C48" s="21"/>
      <c r="D48" s="191"/>
      <c r="E48" s="191"/>
      <c r="F48" s="193"/>
      <c r="G48" s="191"/>
      <c r="H48" s="195"/>
      <c r="I48" s="195"/>
      <c r="J48" s="197"/>
      <c r="K48" s="195"/>
      <c r="L48" s="199"/>
      <c r="M48" s="201"/>
      <c r="N48" s="191"/>
      <c r="O48" s="199"/>
      <c r="P48" s="191"/>
      <c r="Q48" s="13"/>
    </row>
    <row r="49" ht="15.0" customHeight="1">
      <c r="A49" s="203"/>
      <c r="B49" s="158" t="s">
        <v>234</v>
      </c>
      <c r="C49" s="21"/>
      <c r="D49" s="15" t="s">
        <v>235</v>
      </c>
      <c r="E49" s="16"/>
      <c r="F49" s="16"/>
      <c r="G49" s="17"/>
      <c r="H49" s="211"/>
      <c r="I49" s="15" t="s">
        <v>265</v>
      </c>
      <c r="J49" s="16"/>
      <c r="K49" s="16"/>
      <c r="L49" s="17"/>
      <c r="M49" s="193"/>
      <c r="N49" s="191"/>
      <c r="O49" s="199"/>
      <c r="P49" s="213"/>
      <c r="Q49" s="13"/>
    </row>
    <row r="50" ht="14.25" customHeight="1">
      <c r="A50" s="203"/>
      <c r="B50" s="158" t="s">
        <v>240</v>
      </c>
      <c r="C50" s="21"/>
      <c r="D50" s="15" t="s">
        <v>242</v>
      </c>
      <c r="E50" s="16"/>
      <c r="F50" s="16"/>
      <c r="G50" s="17"/>
      <c r="H50" s="211"/>
      <c r="I50" s="15" t="s">
        <v>266</v>
      </c>
      <c r="J50" s="16"/>
      <c r="K50" s="16"/>
      <c r="L50" s="17"/>
      <c r="M50" s="193"/>
      <c r="N50" s="216"/>
      <c r="O50" s="199"/>
      <c r="P50" s="213"/>
      <c r="Q50" s="13"/>
    </row>
    <row r="51" ht="14.25" customHeight="1">
      <c r="A51" s="203"/>
      <c r="B51" s="222" t="str">
        <f t="shared" ref="B51:B52" si="3">IFERROR(IF(AND($C$4="OCTAVO A",$K$3="MATUTINA"),VLOOKUP(A51,OCTAVO_A_MAT,2,FALSE),IF(AND($C$4="OCTAVO B",$K$3="MATUTINA"),VLOOKUP(A51,OCTAVO_B_MAT,2,FALSE),IF(AND($C$4="NOVENO A",$K$3="MATUTINA"),VLOOKUP(A51,NOVENO_A_MAT,2,FALSE),IF(AND($C$4="NOVENO B",$K$3="MATUTINA"),VLOOKUP(A51,NOVENO_B_MAT,2,FALSE),IF(AND($C$4="DÉCIMO A",$K$3="MATUTINA"),VLOOKUP(A51,DECIMO_A_MAT,2,FALSE),IF(AND($C$4="DÉCIMO B",$K$3="MATUTINA"),VLOOKUP(A51,DECIMO_B_MAT,2,FALSE),IF(AND($C$4="OCTAVO A",$K$3="VESPERTINA"),VLOOKUP(A51,OCTAVO_A_VESP,2,FALSE),IF(AND($C$4="OCTAVO B",$K$3="VESPERTINA"),VLOOKUP(A51,OCTAVO_B_VESP,2,FALSE),IF(AND($C$4="NOVENO A",$K$3="VESPERTINA"),VLOOKUP(A51,NOVENO_A_VESP,2,FALSE),IF(AND($C$4="NOVENO B",$K$3="VESPERTINA"),VLOOKUP(A51,NOVENO_B_VESP,2,FALSE),IF(AND($C$4="DÉCIMO A",$K$3="VESPERTINA"),VLOOKUP(A51,DECIMO_A_VESP,2,FALSE),IF(AND($C$4="DÉCIMO B",$K$3="VESPERTINA"),VLOOKUP(A51,DECIMO_B_VESP,2,FALSE),IF(AND($C$4="QUINTO A",$K$3="MATUTINA"),VLOOKUP(A51,QUINTO_A_MAT,2,FALSE),IF(AND($C$4="QUINTO B",$K$3="MATUTINA"),VLOOKUP(A51,QUINTO_B_MAT,2,FALSE),IF(AND($C$4="SEXTO A",$K$3="MATUTINA"),VLOOKUP(A51,SEXTO_A_MAT,2,FALSE),IF(AND($C$4="SEXTO B",$K$3="MATUTINA"),VLOOKUP(A51,SEXTO_B_MAT,2,FALSE),IF(AND($C$4="SÉPTIMO A",$K$3="MATUTINA"),VLOOKUP(A51,SEPTIMO_A_MATU,2,FALSE),IF(AND($C$4="SÉPTIMO B",$K$3="MATUTINA"),VLOOKUP(A51,SEPTIMO_B_MAT,2,FALSE),IF(AND($C$4="QUINTO A",$K$3="VESPERTINA"),VLOOKUP(A51,QUINTO_A_VES,2,FALSE),IF(AND($C$4="QUINTO B",$K$3="VESPERTINA"),VLOOKUP(A51,QUINTO_B_VES,2,FALSE),IF(AND($C$4="SEXTO A",$K$3="VESPERTINA"),VLOOKUP(A51,SEXTO_A_VES,2,FALSE),IF(AND($C$4="SEXTO B",$K$3="VESPERTINA"),VLOOKUP(A51,SEXTO_B_VES,2,FALSE),IF(AND($C$4="SÉPTIMO A",$K$3="VESPERTINA"),VLOOKUP(A51,SEPTIMO_A_VES,2,FALSE),IF(AND($C$4="SÉPTIMO B",$K$3="VESPERTINA"),VLOOKUP(A51,SEPTIMO_B_VES,2,FALSE),"")))))))))))))))))))))))),"")</f>
        <v/>
      </c>
      <c r="C51" s="21"/>
      <c r="D51" s="191"/>
      <c r="E51" s="191"/>
      <c r="F51" s="223"/>
      <c r="G51" s="19"/>
      <c r="H51" s="19"/>
      <c r="I51" s="19"/>
      <c r="J51" s="19"/>
      <c r="K51" s="19"/>
      <c r="L51" s="19"/>
      <c r="M51" s="21"/>
      <c r="N51" s="216"/>
      <c r="O51" s="197"/>
      <c r="P51" s="213"/>
      <c r="Q51" s="13"/>
    </row>
    <row r="52" ht="14.25" customHeight="1">
      <c r="A52" s="203"/>
      <c r="B52" s="222" t="str">
        <f t="shared" si="3"/>
        <v/>
      </c>
      <c r="C52" s="21"/>
      <c r="D52" s="191"/>
      <c r="E52" s="191"/>
      <c r="F52" s="191"/>
      <c r="G52" s="191"/>
      <c r="H52" s="191"/>
      <c r="I52" s="191"/>
      <c r="J52" s="197"/>
      <c r="K52" s="197"/>
      <c r="L52" s="197"/>
      <c r="M52" s="197"/>
      <c r="N52" s="191"/>
      <c r="O52" s="197"/>
      <c r="P52" s="213"/>
      <c r="Q52" s="13"/>
    </row>
    <row r="53" ht="14.25" customHeight="1">
      <c r="P53" s="1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P1"/>
    <mergeCell ref="B2:P2"/>
    <mergeCell ref="C3:E3"/>
    <mergeCell ref="I3:J3"/>
    <mergeCell ref="K3:N3"/>
    <mergeCell ref="I4:J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6:C36"/>
    <mergeCell ref="B37:C37"/>
    <mergeCell ref="B38:C38"/>
    <mergeCell ref="B39:C39"/>
    <mergeCell ref="B40:C40"/>
    <mergeCell ref="B41:C41"/>
    <mergeCell ref="B42:C42"/>
    <mergeCell ref="B43:C43"/>
    <mergeCell ref="B50:C50"/>
    <mergeCell ref="D50:G50"/>
    <mergeCell ref="I50:L50"/>
    <mergeCell ref="B51:C51"/>
    <mergeCell ref="F51:M51"/>
    <mergeCell ref="B52:C52"/>
    <mergeCell ref="B44:C44"/>
    <mergeCell ref="B45:C45"/>
    <mergeCell ref="B46:C46"/>
    <mergeCell ref="B48:C48"/>
    <mergeCell ref="B49:C49"/>
    <mergeCell ref="D49:G49"/>
    <mergeCell ref="I49:L49"/>
  </mergeCells>
  <conditionalFormatting sqref="D8:J52 N46 K49:K50">
    <cfRule type="cellIs" dxfId="0" priority="1" operator="lessThan">
      <formula>7</formula>
    </cfRule>
  </conditionalFormatting>
  <conditionalFormatting sqref="D8:J52 N46 K49:K50">
    <cfRule type="cellIs" dxfId="0" priority="2" operator="lessThan">
      <formula>6.29</formula>
    </cfRule>
  </conditionalFormatting>
  <conditionalFormatting sqref="N8:N52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2.14"/>
    <col customWidth="1" min="4" max="13" width="6.29"/>
    <col customWidth="1" min="14" max="14" width="8.14"/>
    <col customWidth="1" min="15" max="15" width="7.57"/>
    <col customWidth="1" min="16" max="16" width="15.14"/>
    <col customWidth="1" min="17" max="17" width="21.43"/>
    <col customWidth="1" min="18" max="18" width="6.29"/>
  </cols>
  <sheetData>
    <row r="1" ht="72.75" customHeight="1">
      <c r="A1" s="2" t="s">
        <v>2</v>
      </c>
    </row>
    <row r="2" ht="14.25" customHeight="1">
      <c r="A2" s="3"/>
      <c r="B2" s="4" t="s">
        <v>4</v>
      </c>
    </row>
    <row r="3" ht="14.25" customHeight="1">
      <c r="B3" s="5" t="s">
        <v>17</v>
      </c>
      <c r="C3" s="15" t="s">
        <v>18</v>
      </c>
      <c r="D3" s="16"/>
      <c r="E3" s="17"/>
      <c r="F3" s="7"/>
      <c r="G3" s="7"/>
      <c r="H3" s="7"/>
      <c r="I3" s="8" t="s">
        <v>9</v>
      </c>
      <c r="K3" s="9" t="s">
        <v>10</v>
      </c>
    </row>
    <row r="4" ht="12.0" customHeight="1">
      <c r="B4" s="10" t="s">
        <v>11</v>
      </c>
      <c r="C4" s="11" t="s">
        <v>21</v>
      </c>
      <c r="D4" s="12" t="s">
        <v>16</v>
      </c>
      <c r="E4" s="7"/>
      <c r="F4" s="7"/>
      <c r="G4" s="7"/>
      <c r="H4" s="7"/>
      <c r="I4" s="8"/>
      <c r="K4" s="13"/>
      <c r="M4" s="7"/>
    </row>
    <row r="5" ht="14.25" customHeight="1">
      <c r="B5" s="18" t="s">
        <v>20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1"/>
    </row>
    <row r="6" ht="130.5" customHeight="1">
      <c r="A6" s="25" t="s">
        <v>24</v>
      </c>
      <c r="B6" s="24" t="s">
        <v>23</v>
      </c>
      <c r="C6" s="26"/>
      <c r="D6" s="30" t="s">
        <v>25</v>
      </c>
      <c r="E6" s="32" t="s">
        <v>26</v>
      </c>
      <c r="F6" s="34" t="s">
        <v>27</v>
      </c>
      <c r="G6" s="36" t="s">
        <v>28</v>
      </c>
      <c r="H6" s="38" t="s">
        <v>29</v>
      </c>
      <c r="I6" s="40" t="s">
        <v>30</v>
      </c>
      <c r="J6" s="43" t="s">
        <v>31</v>
      </c>
      <c r="K6" s="46" t="s">
        <v>32</v>
      </c>
      <c r="L6" s="48" t="s">
        <v>33</v>
      </c>
      <c r="M6" s="50" t="s">
        <v>34</v>
      </c>
      <c r="N6" s="52" t="s">
        <v>35</v>
      </c>
      <c r="O6" s="54" t="s">
        <v>37</v>
      </c>
      <c r="P6" s="55" t="s">
        <v>38</v>
      </c>
    </row>
    <row r="7" ht="14.25" customHeight="1">
      <c r="A7" s="56">
        <v>1.0</v>
      </c>
      <c r="B7" s="59" t="s">
        <v>41</v>
      </c>
      <c r="C7" s="62"/>
      <c r="D7" s="65" t="s">
        <v>44</v>
      </c>
      <c r="E7" s="67">
        <v>8.62</v>
      </c>
      <c r="F7" s="68">
        <v>8.18</v>
      </c>
      <c r="G7" s="71">
        <v>7.95</v>
      </c>
      <c r="H7" s="73">
        <v>8.47</v>
      </c>
      <c r="I7" s="74">
        <v>8.0</v>
      </c>
      <c r="J7" s="76">
        <v>8.97</v>
      </c>
      <c r="K7" s="78" t="s">
        <v>45</v>
      </c>
      <c r="L7" s="80" t="s">
        <v>47</v>
      </c>
      <c r="M7" s="76" t="s">
        <v>47</v>
      </c>
      <c r="N7" s="86">
        <f t="shared" ref="N7:N46" si="1">TRUNC(AVERAGE(D7:J7),2)</f>
        <v>8.36</v>
      </c>
      <c r="O7" s="88" t="s">
        <v>48</v>
      </c>
      <c r="P7" s="89" t="s">
        <v>49</v>
      </c>
    </row>
    <row r="8" ht="15.0" customHeight="1">
      <c r="A8" s="56">
        <v>2.0</v>
      </c>
      <c r="B8" s="92" t="s">
        <v>51</v>
      </c>
      <c r="C8" s="94"/>
      <c r="D8" s="111" t="s">
        <v>53</v>
      </c>
      <c r="E8" s="67">
        <v>9.16</v>
      </c>
      <c r="F8" s="68">
        <v>8.78</v>
      </c>
      <c r="G8" s="119">
        <v>8.62</v>
      </c>
      <c r="H8" s="73">
        <v>8.25</v>
      </c>
      <c r="I8" s="121">
        <v>8.72</v>
      </c>
      <c r="J8" s="76">
        <v>9.31</v>
      </c>
      <c r="K8" s="78" t="s">
        <v>47</v>
      </c>
      <c r="L8" s="80" t="s">
        <v>47</v>
      </c>
      <c r="M8" s="122" t="s">
        <v>50</v>
      </c>
      <c r="N8" s="86">
        <f t="shared" si="1"/>
        <v>8.8</v>
      </c>
      <c r="O8" s="88" t="s">
        <v>48</v>
      </c>
      <c r="P8" s="89" t="s">
        <v>49</v>
      </c>
      <c r="Q8" s="113" t="s">
        <v>57</v>
      </c>
      <c r="R8" s="115">
        <f>LARGE(N7:N46,1)</f>
        <v>9.87</v>
      </c>
      <c r="S8" s="59" t="s">
        <v>80</v>
      </c>
      <c r="T8" s="126"/>
    </row>
    <row r="9" ht="15.0" customHeight="1">
      <c r="A9" s="56">
        <v>3.0</v>
      </c>
      <c r="B9" s="59" t="s">
        <v>84</v>
      </c>
      <c r="C9" s="126"/>
      <c r="D9" s="111" t="s">
        <v>87</v>
      </c>
      <c r="E9" s="67">
        <v>9.76</v>
      </c>
      <c r="F9" s="68">
        <v>9.28</v>
      </c>
      <c r="G9" s="119">
        <v>9.75</v>
      </c>
      <c r="H9" s="73">
        <v>8.88</v>
      </c>
      <c r="I9" s="121">
        <v>9.42</v>
      </c>
      <c r="J9" s="76">
        <v>9.93</v>
      </c>
      <c r="K9" s="78" t="s">
        <v>47</v>
      </c>
      <c r="L9" s="80" t="s">
        <v>47</v>
      </c>
      <c r="M9" s="122" t="s">
        <v>47</v>
      </c>
      <c r="N9" s="86">
        <f t="shared" si="1"/>
        <v>9.5</v>
      </c>
      <c r="O9" s="88" t="s">
        <v>48</v>
      </c>
      <c r="P9" s="89" t="s">
        <v>49</v>
      </c>
      <c r="Q9" s="113" t="s">
        <v>62</v>
      </c>
      <c r="R9" s="118">
        <f>LARGE(N7:N46,2)</f>
        <v>9.83</v>
      </c>
      <c r="S9" s="59" t="s">
        <v>95</v>
      </c>
      <c r="T9" s="126"/>
    </row>
    <row r="10" ht="15.0" customHeight="1">
      <c r="A10" s="56">
        <v>4.0</v>
      </c>
      <c r="B10" s="59" t="s">
        <v>98</v>
      </c>
      <c r="C10" s="126"/>
      <c r="D10" s="111" t="s">
        <v>99</v>
      </c>
      <c r="E10" s="67">
        <v>9.24</v>
      </c>
      <c r="F10" s="68">
        <v>9.4</v>
      </c>
      <c r="G10" s="119">
        <v>9.17</v>
      </c>
      <c r="H10" s="73">
        <v>9.36</v>
      </c>
      <c r="I10" s="121">
        <v>9.11</v>
      </c>
      <c r="J10" s="76">
        <v>9.64</v>
      </c>
      <c r="K10" s="78" t="s">
        <v>47</v>
      </c>
      <c r="L10" s="80" t="s">
        <v>47</v>
      </c>
      <c r="M10" s="122" t="s">
        <v>47</v>
      </c>
      <c r="N10" s="86">
        <f t="shared" si="1"/>
        <v>9.32</v>
      </c>
      <c r="O10" s="88" t="s">
        <v>48</v>
      </c>
      <c r="P10" s="89" t="s">
        <v>49</v>
      </c>
      <c r="Q10" s="113" t="s">
        <v>69</v>
      </c>
      <c r="R10" s="118">
        <f>LARGE(N7:N46,3)</f>
        <v>9.71</v>
      </c>
      <c r="S10" s="59" t="s">
        <v>104</v>
      </c>
      <c r="T10" s="126"/>
    </row>
    <row r="11" ht="15.0" customHeight="1">
      <c r="A11" s="56">
        <v>5.0</v>
      </c>
      <c r="B11" s="59" t="s">
        <v>106</v>
      </c>
      <c r="C11" s="126"/>
      <c r="D11" s="111" t="s">
        <v>110</v>
      </c>
      <c r="E11" s="67">
        <v>7.0</v>
      </c>
      <c r="F11" s="68">
        <v>7.84</v>
      </c>
      <c r="G11" s="119">
        <v>7.41</v>
      </c>
      <c r="H11" s="73">
        <v>7.59</v>
      </c>
      <c r="I11" s="121">
        <v>8.22</v>
      </c>
      <c r="J11" s="76">
        <v>8.5</v>
      </c>
      <c r="K11" s="78" t="s">
        <v>50</v>
      </c>
      <c r="L11" s="80" t="s">
        <v>50</v>
      </c>
      <c r="M11" s="122" t="s">
        <v>50</v>
      </c>
      <c r="N11" s="86">
        <f t="shared" si="1"/>
        <v>7.76</v>
      </c>
      <c r="O11" s="88" t="s">
        <v>52</v>
      </c>
      <c r="P11" s="89" t="s">
        <v>49</v>
      </c>
    </row>
    <row r="12" ht="15.0" customHeight="1">
      <c r="A12" s="56">
        <v>6.0</v>
      </c>
      <c r="B12" s="59" t="s">
        <v>115</v>
      </c>
      <c r="C12" s="126"/>
      <c r="D12" s="111" t="s">
        <v>116</v>
      </c>
      <c r="E12" s="67">
        <v>8.08</v>
      </c>
      <c r="F12" s="68">
        <v>7.0</v>
      </c>
      <c r="G12" s="119">
        <v>7.13</v>
      </c>
      <c r="H12" s="73">
        <v>8.17</v>
      </c>
      <c r="I12" s="121">
        <v>7.42</v>
      </c>
      <c r="J12" s="76">
        <v>8.31</v>
      </c>
      <c r="K12" s="78" t="s">
        <v>45</v>
      </c>
      <c r="L12" s="80" t="s">
        <v>45</v>
      </c>
      <c r="M12" s="122" t="s">
        <v>47</v>
      </c>
      <c r="N12" s="86">
        <f t="shared" si="1"/>
        <v>7.68</v>
      </c>
      <c r="O12" s="88" t="s">
        <v>83</v>
      </c>
      <c r="P12" s="89" t="s">
        <v>49</v>
      </c>
    </row>
    <row r="13" ht="15.0" customHeight="1">
      <c r="A13" s="56">
        <v>7.0</v>
      </c>
      <c r="B13" s="59" t="s">
        <v>119</v>
      </c>
      <c r="C13" s="126"/>
      <c r="D13" s="111" t="s">
        <v>122</v>
      </c>
      <c r="E13" s="67">
        <v>9.11</v>
      </c>
      <c r="F13" s="68">
        <v>8.65</v>
      </c>
      <c r="G13" s="119">
        <v>8.25</v>
      </c>
      <c r="H13" s="73">
        <v>8.0</v>
      </c>
      <c r="I13" s="121">
        <v>8.74</v>
      </c>
      <c r="J13" s="76">
        <v>9.23</v>
      </c>
      <c r="K13" s="78" t="s">
        <v>45</v>
      </c>
      <c r="L13" s="80" t="s">
        <v>47</v>
      </c>
      <c r="M13" s="122" t="s">
        <v>47</v>
      </c>
      <c r="N13" s="86">
        <f t="shared" si="1"/>
        <v>8.66</v>
      </c>
      <c r="O13" s="88" t="s">
        <v>48</v>
      </c>
      <c r="P13" s="89" t="s">
        <v>49</v>
      </c>
    </row>
    <row r="14" ht="15.0" customHeight="1">
      <c r="A14" s="56">
        <v>8.0</v>
      </c>
      <c r="B14" s="59" t="s">
        <v>127</v>
      </c>
      <c r="C14" s="126"/>
      <c r="D14" s="111" t="s">
        <v>129</v>
      </c>
      <c r="E14" s="67">
        <v>8.8</v>
      </c>
      <c r="F14" s="68">
        <v>7.66</v>
      </c>
      <c r="G14" s="119">
        <v>7.58</v>
      </c>
      <c r="H14" s="73">
        <v>8.28</v>
      </c>
      <c r="I14" s="121">
        <v>8.18</v>
      </c>
      <c r="J14" s="76">
        <v>8.65</v>
      </c>
      <c r="K14" s="78" t="s">
        <v>45</v>
      </c>
      <c r="L14" s="80" t="s">
        <v>47</v>
      </c>
      <c r="M14" s="122" t="s">
        <v>47</v>
      </c>
      <c r="N14" s="86">
        <f t="shared" si="1"/>
        <v>8.19</v>
      </c>
      <c r="O14" s="88" t="s">
        <v>48</v>
      </c>
      <c r="P14" s="89" t="s">
        <v>49</v>
      </c>
    </row>
    <row r="15" ht="15.0" customHeight="1">
      <c r="A15" s="56">
        <v>9.0</v>
      </c>
      <c r="B15" s="59" t="s">
        <v>132</v>
      </c>
      <c r="C15" s="126"/>
      <c r="D15" s="111" t="s">
        <v>134</v>
      </c>
      <c r="E15" s="67">
        <v>9.38</v>
      </c>
      <c r="F15" s="68">
        <v>8.7</v>
      </c>
      <c r="G15" s="119">
        <v>9.31</v>
      </c>
      <c r="H15" s="73">
        <v>8.76</v>
      </c>
      <c r="I15" s="121">
        <v>8.98</v>
      </c>
      <c r="J15" s="76">
        <v>9.17</v>
      </c>
      <c r="K15" s="78" t="s">
        <v>45</v>
      </c>
      <c r="L15" s="80" t="s">
        <v>47</v>
      </c>
      <c r="M15" s="122" t="s">
        <v>47</v>
      </c>
      <c r="N15" s="86">
        <f t="shared" si="1"/>
        <v>9.05</v>
      </c>
      <c r="O15" s="88" t="s">
        <v>48</v>
      </c>
      <c r="P15" s="89" t="s">
        <v>49</v>
      </c>
    </row>
    <row r="16" ht="15.0" customHeight="1">
      <c r="A16" s="56">
        <v>10.0</v>
      </c>
      <c r="B16" s="59" t="s">
        <v>137</v>
      </c>
      <c r="C16" s="126"/>
      <c r="D16" s="111" t="s">
        <v>138</v>
      </c>
      <c r="E16" s="67">
        <v>7.86</v>
      </c>
      <c r="F16" s="68">
        <v>7.97</v>
      </c>
      <c r="G16" s="119">
        <v>7.91</v>
      </c>
      <c r="H16" s="73">
        <v>7.77</v>
      </c>
      <c r="I16" s="121">
        <v>8.28</v>
      </c>
      <c r="J16" s="76">
        <v>8.33</v>
      </c>
      <c r="K16" s="78" t="s">
        <v>47</v>
      </c>
      <c r="L16" s="80" t="s">
        <v>45</v>
      </c>
      <c r="M16" s="122" t="s">
        <v>47</v>
      </c>
      <c r="N16" s="86">
        <f t="shared" si="1"/>
        <v>8.02</v>
      </c>
      <c r="O16" s="88" t="s">
        <v>48</v>
      </c>
      <c r="P16" s="89" t="s">
        <v>49</v>
      </c>
    </row>
    <row r="17" ht="15.0" customHeight="1">
      <c r="A17" s="56">
        <v>11.0</v>
      </c>
      <c r="B17" s="59" t="s">
        <v>141</v>
      </c>
      <c r="C17" s="126"/>
      <c r="D17" s="111" t="s">
        <v>142</v>
      </c>
      <c r="E17" s="67">
        <v>8.49</v>
      </c>
      <c r="F17" s="68">
        <v>8.95</v>
      </c>
      <c r="G17" s="119">
        <v>9.18</v>
      </c>
      <c r="H17" s="73">
        <v>8.92</v>
      </c>
      <c r="I17" s="121">
        <v>8.85</v>
      </c>
      <c r="J17" s="76">
        <v>9.71</v>
      </c>
      <c r="K17" s="78" t="s">
        <v>47</v>
      </c>
      <c r="L17" s="80" t="s">
        <v>47</v>
      </c>
      <c r="M17" s="122" t="s">
        <v>47</v>
      </c>
      <c r="N17" s="86">
        <f t="shared" si="1"/>
        <v>9.01</v>
      </c>
      <c r="O17" s="88" t="s">
        <v>48</v>
      </c>
      <c r="P17" s="89" t="s">
        <v>49</v>
      </c>
    </row>
    <row r="18" ht="15.0" customHeight="1">
      <c r="A18" s="56">
        <v>12.0</v>
      </c>
      <c r="B18" s="92" t="s">
        <v>146</v>
      </c>
      <c r="C18" s="94"/>
      <c r="D18" s="111" t="s">
        <v>148</v>
      </c>
      <c r="E18" s="67">
        <v>9.13</v>
      </c>
      <c r="F18" s="68">
        <v>8.85</v>
      </c>
      <c r="G18" s="119">
        <v>9.12</v>
      </c>
      <c r="H18" s="73">
        <v>8.28</v>
      </c>
      <c r="I18" s="121">
        <v>8.85</v>
      </c>
      <c r="J18" s="76">
        <v>9.45</v>
      </c>
      <c r="K18" s="78" t="s">
        <v>47</v>
      </c>
      <c r="L18" s="80" t="s">
        <v>47</v>
      </c>
      <c r="M18" s="122" t="s">
        <v>47</v>
      </c>
      <c r="N18" s="86">
        <f t="shared" si="1"/>
        <v>8.94</v>
      </c>
      <c r="O18" s="88" t="s">
        <v>48</v>
      </c>
      <c r="P18" s="89" t="s">
        <v>49</v>
      </c>
    </row>
    <row r="19" ht="15.0" customHeight="1">
      <c r="A19" s="56">
        <v>13.0</v>
      </c>
      <c r="B19" s="59" t="s">
        <v>152</v>
      </c>
      <c r="C19" s="126"/>
      <c r="D19" s="111" t="s">
        <v>153</v>
      </c>
      <c r="E19" s="67">
        <v>7.0</v>
      </c>
      <c r="F19" s="68">
        <v>7.0</v>
      </c>
      <c r="G19" s="119">
        <v>7.15</v>
      </c>
      <c r="H19" s="73">
        <v>7.0</v>
      </c>
      <c r="I19" s="121">
        <v>7.72</v>
      </c>
      <c r="J19" s="76">
        <v>7.57</v>
      </c>
      <c r="K19" s="78" t="s">
        <v>50</v>
      </c>
      <c r="L19" s="80" t="s">
        <v>45</v>
      </c>
      <c r="M19" s="122" t="s">
        <v>47</v>
      </c>
      <c r="N19" s="86">
        <f t="shared" si="1"/>
        <v>7.24</v>
      </c>
      <c r="O19" s="88" t="s">
        <v>48</v>
      </c>
      <c r="P19" s="89" t="s">
        <v>49</v>
      </c>
    </row>
    <row r="20" ht="15.0" customHeight="1">
      <c r="A20" s="56">
        <v>14.0</v>
      </c>
      <c r="B20" s="59" t="s">
        <v>156</v>
      </c>
      <c r="C20" s="126"/>
      <c r="D20" s="111" t="s">
        <v>158</v>
      </c>
      <c r="E20" s="67">
        <v>7.18</v>
      </c>
      <c r="F20" s="68">
        <v>8.22</v>
      </c>
      <c r="G20" s="119">
        <v>7.99</v>
      </c>
      <c r="H20" s="73">
        <v>7.95</v>
      </c>
      <c r="I20" s="121">
        <v>7.98</v>
      </c>
      <c r="J20" s="76">
        <v>8.84</v>
      </c>
      <c r="K20" s="78" t="s">
        <v>45</v>
      </c>
      <c r="L20" s="80" t="s">
        <v>45</v>
      </c>
      <c r="M20" s="122" t="s">
        <v>50</v>
      </c>
      <c r="N20" s="86">
        <f t="shared" si="1"/>
        <v>8.02</v>
      </c>
      <c r="O20" s="88" t="s">
        <v>48</v>
      </c>
      <c r="P20" s="89" t="s">
        <v>49</v>
      </c>
    </row>
    <row r="21" ht="15.0" customHeight="1">
      <c r="A21" s="56">
        <v>15.0</v>
      </c>
      <c r="B21" s="59" t="s">
        <v>161</v>
      </c>
      <c r="C21" s="126"/>
      <c r="D21" s="111" t="s">
        <v>163</v>
      </c>
      <c r="E21" s="67">
        <v>7.29</v>
      </c>
      <c r="F21" s="68">
        <v>7.4</v>
      </c>
      <c r="G21" s="119">
        <v>7.66</v>
      </c>
      <c r="H21" s="73">
        <v>7.76</v>
      </c>
      <c r="I21" s="121">
        <v>8.08</v>
      </c>
      <c r="J21" s="76">
        <v>8.72</v>
      </c>
      <c r="K21" s="78" t="s">
        <v>45</v>
      </c>
      <c r="L21" s="80" t="s">
        <v>47</v>
      </c>
      <c r="M21" s="122" t="s">
        <v>45</v>
      </c>
      <c r="N21" s="86">
        <f t="shared" si="1"/>
        <v>7.81</v>
      </c>
      <c r="O21" s="88" t="s">
        <v>48</v>
      </c>
      <c r="P21" s="89" t="s">
        <v>49</v>
      </c>
    </row>
    <row r="22" ht="15.0" customHeight="1">
      <c r="A22" s="56">
        <v>16.0</v>
      </c>
      <c r="B22" s="59" t="s">
        <v>95</v>
      </c>
      <c r="C22" s="126"/>
      <c r="D22" s="111" t="s">
        <v>167</v>
      </c>
      <c r="E22" s="67">
        <v>9.86</v>
      </c>
      <c r="F22" s="68">
        <v>9.8</v>
      </c>
      <c r="G22" s="119">
        <v>9.87</v>
      </c>
      <c r="H22" s="73">
        <v>9.64</v>
      </c>
      <c r="I22" s="121">
        <v>9.88</v>
      </c>
      <c r="J22" s="76">
        <v>9.98</v>
      </c>
      <c r="K22" s="78" t="s">
        <v>47</v>
      </c>
      <c r="L22" s="80" t="s">
        <v>47</v>
      </c>
      <c r="M22" s="122" t="s">
        <v>47</v>
      </c>
      <c r="N22" s="86">
        <f t="shared" si="1"/>
        <v>9.83</v>
      </c>
      <c r="O22" s="88" t="s">
        <v>48</v>
      </c>
      <c r="P22" s="89" t="s">
        <v>49</v>
      </c>
    </row>
    <row r="23" ht="15.0" customHeight="1">
      <c r="A23" s="56">
        <v>17.0</v>
      </c>
      <c r="B23" s="59" t="s">
        <v>171</v>
      </c>
      <c r="C23" s="126"/>
      <c r="D23" s="111" t="s">
        <v>173</v>
      </c>
      <c r="E23" s="137">
        <v>7.58</v>
      </c>
      <c r="F23" s="68">
        <v>7.06</v>
      </c>
      <c r="G23" s="119">
        <v>7.07</v>
      </c>
      <c r="H23" s="73">
        <v>7.09</v>
      </c>
      <c r="I23" s="121">
        <v>7.5</v>
      </c>
      <c r="J23" s="76">
        <v>7.97</v>
      </c>
      <c r="K23" s="78" t="s">
        <v>50</v>
      </c>
      <c r="L23" s="80" t="s">
        <v>45</v>
      </c>
      <c r="M23" s="122" t="s">
        <v>47</v>
      </c>
      <c r="N23" s="86">
        <f t="shared" si="1"/>
        <v>7.37</v>
      </c>
      <c r="O23" s="88" t="s">
        <v>52</v>
      </c>
      <c r="P23" s="89" t="s">
        <v>49</v>
      </c>
    </row>
    <row r="24" ht="15.0" customHeight="1">
      <c r="A24" s="56">
        <v>18.0</v>
      </c>
      <c r="B24" s="59" t="s">
        <v>179</v>
      </c>
      <c r="C24" s="126"/>
      <c r="D24" s="111" t="s">
        <v>181</v>
      </c>
      <c r="E24" s="67">
        <v>9.87</v>
      </c>
      <c r="F24" s="68">
        <v>9.61</v>
      </c>
      <c r="G24" s="119">
        <v>9.72</v>
      </c>
      <c r="H24" s="73">
        <v>9.69</v>
      </c>
      <c r="I24" s="121">
        <v>9.34</v>
      </c>
      <c r="J24" s="76">
        <v>9.87</v>
      </c>
      <c r="K24" s="78" t="s">
        <v>47</v>
      </c>
      <c r="L24" s="80" t="s">
        <v>47</v>
      </c>
      <c r="M24" s="122" t="s">
        <v>50</v>
      </c>
      <c r="N24" s="86">
        <f t="shared" si="1"/>
        <v>9.68</v>
      </c>
      <c r="O24" s="88" t="s">
        <v>48</v>
      </c>
      <c r="P24" s="89" t="s">
        <v>49</v>
      </c>
    </row>
    <row r="25" ht="15.0" customHeight="1">
      <c r="A25" s="56">
        <v>19.0</v>
      </c>
      <c r="B25" s="59" t="s">
        <v>184</v>
      </c>
      <c r="C25" s="126"/>
      <c r="D25" s="111" t="s">
        <v>187</v>
      </c>
      <c r="E25" s="67">
        <v>7.31</v>
      </c>
      <c r="F25" s="68">
        <v>8.54</v>
      </c>
      <c r="G25" s="119">
        <v>7.98</v>
      </c>
      <c r="H25" s="73">
        <v>7.35</v>
      </c>
      <c r="I25" s="121">
        <v>8.05</v>
      </c>
      <c r="J25" s="76">
        <v>8.01</v>
      </c>
      <c r="K25" s="78" t="s">
        <v>45</v>
      </c>
      <c r="L25" s="80" t="s">
        <v>45</v>
      </c>
      <c r="M25" s="122" t="s">
        <v>50</v>
      </c>
      <c r="N25" s="86">
        <f t="shared" si="1"/>
        <v>7.87</v>
      </c>
      <c r="O25" s="88" t="s">
        <v>48</v>
      </c>
      <c r="P25" s="89" t="s">
        <v>49</v>
      </c>
    </row>
    <row r="26" ht="15.0" customHeight="1">
      <c r="A26" s="56">
        <v>20.0</v>
      </c>
      <c r="B26" s="59" t="s">
        <v>190</v>
      </c>
      <c r="C26" s="126"/>
      <c r="D26" s="111" t="s">
        <v>53</v>
      </c>
      <c r="E26" s="67">
        <v>8.96</v>
      </c>
      <c r="F26" s="68">
        <v>8.24</v>
      </c>
      <c r="G26" s="119">
        <v>8.15</v>
      </c>
      <c r="H26" s="73">
        <v>8.65</v>
      </c>
      <c r="I26" s="121">
        <v>8.7</v>
      </c>
      <c r="J26" s="76">
        <v>9.14</v>
      </c>
      <c r="K26" s="78" t="s">
        <v>47</v>
      </c>
      <c r="L26" s="80" t="s">
        <v>45</v>
      </c>
      <c r="M26" s="122" t="s">
        <v>47</v>
      </c>
      <c r="N26" s="86">
        <f t="shared" si="1"/>
        <v>8.64</v>
      </c>
      <c r="O26" s="88" t="s">
        <v>48</v>
      </c>
      <c r="P26" s="89" t="s">
        <v>49</v>
      </c>
    </row>
    <row r="27" ht="15.0" customHeight="1">
      <c r="A27" s="56">
        <v>21.0</v>
      </c>
      <c r="B27" s="59" t="s">
        <v>195</v>
      </c>
      <c r="C27" s="126"/>
      <c r="D27" s="111">
        <v>7.01</v>
      </c>
      <c r="E27" s="67">
        <v>7.04</v>
      </c>
      <c r="F27" s="68">
        <v>7.02</v>
      </c>
      <c r="G27" s="119">
        <v>7.06</v>
      </c>
      <c r="H27" s="73">
        <v>7.06</v>
      </c>
      <c r="I27" s="121">
        <v>7.08</v>
      </c>
      <c r="J27" s="76">
        <v>7.45</v>
      </c>
      <c r="K27" s="78" t="s">
        <v>50</v>
      </c>
      <c r="L27" s="80" t="s">
        <v>50</v>
      </c>
      <c r="M27" s="122" t="s">
        <v>45</v>
      </c>
      <c r="N27" s="86">
        <f t="shared" si="1"/>
        <v>7.1</v>
      </c>
      <c r="O27" s="88" t="s">
        <v>83</v>
      </c>
      <c r="P27" s="89" t="s">
        <v>49</v>
      </c>
    </row>
    <row r="28" ht="18.0" customHeight="1">
      <c r="A28" s="56">
        <v>22.0</v>
      </c>
      <c r="B28" s="59" t="s">
        <v>199</v>
      </c>
      <c r="C28" s="126"/>
      <c r="D28" s="111" t="s">
        <v>200</v>
      </c>
      <c r="E28" s="137">
        <v>8.14</v>
      </c>
      <c r="F28" s="68">
        <v>7.08</v>
      </c>
      <c r="G28" s="119">
        <v>7.54</v>
      </c>
      <c r="H28" s="73">
        <v>8.13</v>
      </c>
      <c r="I28" s="121">
        <v>8.18</v>
      </c>
      <c r="J28" s="76">
        <v>8.5</v>
      </c>
      <c r="K28" s="78" t="s">
        <v>47</v>
      </c>
      <c r="L28" s="80" t="s">
        <v>45</v>
      </c>
      <c r="M28" s="122" t="s">
        <v>45</v>
      </c>
      <c r="N28" s="86">
        <f t="shared" si="1"/>
        <v>7.92</v>
      </c>
      <c r="O28" s="88" t="s">
        <v>48</v>
      </c>
      <c r="P28" s="89" t="s">
        <v>49</v>
      </c>
    </row>
    <row r="29" ht="15.0" customHeight="1">
      <c r="A29" s="56">
        <v>23.0</v>
      </c>
      <c r="B29" s="59" t="s">
        <v>201</v>
      </c>
      <c r="C29" s="126"/>
      <c r="D29" s="111">
        <v>5.24</v>
      </c>
      <c r="E29" s="67">
        <v>4.44</v>
      </c>
      <c r="F29" s="142">
        <v>5.1</v>
      </c>
      <c r="G29" s="119">
        <v>3.68</v>
      </c>
      <c r="H29" s="73">
        <v>4.75</v>
      </c>
      <c r="I29" s="121">
        <v>5.09</v>
      </c>
      <c r="J29" s="76">
        <v>4.5</v>
      </c>
      <c r="K29" s="78" t="s">
        <v>205</v>
      </c>
      <c r="L29" s="80" t="s">
        <v>206</v>
      </c>
      <c r="M29" s="122"/>
      <c r="N29" s="86">
        <f t="shared" si="1"/>
        <v>4.68</v>
      </c>
      <c r="O29" s="88" t="s">
        <v>208</v>
      </c>
      <c r="P29" s="143" t="s">
        <v>209</v>
      </c>
    </row>
    <row r="30" ht="18.0" customHeight="1">
      <c r="A30" s="56">
        <v>24.0</v>
      </c>
      <c r="B30" s="59" t="s">
        <v>212</v>
      </c>
      <c r="C30" s="126"/>
      <c r="D30" s="111" t="s">
        <v>213</v>
      </c>
      <c r="E30" s="67">
        <v>8.33</v>
      </c>
      <c r="F30" s="68">
        <v>8.4</v>
      </c>
      <c r="G30" s="119">
        <v>7.92</v>
      </c>
      <c r="H30" s="73">
        <v>7.54</v>
      </c>
      <c r="I30" s="121">
        <v>8.67</v>
      </c>
      <c r="J30" s="76">
        <v>8.74</v>
      </c>
      <c r="K30" s="78" t="s">
        <v>47</v>
      </c>
      <c r="L30" s="80" t="s">
        <v>47</v>
      </c>
      <c r="M30" s="122" t="s">
        <v>47</v>
      </c>
      <c r="N30" s="86">
        <f t="shared" si="1"/>
        <v>8.26</v>
      </c>
      <c r="O30" s="88" t="s">
        <v>48</v>
      </c>
      <c r="P30" s="89" t="s">
        <v>49</v>
      </c>
    </row>
    <row r="31" ht="15.0" customHeight="1">
      <c r="A31" s="56">
        <v>25.0</v>
      </c>
      <c r="B31" s="59" t="s">
        <v>80</v>
      </c>
      <c r="C31" s="126"/>
      <c r="D31" s="111" t="s">
        <v>217</v>
      </c>
      <c r="E31" s="67">
        <v>9.85</v>
      </c>
      <c r="F31" s="68">
        <v>9.75</v>
      </c>
      <c r="G31" s="119">
        <v>9.75</v>
      </c>
      <c r="H31" s="73">
        <v>10.0</v>
      </c>
      <c r="I31" s="121">
        <v>9.9</v>
      </c>
      <c r="J31" s="76">
        <v>9.99</v>
      </c>
      <c r="K31" s="78" t="s">
        <v>47</v>
      </c>
      <c r="L31" s="80" t="s">
        <v>47</v>
      </c>
      <c r="M31" s="122" t="s">
        <v>47</v>
      </c>
      <c r="N31" s="86">
        <f t="shared" si="1"/>
        <v>9.87</v>
      </c>
      <c r="O31" s="88" t="s">
        <v>48</v>
      </c>
      <c r="P31" s="89" t="s">
        <v>49</v>
      </c>
    </row>
    <row r="32" ht="15.0" customHeight="1">
      <c r="A32" s="56">
        <v>26.0</v>
      </c>
      <c r="B32" s="59" t="s">
        <v>218</v>
      </c>
      <c r="C32" s="126"/>
      <c r="D32" s="111" t="s">
        <v>221</v>
      </c>
      <c r="E32" s="67">
        <v>7.23</v>
      </c>
      <c r="F32" s="68">
        <v>7.12</v>
      </c>
      <c r="G32" s="119">
        <v>7.02</v>
      </c>
      <c r="H32" s="73">
        <v>7.2</v>
      </c>
      <c r="I32" s="121">
        <v>7.38</v>
      </c>
      <c r="J32" s="76">
        <v>7.95</v>
      </c>
      <c r="K32" s="78" t="s">
        <v>45</v>
      </c>
      <c r="L32" s="80" t="s">
        <v>45</v>
      </c>
      <c r="M32" s="122" t="s">
        <v>47</v>
      </c>
      <c r="N32" s="86">
        <f t="shared" si="1"/>
        <v>7.31</v>
      </c>
      <c r="O32" s="88" t="s">
        <v>48</v>
      </c>
      <c r="P32" s="89" t="s">
        <v>49</v>
      </c>
    </row>
    <row r="33" ht="15.0" customHeight="1">
      <c r="A33" s="56">
        <v>27.0</v>
      </c>
      <c r="B33" s="59" t="s">
        <v>223</v>
      </c>
      <c r="C33" s="126"/>
      <c r="D33" s="111" t="s">
        <v>224</v>
      </c>
      <c r="E33" s="67">
        <v>9.38</v>
      </c>
      <c r="F33" s="68">
        <v>9.49</v>
      </c>
      <c r="G33" s="119">
        <v>9.59</v>
      </c>
      <c r="H33" s="73">
        <v>9.63</v>
      </c>
      <c r="I33" s="121">
        <v>9.57</v>
      </c>
      <c r="J33" s="76">
        <v>9.56</v>
      </c>
      <c r="K33" s="78" t="s">
        <v>47</v>
      </c>
      <c r="L33" s="80" t="s">
        <v>47</v>
      </c>
      <c r="M33" s="122" t="s">
        <v>47</v>
      </c>
      <c r="N33" s="86">
        <f t="shared" si="1"/>
        <v>9.53</v>
      </c>
      <c r="O33" s="88" t="s">
        <v>48</v>
      </c>
      <c r="P33" s="89" t="s">
        <v>49</v>
      </c>
    </row>
    <row r="34" ht="15.0" customHeight="1">
      <c r="A34" s="56">
        <v>28.0</v>
      </c>
      <c r="B34" s="59" t="s">
        <v>227</v>
      </c>
      <c r="C34" s="126"/>
      <c r="D34" s="111" t="s">
        <v>228</v>
      </c>
      <c r="E34" s="67">
        <v>8.53</v>
      </c>
      <c r="F34" s="68">
        <v>7.72</v>
      </c>
      <c r="G34" s="119">
        <v>8.24</v>
      </c>
      <c r="H34" s="73">
        <v>8.01</v>
      </c>
      <c r="I34" s="121">
        <v>8.17</v>
      </c>
      <c r="J34" s="76">
        <v>8.94</v>
      </c>
      <c r="K34" s="78" t="s">
        <v>47</v>
      </c>
      <c r="L34" s="80" t="s">
        <v>45</v>
      </c>
      <c r="M34" s="122" t="s">
        <v>45</v>
      </c>
      <c r="N34" s="86">
        <f t="shared" si="1"/>
        <v>8.26</v>
      </c>
      <c r="O34" s="88" t="s">
        <v>48</v>
      </c>
      <c r="P34" s="89" t="s">
        <v>49</v>
      </c>
    </row>
    <row r="35" ht="15.0" customHeight="1">
      <c r="A35" s="56">
        <v>29.0</v>
      </c>
      <c r="B35" s="59" t="s">
        <v>104</v>
      </c>
      <c r="C35" s="126"/>
      <c r="D35" s="111" t="s">
        <v>231</v>
      </c>
      <c r="E35" s="67">
        <v>9.76</v>
      </c>
      <c r="F35" s="68">
        <v>9.64</v>
      </c>
      <c r="G35" s="119">
        <v>9.76</v>
      </c>
      <c r="H35" s="73">
        <v>9.74</v>
      </c>
      <c r="I35" s="121">
        <v>9.74</v>
      </c>
      <c r="J35" s="76">
        <v>9.67</v>
      </c>
      <c r="K35" s="78" t="s">
        <v>47</v>
      </c>
      <c r="L35" s="80" t="s">
        <v>47</v>
      </c>
      <c r="M35" s="122" t="s">
        <v>47</v>
      </c>
      <c r="N35" s="86">
        <f t="shared" si="1"/>
        <v>9.71</v>
      </c>
      <c r="O35" s="88" t="s">
        <v>48</v>
      </c>
      <c r="P35" s="89" t="s">
        <v>49</v>
      </c>
    </row>
    <row r="36" ht="15.0" customHeight="1">
      <c r="A36" s="56">
        <v>30.0</v>
      </c>
      <c r="B36" s="59" t="s">
        <v>236</v>
      </c>
      <c r="C36" s="126"/>
      <c r="D36" s="111" t="s">
        <v>238</v>
      </c>
      <c r="E36" s="67">
        <v>7.0</v>
      </c>
      <c r="F36" s="68">
        <v>7.11</v>
      </c>
      <c r="G36" s="119">
        <v>7.03</v>
      </c>
      <c r="H36" s="73">
        <v>7.87</v>
      </c>
      <c r="I36" s="121">
        <v>7.83</v>
      </c>
      <c r="J36" s="76">
        <v>7.77</v>
      </c>
      <c r="K36" s="78" t="s">
        <v>47</v>
      </c>
      <c r="L36" s="80" t="s">
        <v>45</v>
      </c>
      <c r="M36" s="122" t="s">
        <v>45</v>
      </c>
      <c r="N36" s="86">
        <f t="shared" si="1"/>
        <v>7.43</v>
      </c>
      <c r="O36" s="88" t="s">
        <v>48</v>
      </c>
      <c r="P36" s="89" t="s">
        <v>49</v>
      </c>
    </row>
    <row r="37" ht="15.0" customHeight="1">
      <c r="A37" s="56">
        <v>31.0</v>
      </c>
      <c r="B37" s="59" t="s">
        <v>239</v>
      </c>
      <c r="C37" s="126"/>
      <c r="D37" s="111" t="s">
        <v>241</v>
      </c>
      <c r="E37" s="67">
        <v>7.79</v>
      </c>
      <c r="F37" s="68">
        <v>7.86</v>
      </c>
      <c r="G37" s="119">
        <v>8.19</v>
      </c>
      <c r="H37" s="73">
        <v>7.4</v>
      </c>
      <c r="I37" s="121">
        <v>7.91</v>
      </c>
      <c r="J37" s="76">
        <v>8.71</v>
      </c>
      <c r="K37" s="78" t="s">
        <v>45</v>
      </c>
      <c r="L37" s="80" t="s">
        <v>47</v>
      </c>
      <c r="M37" s="122" t="s">
        <v>47</v>
      </c>
      <c r="N37" s="86">
        <f t="shared" si="1"/>
        <v>7.97</v>
      </c>
      <c r="O37" s="88" t="s">
        <v>48</v>
      </c>
      <c r="P37" s="89" t="s">
        <v>49</v>
      </c>
    </row>
    <row r="38" ht="15.0" customHeight="1">
      <c r="A38" s="56">
        <v>32.0</v>
      </c>
      <c r="B38" s="59" t="s">
        <v>244</v>
      </c>
      <c r="C38" s="126"/>
      <c r="D38" s="111">
        <v>7.0</v>
      </c>
      <c r="E38" s="67">
        <v>7.0</v>
      </c>
      <c r="F38" s="68">
        <v>5.52</v>
      </c>
      <c r="G38" s="119">
        <v>4.94</v>
      </c>
      <c r="H38" s="73">
        <v>6.92</v>
      </c>
      <c r="I38" s="121">
        <v>7.19</v>
      </c>
      <c r="J38" s="76">
        <v>7.47</v>
      </c>
      <c r="K38" s="78" t="s">
        <v>45</v>
      </c>
      <c r="L38" s="80" t="s">
        <v>50</v>
      </c>
      <c r="M38" s="122" t="s">
        <v>45</v>
      </c>
      <c r="N38" s="86">
        <f t="shared" si="1"/>
        <v>6.57</v>
      </c>
      <c r="O38" s="88" t="s">
        <v>52</v>
      </c>
      <c r="P38" s="143" t="s">
        <v>125</v>
      </c>
    </row>
    <row r="39" ht="15.0" customHeight="1">
      <c r="A39" s="56">
        <v>33.0</v>
      </c>
      <c r="B39" s="59" t="s">
        <v>246</v>
      </c>
      <c r="C39" s="126"/>
      <c r="D39" s="111" t="s">
        <v>134</v>
      </c>
      <c r="E39" s="137">
        <v>9.34</v>
      </c>
      <c r="F39" s="68">
        <v>9.12</v>
      </c>
      <c r="G39" s="119">
        <v>9.32</v>
      </c>
      <c r="H39" s="73">
        <v>8.7</v>
      </c>
      <c r="I39" s="121">
        <v>9.44</v>
      </c>
      <c r="J39" s="76">
        <v>9.67</v>
      </c>
      <c r="K39" s="78" t="s">
        <v>47</v>
      </c>
      <c r="L39" s="80" t="s">
        <v>47</v>
      </c>
      <c r="M39" s="122" t="s">
        <v>45</v>
      </c>
      <c r="N39" s="86">
        <f t="shared" si="1"/>
        <v>9.26</v>
      </c>
      <c r="O39" s="88" t="s">
        <v>48</v>
      </c>
      <c r="P39" s="89" t="s">
        <v>49</v>
      </c>
    </row>
    <row r="40" ht="18.0" customHeight="1">
      <c r="A40" s="56">
        <v>34.0</v>
      </c>
      <c r="B40" s="59" t="s">
        <v>248</v>
      </c>
      <c r="C40" s="126"/>
      <c r="D40" s="111" t="s">
        <v>249</v>
      </c>
      <c r="E40" s="67">
        <v>7.38</v>
      </c>
      <c r="F40" s="68">
        <v>7.66</v>
      </c>
      <c r="G40" s="119">
        <v>8.41</v>
      </c>
      <c r="H40" s="73">
        <v>7.46</v>
      </c>
      <c r="I40" s="121">
        <v>7.94</v>
      </c>
      <c r="J40" s="76">
        <v>8.5</v>
      </c>
      <c r="K40" s="78" t="s">
        <v>45</v>
      </c>
      <c r="L40" s="80" t="s">
        <v>47</v>
      </c>
      <c r="M40" s="122" t="s">
        <v>47</v>
      </c>
      <c r="N40" s="86">
        <f t="shared" si="1"/>
        <v>7.89</v>
      </c>
      <c r="O40" s="88" t="s">
        <v>48</v>
      </c>
      <c r="P40" s="89" t="s">
        <v>49</v>
      </c>
    </row>
    <row r="41" ht="15.0" customHeight="1">
      <c r="A41" s="56">
        <v>35.0</v>
      </c>
      <c r="B41" s="59" t="s">
        <v>251</v>
      </c>
      <c r="C41" s="126"/>
      <c r="D41" s="111" t="s">
        <v>217</v>
      </c>
      <c r="E41" s="137">
        <v>9.48</v>
      </c>
      <c r="F41" s="68">
        <v>9.47</v>
      </c>
      <c r="G41" s="119">
        <v>9.65</v>
      </c>
      <c r="H41" s="73">
        <v>9.63</v>
      </c>
      <c r="I41" s="121">
        <v>9.53</v>
      </c>
      <c r="J41" s="76">
        <v>9.27</v>
      </c>
      <c r="K41" s="78" t="s">
        <v>45</v>
      </c>
      <c r="L41" s="80" t="s">
        <v>47</v>
      </c>
      <c r="M41" s="122" t="s">
        <v>47</v>
      </c>
      <c r="N41" s="86">
        <f t="shared" si="1"/>
        <v>9.5</v>
      </c>
      <c r="O41" s="88" t="s">
        <v>48</v>
      </c>
      <c r="P41" s="89" t="s">
        <v>49</v>
      </c>
    </row>
    <row r="42" ht="14.25" customHeight="1">
      <c r="A42" s="164">
        <v>36.0</v>
      </c>
      <c r="B42" s="171" t="s">
        <v>253</v>
      </c>
      <c r="C42" s="173"/>
      <c r="D42" s="111" t="s">
        <v>148</v>
      </c>
      <c r="E42" s="67">
        <v>9.85</v>
      </c>
      <c r="F42" s="68">
        <v>9.72</v>
      </c>
      <c r="G42" s="119">
        <v>9.74</v>
      </c>
      <c r="H42" s="73">
        <v>9.71</v>
      </c>
      <c r="I42" s="121">
        <v>9.54</v>
      </c>
      <c r="J42" s="76">
        <v>9.05</v>
      </c>
      <c r="K42" s="78" t="s">
        <v>47</v>
      </c>
      <c r="L42" s="80" t="s">
        <v>47</v>
      </c>
      <c r="M42" s="122" t="s">
        <v>47</v>
      </c>
      <c r="N42" s="86">
        <f t="shared" si="1"/>
        <v>9.6</v>
      </c>
      <c r="O42" s="88" t="s">
        <v>48</v>
      </c>
      <c r="P42" s="89" t="s">
        <v>49</v>
      </c>
    </row>
    <row r="43" ht="15.0" customHeight="1">
      <c r="A43" s="57">
        <v>37.0</v>
      </c>
      <c r="B43" s="69" t="s">
        <v>255</v>
      </c>
      <c r="C43" s="29"/>
      <c r="D43" s="111" t="s">
        <v>256</v>
      </c>
      <c r="E43" s="67">
        <v>7.63</v>
      </c>
      <c r="F43" s="68">
        <v>8.05</v>
      </c>
      <c r="G43" s="119">
        <v>8.73</v>
      </c>
      <c r="H43" s="73">
        <v>7.79</v>
      </c>
      <c r="I43" s="121">
        <v>8.55</v>
      </c>
      <c r="J43" s="76">
        <v>8.95</v>
      </c>
      <c r="K43" s="78" t="s">
        <v>47</v>
      </c>
      <c r="L43" s="80" t="s">
        <v>45</v>
      </c>
      <c r="M43" s="122" t="s">
        <v>47</v>
      </c>
      <c r="N43" s="86">
        <f t="shared" si="1"/>
        <v>8.28</v>
      </c>
      <c r="O43" s="88" t="s">
        <v>48</v>
      </c>
      <c r="P43" s="89" t="s">
        <v>49</v>
      </c>
    </row>
    <row r="44" ht="15.0" customHeight="1">
      <c r="A44" s="57">
        <v>38.0</v>
      </c>
      <c r="B44" s="92" t="s">
        <v>258</v>
      </c>
      <c r="C44" s="94"/>
      <c r="D44" s="111" t="s">
        <v>259</v>
      </c>
      <c r="E44" s="67">
        <v>7.36</v>
      </c>
      <c r="F44" s="68">
        <v>7.53</v>
      </c>
      <c r="G44" s="119">
        <v>7.64</v>
      </c>
      <c r="H44" s="73">
        <v>7.12</v>
      </c>
      <c r="I44" s="175">
        <v>7.96</v>
      </c>
      <c r="J44" s="76">
        <v>9.25</v>
      </c>
      <c r="K44" s="78" t="s">
        <v>45</v>
      </c>
      <c r="L44" s="80" t="s">
        <v>47</v>
      </c>
      <c r="M44" s="122" t="s">
        <v>47</v>
      </c>
      <c r="N44" s="86">
        <f t="shared" si="1"/>
        <v>7.81</v>
      </c>
      <c r="O44" s="88" t="s">
        <v>52</v>
      </c>
      <c r="P44" s="89" t="s">
        <v>49</v>
      </c>
    </row>
    <row r="45" ht="15.0" customHeight="1">
      <c r="A45" s="174">
        <v>39.0</v>
      </c>
      <c r="B45" s="177" t="s">
        <v>261</v>
      </c>
      <c r="C45" s="178"/>
      <c r="D45" s="111" t="s">
        <v>262</v>
      </c>
      <c r="E45" s="67">
        <v>7.63</v>
      </c>
      <c r="F45" s="68">
        <v>7.59</v>
      </c>
      <c r="G45" s="119">
        <v>7.69</v>
      </c>
      <c r="H45" s="73">
        <v>7.45</v>
      </c>
      <c r="I45" s="175">
        <v>8.22</v>
      </c>
      <c r="J45" s="76">
        <v>9.18</v>
      </c>
      <c r="K45" s="78" t="s">
        <v>45</v>
      </c>
      <c r="L45" s="80" t="s">
        <v>45</v>
      </c>
      <c r="M45" s="122" t="s">
        <v>47</v>
      </c>
      <c r="N45" s="86">
        <f t="shared" si="1"/>
        <v>7.96</v>
      </c>
      <c r="O45" s="88" t="s">
        <v>48</v>
      </c>
      <c r="P45" s="89" t="s">
        <v>49</v>
      </c>
    </row>
    <row r="46" ht="15.0" customHeight="1">
      <c r="A46" s="56">
        <v>40.0</v>
      </c>
      <c r="B46" s="69" t="s">
        <v>263</v>
      </c>
      <c r="C46" s="29"/>
      <c r="D46" s="111" t="s">
        <v>264</v>
      </c>
      <c r="E46" s="67">
        <v>7.83</v>
      </c>
      <c r="F46" s="68">
        <v>8.5</v>
      </c>
      <c r="G46" s="119">
        <v>8.39</v>
      </c>
      <c r="H46" s="73">
        <v>7.36</v>
      </c>
      <c r="I46" s="175">
        <v>8.28</v>
      </c>
      <c r="J46" s="76">
        <v>9.26</v>
      </c>
      <c r="K46" s="78" t="s">
        <v>47</v>
      </c>
      <c r="L46" s="80" t="s">
        <v>47</v>
      </c>
      <c r="M46" s="122" t="s">
        <v>47</v>
      </c>
      <c r="N46" s="86">
        <f t="shared" si="1"/>
        <v>8.27</v>
      </c>
      <c r="O46" s="88" t="s">
        <v>48</v>
      </c>
      <c r="P46" s="89" t="s">
        <v>49</v>
      </c>
      <c r="Q46" s="172"/>
    </row>
    <row r="47" ht="15.0" customHeight="1">
      <c r="A47" s="56">
        <v>41.0</v>
      </c>
      <c r="B47" s="179" t="s">
        <v>210</v>
      </c>
      <c r="C47" s="29"/>
      <c r="D47" s="138">
        <v>8.6</v>
      </c>
      <c r="E47" s="146">
        <f t="shared" ref="E47:J47" si="2">AVERAGE(E7:E46)</f>
        <v>8.26675</v>
      </c>
      <c r="F47" s="147">
        <f t="shared" si="2"/>
        <v>8.1645</v>
      </c>
      <c r="G47" s="182">
        <f t="shared" si="2"/>
        <v>8.1815</v>
      </c>
      <c r="H47" s="149">
        <f t="shared" si="2"/>
        <v>8.13325</v>
      </c>
      <c r="I47" s="184">
        <f t="shared" si="2"/>
        <v>8.40475</v>
      </c>
      <c r="J47" s="152">
        <f t="shared" si="2"/>
        <v>8.792</v>
      </c>
      <c r="K47" s="185"/>
      <c r="L47" s="187"/>
      <c r="M47" s="187"/>
      <c r="N47" s="86">
        <f>AVERAGE(N7:N46)</f>
        <v>8.32325</v>
      </c>
      <c r="O47" s="192"/>
      <c r="P47" s="194"/>
      <c r="Q47" s="172"/>
    </row>
    <row r="48" ht="14.25" customHeight="1">
      <c r="A48" s="196">
        <v>42.0</v>
      </c>
      <c r="B48" s="198"/>
      <c r="C48" s="200"/>
      <c r="D48" s="202"/>
      <c r="E48" s="202"/>
      <c r="F48" s="204"/>
      <c r="G48" s="202"/>
      <c r="H48" s="202"/>
      <c r="I48" s="202"/>
      <c r="J48" s="205"/>
      <c r="K48" s="206"/>
      <c r="L48" s="206"/>
      <c r="M48" s="206"/>
      <c r="N48" s="207"/>
      <c r="O48" s="208"/>
      <c r="P48" s="194"/>
      <c r="Q48" s="172"/>
    </row>
    <row r="49" ht="14.25" customHeight="1">
      <c r="A49" s="209"/>
      <c r="B49" s="158" t="s">
        <v>234</v>
      </c>
      <c r="C49" s="21"/>
      <c r="D49" s="210" t="s">
        <v>235</v>
      </c>
      <c r="E49" s="16"/>
      <c r="F49" s="16"/>
      <c r="G49" s="17"/>
      <c r="H49" s="211"/>
      <c r="I49" s="15" t="s">
        <v>18</v>
      </c>
      <c r="J49" s="16"/>
      <c r="K49" s="16"/>
      <c r="L49" s="17"/>
      <c r="M49" s="206"/>
      <c r="N49" s="207"/>
      <c r="O49" s="208"/>
      <c r="P49" s="194"/>
      <c r="Q49" s="172"/>
    </row>
    <row r="50" ht="14.25" customHeight="1">
      <c r="A50" s="209"/>
      <c r="B50" s="158" t="s">
        <v>240</v>
      </c>
      <c r="C50" s="21"/>
      <c r="D50" s="210" t="s">
        <v>242</v>
      </c>
      <c r="E50" s="16"/>
      <c r="F50" s="16"/>
      <c r="G50" s="17"/>
      <c r="H50" s="211"/>
      <c r="I50" s="15" t="s">
        <v>266</v>
      </c>
      <c r="J50" s="16"/>
      <c r="K50" s="16"/>
      <c r="L50" s="17"/>
      <c r="M50" s="206"/>
      <c r="N50" s="207"/>
      <c r="O50" s="208"/>
      <c r="P50" s="194"/>
      <c r="Q50" s="172"/>
    </row>
    <row r="51" ht="14.25" customHeight="1">
      <c r="P51" s="157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:P1"/>
    <mergeCell ref="B2:P2"/>
    <mergeCell ref="C3:E3"/>
    <mergeCell ref="I3:J3"/>
    <mergeCell ref="K3:N3"/>
    <mergeCell ref="I4:J4"/>
    <mergeCell ref="B5:P5"/>
    <mergeCell ref="B8:C8"/>
    <mergeCell ref="S8:T8"/>
    <mergeCell ref="B9:C9"/>
    <mergeCell ref="S9:T9"/>
    <mergeCell ref="B10:C10"/>
    <mergeCell ref="S10:T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7:C47"/>
    <mergeCell ref="B48:C48"/>
    <mergeCell ref="B49:C49"/>
    <mergeCell ref="D49:G49"/>
    <mergeCell ref="I49:L49"/>
    <mergeCell ref="D50:G50"/>
    <mergeCell ref="I50:L50"/>
    <mergeCell ref="B40:C40"/>
    <mergeCell ref="B41:C41"/>
    <mergeCell ref="B42:C42"/>
    <mergeCell ref="B43:C43"/>
    <mergeCell ref="B44:C44"/>
    <mergeCell ref="B45:C45"/>
    <mergeCell ref="B46:C46"/>
    <mergeCell ref="B50:C50"/>
  </mergeCells>
  <conditionalFormatting sqref="C3 D7:D50 F7:J50 E47:E50 N47 K49:K50">
    <cfRule type="cellIs" dxfId="0" priority="1" operator="lessThan">
      <formula>7</formula>
    </cfRule>
  </conditionalFormatting>
  <conditionalFormatting sqref="C3 D7:D50 F7:J50 E47:E50 N47 K49:K50">
    <cfRule type="cellIs" dxfId="0" priority="2" operator="lessThan">
      <formula>6.29</formula>
    </cfRule>
  </conditionalFormatting>
  <conditionalFormatting sqref="E7:E46">
    <cfRule type="cellIs" dxfId="2" priority="3" operator="lessThan">
      <formula>7</formula>
    </cfRule>
  </conditionalFormatting>
  <conditionalFormatting sqref="N7:N50">
    <cfRule type="cellIs" dxfId="1" priority="4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4.29"/>
    <col customWidth="1" min="17" max="17" width="20.29"/>
    <col customWidth="1" min="18" max="18" width="7.71"/>
    <col customWidth="1" min="20" max="20" width="7.57"/>
  </cols>
  <sheetData>
    <row r="1" ht="72.75" customHeight="1">
      <c r="A1" s="1" t="s">
        <v>0</v>
      </c>
    </row>
    <row r="2" ht="14.25" customHeight="1">
      <c r="A2" s="3"/>
      <c r="B2" s="4" t="s">
        <v>4</v>
      </c>
    </row>
    <row r="3" ht="14.25" customHeight="1">
      <c r="B3" s="5" t="s">
        <v>5</v>
      </c>
      <c r="C3" s="6" t="s">
        <v>7</v>
      </c>
      <c r="F3" s="7"/>
      <c r="G3" s="7"/>
      <c r="H3" s="7"/>
      <c r="I3" s="8" t="s">
        <v>9</v>
      </c>
      <c r="K3" s="9" t="s">
        <v>10</v>
      </c>
    </row>
    <row r="4" ht="14.25" customHeight="1">
      <c r="B4" s="10" t="s">
        <v>11</v>
      </c>
      <c r="C4" s="11" t="s">
        <v>12</v>
      </c>
      <c r="D4" s="12" t="s">
        <v>15</v>
      </c>
      <c r="E4" s="7"/>
      <c r="F4" s="7"/>
      <c r="G4" s="7"/>
      <c r="H4" s="7"/>
      <c r="I4" s="8"/>
      <c r="K4" s="13"/>
      <c r="M4" s="7"/>
    </row>
    <row r="5" ht="6.0" customHeight="1">
      <c r="B5" s="14"/>
      <c r="C5" s="14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ht="14.25" customHeight="1">
      <c r="B6" s="18" t="s">
        <v>20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1"/>
    </row>
    <row r="7" ht="164.25" customHeight="1">
      <c r="A7" s="22" t="s">
        <v>22</v>
      </c>
      <c r="B7" s="24" t="s">
        <v>23</v>
      </c>
      <c r="C7" s="26"/>
      <c r="D7" s="28" t="s">
        <v>25</v>
      </c>
      <c r="E7" s="32" t="s">
        <v>26</v>
      </c>
      <c r="F7" s="34" t="s">
        <v>27</v>
      </c>
      <c r="G7" s="36" t="s">
        <v>28</v>
      </c>
      <c r="H7" s="38" t="s">
        <v>29</v>
      </c>
      <c r="I7" s="40" t="s">
        <v>30</v>
      </c>
      <c r="J7" s="43" t="s">
        <v>31</v>
      </c>
      <c r="K7" s="46" t="s">
        <v>32</v>
      </c>
      <c r="L7" s="48" t="s">
        <v>33</v>
      </c>
      <c r="M7" s="50" t="s">
        <v>34</v>
      </c>
      <c r="N7" s="52" t="s">
        <v>35</v>
      </c>
      <c r="O7" s="54" t="s">
        <v>37</v>
      </c>
      <c r="P7" s="55" t="s">
        <v>38</v>
      </c>
    </row>
    <row r="8" ht="14.25" customHeight="1">
      <c r="A8" s="56">
        <v>1.0</v>
      </c>
      <c r="B8" s="61" t="s">
        <v>43</v>
      </c>
      <c r="C8" s="64"/>
      <c r="D8" s="63">
        <v>7.84</v>
      </c>
      <c r="E8" s="66">
        <v>7.53</v>
      </c>
      <c r="F8" s="68">
        <v>7.01</v>
      </c>
      <c r="G8" s="70">
        <v>7.0</v>
      </c>
      <c r="H8" s="84">
        <v>7.01</v>
      </c>
      <c r="I8" s="87">
        <v>7.56</v>
      </c>
      <c r="J8" s="76">
        <v>8.16</v>
      </c>
      <c r="K8" s="90" t="s">
        <v>50</v>
      </c>
      <c r="L8" s="91" t="s">
        <v>46</v>
      </c>
      <c r="M8" s="95" t="s">
        <v>46</v>
      </c>
      <c r="N8" s="86">
        <f t="shared" ref="N8:N47" si="1">TRUNC(AVERAGE(D8:J8),2)</f>
        <v>7.44</v>
      </c>
      <c r="O8" s="99" t="s">
        <v>52</v>
      </c>
      <c r="P8" s="97" t="s">
        <v>49</v>
      </c>
    </row>
    <row r="9" ht="15.0" customHeight="1">
      <c r="A9" s="56">
        <v>2.0</v>
      </c>
      <c r="B9" s="61" t="s">
        <v>54</v>
      </c>
      <c r="C9" s="64"/>
      <c r="D9" s="63">
        <v>8.85</v>
      </c>
      <c r="E9" s="66">
        <v>9.13</v>
      </c>
      <c r="F9" s="68">
        <v>8.4</v>
      </c>
      <c r="G9" s="104">
        <v>9.09</v>
      </c>
      <c r="H9" s="105">
        <v>8.03</v>
      </c>
      <c r="I9" s="108">
        <v>8.4</v>
      </c>
      <c r="J9" s="76">
        <v>9.62</v>
      </c>
      <c r="K9" s="110" t="s">
        <v>45</v>
      </c>
      <c r="L9" s="91" t="s">
        <v>45</v>
      </c>
      <c r="M9" s="95" t="s">
        <v>45</v>
      </c>
      <c r="N9" s="86">
        <f t="shared" si="1"/>
        <v>8.78</v>
      </c>
      <c r="O9" s="99" t="s">
        <v>48</v>
      </c>
      <c r="P9" s="97" t="s">
        <v>49</v>
      </c>
      <c r="Q9" s="113" t="s">
        <v>57</v>
      </c>
      <c r="R9" s="115">
        <f>LARGE(N9:N48,1)</f>
        <v>9.89</v>
      </c>
      <c r="S9" s="116" t="s">
        <v>58</v>
      </c>
      <c r="T9" s="116">
        <v>9.87</v>
      </c>
    </row>
    <row r="10" ht="15.0" customHeight="1">
      <c r="A10" s="56">
        <v>3.0</v>
      </c>
      <c r="B10" s="61" t="s">
        <v>60</v>
      </c>
      <c r="C10" s="64"/>
      <c r="D10" s="63">
        <v>8.63</v>
      </c>
      <c r="E10" s="66">
        <v>8.24</v>
      </c>
      <c r="F10" s="68">
        <v>8.09</v>
      </c>
      <c r="G10" s="104">
        <v>9.04</v>
      </c>
      <c r="H10" s="105">
        <v>7.66</v>
      </c>
      <c r="I10" s="108">
        <v>7.85</v>
      </c>
      <c r="J10" s="76">
        <v>9.69</v>
      </c>
      <c r="K10" s="110" t="s">
        <v>45</v>
      </c>
      <c r="L10" s="91" t="s">
        <v>45</v>
      </c>
      <c r="M10" s="95" t="s">
        <v>50</v>
      </c>
      <c r="N10" s="86">
        <f t="shared" si="1"/>
        <v>8.45</v>
      </c>
      <c r="O10" s="99" t="s">
        <v>48</v>
      </c>
      <c r="P10" s="97" t="s">
        <v>49</v>
      </c>
      <c r="Q10" s="113" t="s">
        <v>62</v>
      </c>
      <c r="R10" s="118">
        <f>LARGE(N8:N47,2)</f>
        <v>9.89</v>
      </c>
      <c r="S10" s="116" t="s">
        <v>65</v>
      </c>
      <c r="T10" s="116">
        <v>9.87</v>
      </c>
    </row>
    <row r="11" ht="15.0" customHeight="1">
      <c r="A11" s="56">
        <v>4.0</v>
      </c>
      <c r="B11" s="61" t="s">
        <v>66</v>
      </c>
      <c r="C11" s="64"/>
      <c r="D11" s="63">
        <v>8.01</v>
      </c>
      <c r="E11" s="66">
        <v>7.8</v>
      </c>
      <c r="F11" s="68">
        <v>7.01</v>
      </c>
      <c r="G11" s="104">
        <v>7.84</v>
      </c>
      <c r="H11" s="84">
        <v>7.19</v>
      </c>
      <c r="I11" s="108">
        <v>7.26</v>
      </c>
      <c r="J11" s="76">
        <v>7.0</v>
      </c>
      <c r="K11" s="110" t="s">
        <v>50</v>
      </c>
      <c r="L11" s="91" t="s">
        <v>46</v>
      </c>
      <c r="M11" s="95" t="s">
        <v>46</v>
      </c>
      <c r="N11" s="86">
        <f t="shared" si="1"/>
        <v>7.44</v>
      </c>
      <c r="O11" s="99" t="s">
        <v>48</v>
      </c>
      <c r="P11" s="97" t="s">
        <v>49</v>
      </c>
      <c r="Q11" s="113" t="s">
        <v>69</v>
      </c>
      <c r="R11" s="118">
        <f>LARGE(N8:N47,3)</f>
        <v>9.87</v>
      </c>
      <c r="S11" s="116" t="s">
        <v>70</v>
      </c>
      <c r="T11" s="116">
        <v>9.86</v>
      </c>
    </row>
    <row r="12" ht="15.0" customHeight="1">
      <c r="A12" s="56">
        <v>5.0</v>
      </c>
      <c r="B12" s="61" t="s">
        <v>71</v>
      </c>
      <c r="C12" s="64"/>
      <c r="D12" s="63">
        <v>8.43</v>
      </c>
      <c r="E12" s="66">
        <v>8.78</v>
      </c>
      <c r="F12" s="68">
        <v>7.86</v>
      </c>
      <c r="G12" s="104">
        <v>8.3</v>
      </c>
      <c r="H12" s="84">
        <v>7.85</v>
      </c>
      <c r="I12" s="108">
        <v>7.81</v>
      </c>
      <c r="J12" s="76">
        <v>8.31</v>
      </c>
      <c r="K12" s="110" t="s">
        <v>45</v>
      </c>
      <c r="L12" s="91" t="s">
        <v>45</v>
      </c>
      <c r="M12" s="95" t="s">
        <v>45</v>
      </c>
      <c r="N12" s="86">
        <f t="shared" si="1"/>
        <v>8.19</v>
      </c>
      <c r="O12" s="99" t="s">
        <v>48</v>
      </c>
      <c r="P12" s="97" t="s">
        <v>49</v>
      </c>
      <c r="Q12" s="116" t="s">
        <v>74</v>
      </c>
      <c r="R12" s="123">
        <f>LARGE(N8:N47,4)</f>
        <v>9.62</v>
      </c>
    </row>
    <row r="13" ht="15.0" customHeight="1">
      <c r="A13" s="124">
        <v>6.0</v>
      </c>
      <c r="B13" s="61" t="s">
        <v>77</v>
      </c>
      <c r="C13" s="64"/>
      <c r="D13" s="63">
        <v>8.25</v>
      </c>
      <c r="E13" s="66">
        <v>8.63</v>
      </c>
      <c r="F13" s="125">
        <v>7.05</v>
      </c>
      <c r="G13" s="104">
        <v>8.19</v>
      </c>
      <c r="H13" s="105">
        <v>7.68</v>
      </c>
      <c r="I13" s="108">
        <v>8.15</v>
      </c>
      <c r="J13" s="76">
        <v>8.3</v>
      </c>
      <c r="K13" s="110" t="s">
        <v>46</v>
      </c>
      <c r="L13" s="91" t="s">
        <v>45</v>
      </c>
      <c r="M13" s="95" t="s">
        <v>45</v>
      </c>
      <c r="N13" s="86">
        <f t="shared" si="1"/>
        <v>8.03</v>
      </c>
      <c r="O13" s="99" t="s">
        <v>83</v>
      </c>
      <c r="P13" s="97" t="s">
        <v>49</v>
      </c>
      <c r="Q13" s="127"/>
    </row>
    <row r="14" ht="15.0" customHeight="1">
      <c r="A14" s="56">
        <v>7.0</v>
      </c>
      <c r="B14" s="61" t="s">
        <v>86</v>
      </c>
      <c r="C14" s="64"/>
      <c r="D14" s="63">
        <v>8.09</v>
      </c>
      <c r="E14" s="66">
        <v>7.79</v>
      </c>
      <c r="F14" s="68">
        <v>7.35</v>
      </c>
      <c r="G14" s="104">
        <v>8.21</v>
      </c>
      <c r="H14" s="105">
        <v>7.43</v>
      </c>
      <c r="I14" s="108">
        <v>8.03</v>
      </c>
      <c r="J14" s="76">
        <v>8.85</v>
      </c>
      <c r="K14" s="110" t="s">
        <v>50</v>
      </c>
      <c r="L14" s="91" t="s">
        <v>45</v>
      </c>
      <c r="M14" s="95" t="s">
        <v>45</v>
      </c>
      <c r="N14" s="86">
        <f t="shared" si="1"/>
        <v>7.96</v>
      </c>
      <c r="O14" s="99" t="s">
        <v>48</v>
      </c>
      <c r="P14" s="97" t="s">
        <v>49</v>
      </c>
      <c r="Q14" s="127"/>
    </row>
    <row r="15" ht="15.0" customHeight="1">
      <c r="A15" s="56">
        <v>8.0</v>
      </c>
      <c r="B15" s="61" t="s">
        <v>89</v>
      </c>
      <c r="C15" s="64"/>
      <c r="D15" s="63">
        <v>9.85</v>
      </c>
      <c r="E15" s="66">
        <v>9.88</v>
      </c>
      <c r="F15" s="68">
        <v>9.72</v>
      </c>
      <c r="G15" s="104">
        <v>9.92</v>
      </c>
      <c r="H15" s="105">
        <v>9.84</v>
      </c>
      <c r="I15" s="108">
        <v>9.93</v>
      </c>
      <c r="J15" s="76">
        <v>9.99</v>
      </c>
      <c r="K15" s="110" t="s">
        <v>45</v>
      </c>
      <c r="L15" s="91" t="s">
        <v>47</v>
      </c>
      <c r="M15" s="95" t="s">
        <v>47</v>
      </c>
      <c r="N15" s="86">
        <f t="shared" si="1"/>
        <v>9.87</v>
      </c>
      <c r="O15" s="99" t="s">
        <v>48</v>
      </c>
      <c r="P15" s="97" t="s">
        <v>49</v>
      </c>
    </row>
    <row r="16" ht="15.0" customHeight="1">
      <c r="A16" s="56">
        <v>9.0</v>
      </c>
      <c r="B16" s="61" t="s">
        <v>91</v>
      </c>
      <c r="C16" s="64"/>
      <c r="D16" s="63">
        <v>8.35</v>
      </c>
      <c r="E16" s="66">
        <v>8.27</v>
      </c>
      <c r="F16" s="68">
        <v>7.11</v>
      </c>
      <c r="G16" s="104">
        <v>7.83</v>
      </c>
      <c r="H16" s="105">
        <v>7.7</v>
      </c>
      <c r="I16" s="108">
        <v>7.67</v>
      </c>
      <c r="J16" s="76">
        <v>8.58</v>
      </c>
      <c r="K16" s="110" t="s">
        <v>50</v>
      </c>
      <c r="L16" s="91" t="s">
        <v>45</v>
      </c>
      <c r="M16" s="95" t="s">
        <v>50</v>
      </c>
      <c r="N16" s="86">
        <f t="shared" si="1"/>
        <v>7.93</v>
      </c>
      <c r="O16" s="99" t="s">
        <v>48</v>
      </c>
      <c r="P16" s="97" t="s">
        <v>49</v>
      </c>
    </row>
    <row r="17" ht="15.0" customHeight="1">
      <c r="A17" s="56">
        <v>10.0</v>
      </c>
      <c r="B17" s="61" t="s">
        <v>92</v>
      </c>
      <c r="C17" s="64"/>
      <c r="D17" s="63">
        <v>9.41</v>
      </c>
      <c r="E17" s="66">
        <v>9.72</v>
      </c>
      <c r="F17" s="68">
        <v>9.17</v>
      </c>
      <c r="G17" s="104">
        <v>9.76</v>
      </c>
      <c r="H17" s="105">
        <v>9.67</v>
      </c>
      <c r="I17" s="108">
        <v>9.64</v>
      </c>
      <c r="J17" s="76">
        <v>9.98</v>
      </c>
      <c r="K17" s="110" t="s">
        <v>45</v>
      </c>
      <c r="L17" s="91" t="s">
        <v>47</v>
      </c>
      <c r="M17" s="95" t="s">
        <v>47</v>
      </c>
      <c r="N17" s="86">
        <f t="shared" si="1"/>
        <v>9.62</v>
      </c>
      <c r="O17" s="99" t="s">
        <v>48</v>
      </c>
      <c r="P17" s="97" t="s">
        <v>49</v>
      </c>
    </row>
    <row r="18" ht="15.0" customHeight="1">
      <c r="A18" s="56">
        <v>11.0</v>
      </c>
      <c r="B18" s="61" t="s">
        <v>96</v>
      </c>
      <c r="C18" s="64"/>
      <c r="D18" s="63">
        <v>8.88</v>
      </c>
      <c r="E18" s="66">
        <v>8.73</v>
      </c>
      <c r="F18" s="68">
        <v>8.39</v>
      </c>
      <c r="G18" s="104">
        <v>9.06</v>
      </c>
      <c r="H18" s="105">
        <v>8.06</v>
      </c>
      <c r="I18" s="108">
        <v>9.11</v>
      </c>
      <c r="J18" s="76">
        <v>8.47</v>
      </c>
      <c r="K18" s="110" t="s">
        <v>45</v>
      </c>
      <c r="L18" s="91" t="s">
        <v>47</v>
      </c>
      <c r="M18" s="95" t="s">
        <v>45</v>
      </c>
      <c r="N18" s="86">
        <f t="shared" si="1"/>
        <v>8.67</v>
      </c>
      <c r="O18" s="99" t="s">
        <v>48</v>
      </c>
      <c r="P18" s="97" t="s">
        <v>49</v>
      </c>
    </row>
    <row r="19" ht="15.0" customHeight="1">
      <c r="A19" s="56">
        <v>12.0</v>
      </c>
      <c r="B19" s="61" t="s">
        <v>101</v>
      </c>
      <c r="C19" s="64"/>
      <c r="D19" s="63">
        <v>8.04</v>
      </c>
      <c r="E19" s="66">
        <v>7.83</v>
      </c>
      <c r="F19" s="68">
        <v>7.54</v>
      </c>
      <c r="G19" s="104">
        <v>8.22</v>
      </c>
      <c r="H19" s="72">
        <v>7.95</v>
      </c>
      <c r="I19" s="108">
        <v>8.1</v>
      </c>
      <c r="J19" s="76">
        <v>9.13</v>
      </c>
      <c r="K19" s="110" t="s">
        <v>45</v>
      </c>
      <c r="L19" s="91" t="s">
        <v>45</v>
      </c>
      <c r="M19" s="95" t="s">
        <v>45</v>
      </c>
      <c r="N19" s="86">
        <f t="shared" si="1"/>
        <v>8.11</v>
      </c>
      <c r="O19" s="99" t="s">
        <v>48</v>
      </c>
      <c r="P19" s="97" t="s">
        <v>49</v>
      </c>
    </row>
    <row r="20" ht="15.0" customHeight="1">
      <c r="A20" s="56">
        <v>13.0</v>
      </c>
      <c r="B20" s="61" t="s">
        <v>108</v>
      </c>
      <c r="C20" s="64"/>
      <c r="D20" s="63">
        <v>9.3</v>
      </c>
      <c r="E20" s="66">
        <v>9.57</v>
      </c>
      <c r="F20" s="68">
        <v>9.01</v>
      </c>
      <c r="G20" s="104">
        <v>9.26</v>
      </c>
      <c r="H20" s="107">
        <v>9.32</v>
      </c>
      <c r="I20" s="108">
        <v>9.42</v>
      </c>
      <c r="J20" s="76">
        <v>9.89</v>
      </c>
      <c r="K20" s="110" t="s">
        <v>47</v>
      </c>
      <c r="L20" s="91" t="s">
        <v>47</v>
      </c>
      <c r="M20" s="95" t="s">
        <v>47</v>
      </c>
      <c r="N20" s="86">
        <f t="shared" si="1"/>
        <v>9.39</v>
      </c>
      <c r="O20" s="99" t="s">
        <v>48</v>
      </c>
      <c r="P20" s="97" t="s">
        <v>49</v>
      </c>
    </row>
    <row r="21" ht="15.0" customHeight="1">
      <c r="A21" s="56">
        <v>14.0</v>
      </c>
      <c r="B21" s="61" t="s">
        <v>113</v>
      </c>
      <c r="C21" s="64"/>
      <c r="D21" s="63">
        <v>8.89</v>
      </c>
      <c r="E21" s="66">
        <v>8.95</v>
      </c>
      <c r="F21" s="68">
        <v>7.9</v>
      </c>
      <c r="G21" s="104">
        <v>8.49</v>
      </c>
      <c r="H21" s="107">
        <v>8.31</v>
      </c>
      <c r="I21" s="108">
        <v>8.63</v>
      </c>
      <c r="J21" s="76">
        <v>8.97</v>
      </c>
      <c r="K21" s="110" t="s">
        <v>45</v>
      </c>
      <c r="L21" s="91" t="s">
        <v>45</v>
      </c>
      <c r="M21" s="95" t="s">
        <v>45</v>
      </c>
      <c r="N21" s="86">
        <f t="shared" si="1"/>
        <v>8.59</v>
      </c>
      <c r="O21" s="99" t="s">
        <v>48</v>
      </c>
      <c r="P21" s="97" t="s">
        <v>49</v>
      </c>
    </row>
    <row r="22" ht="15.0" customHeight="1">
      <c r="A22" s="56">
        <v>15.0</v>
      </c>
      <c r="B22" s="61" t="s">
        <v>118</v>
      </c>
      <c r="C22" s="64"/>
      <c r="D22" s="63">
        <v>7.52</v>
      </c>
      <c r="E22" s="66">
        <v>7.73</v>
      </c>
      <c r="F22" s="68">
        <v>7.0</v>
      </c>
      <c r="G22" s="104">
        <v>7.0</v>
      </c>
      <c r="H22" s="107">
        <v>7.0</v>
      </c>
      <c r="I22" s="108">
        <v>7.8</v>
      </c>
      <c r="J22" s="76">
        <v>7.0</v>
      </c>
      <c r="K22" s="110" t="s">
        <v>50</v>
      </c>
      <c r="L22" s="91" t="s">
        <v>46</v>
      </c>
      <c r="M22" s="95" t="s">
        <v>123</v>
      </c>
      <c r="N22" s="86">
        <f t="shared" si="1"/>
        <v>7.29</v>
      </c>
      <c r="O22" s="99" t="s">
        <v>83</v>
      </c>
      <c r="P22" s="132" t="s">
        <v>125</v>
      </c>
    </row>
    <row r="23" ht="15.0" customHeight="1">
      <c r="A23" s="56">
        <v>16.0</v>
      </c>
      <c r="B23" s="61" t="s">
        <v>126</v>
      </c>
      <c r="C23" s="64"/>
      <c r="D23" s="63">
        <v>8.9</v>
      </c>
      <c r="E23" s="66">
        <v>8.83</v>
      </c>
      <c r="F23" s="68">
        <v>8.15</v>
      </c>
      <c r="G23" s="104">
        <v>8.31</v>
      </c>
      <c r="H23" s="107">
        <v>8.49</v>
      </c>
      <c r="I23" s="108">
        <v>8.22</v>
      </c>
      <c r="J23" s="76">
        <v>8.59</v>
      </c>
      <c r="K23" s="110" t="s">
        <v>45</v>
      </c>
      <c r="L23" s="91" t="s">
        <v>45</v>
      </c>
      <c r="M23" s="95" t="s">
        <v>45</v>
      </c>
      <c r="N23" s="86">
        <f t="shared" si="1"/>
        <v>8.49</v>
      </c>
      <c r="O23" s="99" t="s">
        <v>48</v>
      </c>
      <c r="P23" s="97" t="s">
        <v>49</v>
      </c>
    </row>
    <row r="24" ht="15.0" customHeight="1">
      <c r="A24" s="56">
        <v>17.0</v>
      </c>
      <c r="B24" s="61" t="s">
        <v>131</v>
      </c>
      <c r="C24" s="64"/>
      <c r="D24" s="63">
        <v>9.7</v>
      </c>
      <c r="E24" s="66">
        <v>9.8</v>
      </c>
      <c r="F24" s="68">
        <v>9.99</v>
      </c>
      <c r="G24" s="104">
        <v>9.81</v>
      </c>
      <c r="H24" s="107">
        <v>9.96</v>
      </c>
      <c r="I24" s="108">
        <v>9.99</v>
      </c>
      <c r="J24" s="76">
        <v>9.99</v>
      </c>
      <c r="K24" s="110" t="s">
        <v>47</v>
      </c>
      <c r="L24" s="91" t="s">
        <v>47</v>
      </c>
      <c r="M24" s="95" t="s">
        <v>47</v>
      </c>
      <c r="N24" s="86">
        <f t="shared" si="1"/>
        <v>9.89</v>
      </c>
      <c r="O24" s="99" t="s">
        <v>48</v>
      </c>
      <c r="P24" s="97" t="s">
        <v>49</v>
      </c>
    </row>
    <row r="25" ht="15.0" customHeight="1">
      <c r="A25" s="56">
        <v>18.0</v>
      </c>
      <c r="B25" s="61" t="s">
        <v>136</v>
      </c>
      <c r="C25" s="64"/>
      <c r="D25" s="63">
        <v>7.4</v>
      </c>
      <c r="E25" s="66">
        <v>7.0</v>
      </c>
      <c r="F25" s="68">
        <v>7.0</v>
      </c>
      <c r="G25" s="104">
        <v>7.0</v>
      </c>
      <c r="H25" s="105">
        <v>7.28</v>
      </c>
      <c r="I25" s="108">
        <v>7.43</v>
      </c>
      <c r="J25" s="76">
        <v>7.94</v>
      </c>
      <c r="K25" s="110" t="s">
        <v>50</v>
      </c>
      <c r="L25" s="91" t="s">
        <v>50</v>
      </c>
      <c r="M25" s="95" t="s">
        <v>50</v>
      </c>
      <c r="N25" s="86">
        <f t="shared" si="1"/>
        <v>7.29</v>
      </c>
      <c r="O25" s="99" t="s">
        <v>83</v>
      </c>
      <c r="P25" s="132" t="s">
        <v>125</v>
      </c>
    </row>
    <row r="26" ht="15.0" customHeight="1">
      <c r="A26" s="56">
        <v>19.0</v>
      </c>
      <c r="B26" s="61" t="s">
        <v>143</v>
      </c>
      <c r="C26" s="64"/>
      <c r="D26" s="63">
        <v>9.0</v>
      </c>
      <c r="E26" s="66">
        <v>9.05</v>
      </c>
      <c r="F26" s="68">
        <v>8.56</v>
      </c>
      <c r="G26" s="104">
        <v>8.89</v>
      </c>
      <c r="H26" s="120">
        <v>8.93</v>
      </c>
      <c r="I26" s="108">
        <v>8.73</v>
      </c>
      <c r="J26" s="76">
        <v>9.43</v>
      </c>
      <c r="K26" s="110" t="s">
        <v>45</v>
      </c>
      <c r="L26" s="91" t="s">
        <v>47</v>
      </c>
      <c r="M26" s="95" t="s">
        <v>47</v>
      </c>
      <c r="N26" s="86">
        <f t="shared" si="1"/>
        <v>8.94</v>
      </c>
      <c r="O26" s="99" t="s">
        <v>48</v>
      </c>
      <c r="P26" s="97" t="s">
        <v>49</v>
      </c>
    </row>
    <row r="27" ht="15.0" customHeight="1">
      <c r="A27" s="56">
        <v>20.0</v>
      </c>
      <c r="B27" s="61" t="s">
        <v>149</v>
      </c>
      <c r="C27" s="64"/>
      <c r="D27" s="63">
        <v>8.5</v>
      </c>
      <c r="E27" s="66">
        <v>8.73</v>
      </c>
      <c r="F27" s="68">
        <v>8.16</v>
      </c>
      <c r="G27" s="104">
        <v>8.48</v>
      </c>
      <c r="H27" s="107">
        <v>8.17</v>
      </c>
      <c r="I27" s="108">
        <v>8.15</v>
      </c>
      <c r="J27" s="76">
        <v>9.53</v>
      </c>
      <c r="K27" s="110" t="s">
        <v>50</v>
      </c>
      <c r="L27" s="91" t="s">
        <v>45</v>
      </c>
      <c r="M27" s="95" t="s">
        <v>47</v>
      </c>
      <c r="N27" s="86">
        <f t="shared" si="1"/>
        <v>8.53</v>
      </c>
      <c r="O27" s="99" t="s">
        <v>48</v>
      </c>
      <c r="P27" s="97" t="s">
        <v>49</v>
      </c>
    </row>
    <row r="28" ht="15.0" customHeight="1">
      <c r="A28" s="56">
        <v>21.0</v>
      </c>
      <c r="B28" s="61" t="s">
        <v>154</v>
      </c>
      <c r="C28" s="64"/>
      <c r="D28" s="63">
        <v>7.54</v>
      </c>
      <c r="E28" s="66">
        <v>7.02</v>
      </c>
      <c r="F28" s="68">
        <v>7.01</v>
      </c>
      <c r="G28" s="104">
        <v>7.33</v>
      </c>
      <c r="H28" s="134">
        <v>7.25</v>
      </c>
      <c r="I28" s="108">
        <v>7.9</v>
      </c>
      <c r="J28" s="76">
        <v>8.48</v>
      </c>
      <c r="K28" s="110" t="s">
        <v>50</v>
      </c>
      <c r="L28" s="91" t="s">
        <v>50</v>
      </c>
      <c r="M28" s="95" t="s">
        <v>45</v>
      </c>
      <c r="N28" s="86">
        <f t="shared" si="1"/>
        <v>7.5</v>
      </c>
      <c r="O28" s="99" t="s">
        <v>48</v>
      </c>
      <c r="P28" s="97" t="s">
        <v>49</v>
      </c>
    </row>
    <row r="29" ht="13.5" customHeight="1">
      <c r="A29" s="56">
        <v>22.0</v>
      </c>
      <c r="B29" s="61" t="s">
        <v>159</v>
      </c>
      <c r="C29" s="64"/>
      <c r="D29" s="63">
        <v>9.15</v>
      </c>
      <c r="E29" s="66">
        <v>9.21</v>
      </c>
      <c r="F29" s="68">
        <v>9.25</v>
      </c>
      <c r="G29" s="104">
        <v>8.63</v>
      </c>
      <c r="H29" s="134">
        <v>8.97</v>
      </c>
      <c r="I29" s="108">
        <v>8.78</v>
      </c>
      <c r="J29" s="76">
        <v>8.89</v>
      </c>
      <c r="K29" s="110" t="s">
        <v>50</v>
      </c>
      <c r="L29" s="91" t="s">
        <v>45</v>
      </c>
      <c r="M29" s="95" t="s">
        <v>45</v>
      </c>
      <c r="N29" s="86">
        <f t="shared" si="1"/>
        <v>8.98</v>
      </c>
      <c r="O29" s="99" t="s">
        <v>48</v>
      </c>
      <c r="P29" s="97" t="s">
        <v>49</v>
      </c>
    </row>
    <row r="30" ht="15.0" customHeight="1">
      <c r="A30" s="56">
        <v>23.0</v>
      </c>
      <c r="B30" s="61" t="s">
        <v>164</v>
      </c>
      <c r="C30" s="64"/>
      <c r="D30" s="63">
        <v>7.75</v>
      </c>
      <c r="E30" s="66">
        <v>7.45</v>
      </c>
      <c r="F30" s="68">
        <v>7.36</v>
      </c>
      <c r="G30" s="104">
        <v>7.91</v>
      </c>
      <c r="H30" s="107">
        <v>7.32</v>
      </c>
      <c r="I30" s="136">
        <v>7.5</v>
      </c>
      <c r="J30" s="76">
        <v>8.59</v>
      </c>
      <c r="K30" s="110" t="s">
        <v>50</v>
      </c>
      <c r="L30" s="91" t="s">
        <v>45</v>
      </c>
      <c r="M30" s="95" t="s">
        <v>45</v>
      </c>
      <c r="N30" s="86">
        <f t="shared" si="1"/>
        <v>7.69</v>
      </c>
      <c r="O30" s="99" t="s">
        <v>48</v>
      </c>
      <c r="P30" s="97" t="s">
        <v>49</v>
      </c>
    </row>
    <row r="31" ht="13.5" customHeight="1">
      <c r="A31" s="56">
        <v>24.0</v>
      </c>
      <c r="B31" s="61" t="s">
        <v>169</v>
      </c>
      <c r="C31" s="64"/>
      <c r="D31" s="63">
        <v>7.7</v>
      </c>
      <c r="E31" s="66">
        <v>7.54</v>
      </c>
      <c r="F31" s="68">
        <v>7.0</v>
      </c>
      <c r="G31" s="104">
        <v>7.57</v>
      </c>
      <c r="H31" s="107">
        <v>7.09</v>
      </c>
      <c r="I31" s="136">
        <v>7.62</v>
      </c>
      <c r="J31" s="76">
        <v>7.38</v>
      </c>
      <c r="K31" s="110" t="s">
        <v>50</v>
      </c>
      <c r="L31" s="91" t="s">
        <v>50</v>
      </c>
      <c r="M31" s="95" t="s">
        <v>50</v>
      </c>
      <c r="N31" s="86">
        <f t="shared" si="1"/>
        <v>7.41</v>
      </c>
      <c r="O31" s="99" t="s">
        <v>52</v>
      </c>
      <c r="P31" s="97" t="s">
        <v>49</v>
      </c>
    </row>
    <row r="32" ht="15.0" customHeight="1">
      <c r="A32" s="56">
        <v>25.0</v>
      </c>
      <c r="B32" s="61" t="s">
        <v>174</v>
      </c>
      <c r="C32" s="64"/>
      <c r="D32" s="63">
        <v>8.99</v>
      </c>
      <c r="E32" s="66">
        <v>8.76</v>
      </c>
      <c r="F32" s="68">
        <v>8.54</v>
      </c>
      <c r="G32" s="104">
        <v>8.98</v>
      </c>
      <c r="H32" s="134">
        <v>8.57</v>
      </c>
      <c r="I32" s="136">
        <v>8.57</v>
      </c>
      <c r="J32" s="76">
        <v>9.33</v>
      </c>
      <c r="K32" s="110" t="s">
        <v>47</v>
      </c>
      <c r="L32" s="91" t="s">
        <v>47</v>
      </c>
      <c r="M32" s="95" t="s">
        <v>47</v>
      </c>
      <c r="N32" s="86">
        <f t="shared" si="1"/>
        <v>8.82</v>
      </c>
      <c r="O32" s="99" t="s">
        <v>48</v>
      </c>
      <c r="P32" s="97" t="s">
        <v>49</v>
      </c>
    </row>
    <row r="33" ht="15.0" customHeight="1">
      <c r="A33" s="56">
        <v>26.0</v>
      </c>
      <c r="B33" s="61" t="s">
        <v>177</v>
      </c>
      <c r="C33" s="64"/>
      <c r="D33" s="63">
        <v>8.53</v>
      </c>
      <c r="E33" s="66">
        <v>7.82</v>
      </c>
      <c r="F33" s="68">
        <v>7.22</v>
      </c>
      <c r="G33" s="104">
        <v>7.07</v>
      </c>
      <c r="H33" s="107">
        <v>9.36</v>
      </c>
      <c r="I33" s="136">
        <v>8.57</v>
      </c>
      <c r="J33" s="76">
        <v>9.34</v>
      </c>
      <c r="K33" s="110" t="s">
        <v>50</v>
      </c>
      <c r="L33" s="91" t="s">
        <v>45</v>
      </c>
      <c r="M33" s="95" t="s">
        <v>47</v>
      </c>
      <c r="N33" s="86">
        <f t="shared" si="1"/>
        <v>8.27</v>
      </c>
      <c r="O33" s="99" t="s">
        <v>48</v>
      </c>
      <c r="P33" s="97" t="s">
        <v>49</v>
      </c>
    </row>
    <row r="34" ht="15.0" customHeight="1">
      <c r="A34" s="56">
        <v>27.0</v>
      </c>
      <c r="B34" s="61" t="s">
        <v>182</v>
      </c>
      <c r="C34" s="64"/>
      <c r="D34" s="63">
        <v>7.54</v>
      </c>
      <c r="E34" s="66">
        <v>7.0</v>
      </c>
      <c r="F34" s="68">
        <v>7.0</v>
      </c>
      <c r="G34" s="104">
        <v>7.0</v>
      </c>
      <c r="H34" s="107">
        <v>7.08</v>
      </c>
      <c r="I34" s="136">
        <v>7.22</v>
      </c>
      <c r="J34" s="76">
        <v>8.55</v>
      </c>
      <c r="K34" s="110" t="s">
        <v>50</v>
      </c>
      <c r="L34" s="91" t="s">
        <v>50</v>
      </c>
      <c r="M34" s="95" t="s">
        <v>45</v>
      </c>
      <c r="N34" s="86">
        <f t="shared" si="1"/>
        <v>7.34</v>
      </c>
      <c r="O34" s="99" t="s">
        <v>48</v>
      </c>
      <c r="P34" s="97" t="s">
        <v>49</v>
      </c>
    </row>
    <row r="35" ht="15.0" customHeight="1">
      <c r="A35" s="56">
        <v>28.0</v>
      </c>
      <c r="B35" s="61" t="s">
        <v>188</v>
      </c>
      <c r="C35" s="64"/>
      <c r="D35" s="63">
        <v>8.35</v>
      </c>
      <c r="E35" s="66">
        <v>7.62</v>
      </c>
      <c r="F35" s="68">
        <v>8.1</v>
      </c>
      <c r="G35" s="104">
        <v>8.04</v>
      </c>
      <c r="H35" s="107">
        <v>8.05</v>
      </c>
      <c r="I35" s="136">
        <v>8.37</v>
      </c>
      <c r="J35" s="76">
        <v>8.52</v>
      </c>
      <c r="K35" s="110" t="s">
        <v>45</v>
      </c>
      <c r="L35" s="91" t="s">
        <v>45</v>
      </c>
      <c r="M35" s="95" t="s">
        <v>45</v>
      </c>
      <c r="N35" s="86">
        <f t="shared" si="1"/>
        <v>8.15</v>
      </c>
      <c r="O35" s="99" t="s">
        <v>48</v>
      </c>
      <c r="P35" s="97" t="s">
        <v>49</v>
      </c>
    </row>
    <row r="36" ht="15.0" customHeight="1">
      <c r="A36" s="56">
        <v>29.0</v>
      </c>
      <c r="B36" s="61" t="s">
        <v>191</v>
      </c>
      <c r="C36" s="64"/>
      <c r="D36" s="63">
        <v>8.73</v>
      </c>
      <c r="E36" s="66">
        <v>8.39</v>
      </c>
      <c r="F36" s="68">
        <v>8.37</v>
      </c>
      <c r="G36" s="104">
        <v>8.82</v>
      </c>
      <c r="H36" s="107">
        <v>8.0</v>
      </c>
      <c r="I36" s="136">
        <v>8.12</v>
      </c>
      <c r="J36" s="76">
        <v>8.9</v>
      </c>
      <c r="K36" s="110" t="s">
        <v>45</v>
      </c>
      <c r="L36" s="91" t="s">
        <v>45</v>
      </c>
      <c r="M36" s="95" t="s">
        <v>45</v>
      </c>
      <c r="N36" s="86">
        <f t="shared" si="1"/>
        <v>8.47</v>
      </c>
      <c r="O36" s="99" t="s">
        <v>48</v>
      </c>
      <c r="P36" s="97" t="s">
        <v>49</v>
      </c>
    </row>
    <row r="37" ht="15.0" customHeight="1">
      <c r="A37" s="56">
        <v>30.0</v>
      </c>
      <c r="B37" s="61" t="s">
        <v>194</v>
      </c>
      <c r="C37" s="64"/>
      <c r="D37" s="63">
        <v>9.89</v>
      </c>
      <c r="E37" s="66">
        <v>9.83</v>
      </c>
      <c r="F37" s="68">
        <v>9.79</v>
      </c>
      <c r="G37" s="104">
        <v>9.95</v>
      </c>
      <c r="H37" s="107">
        <v>9.81</v>
      </c>
      <c r="I37" s="136">
        <v>10.0</v>
      </c>
      <c r="J37" s="76">
        <v>10.0</v>
      </c>
      <c r="K37" s="110" t="s">
        <v>47</v>
      </c>
      <c r="L37" s="91" t="s">
        <v>47</v>
      </c>
      <c r="M37" s="95" t="s">
        <v>47</v>
      </c>
      <c r="N37" s="86">
        <f t="shared" si="1"/>
        <v>9.89</v>
      </c>
      <c r="O37" s="99" t="s">
        <v>48</v>
      </c>
      <c r="P37" s="97" t="s">
        <v>49</v>
      </c>
    </row>
    <row r="38" ht="15.0" customHeight="1">
      <c r="A38" s="56">
        <v>31.0</v>
      </c>
      <c r="B38" s="61" t="s">
        <v>198</v>
      </c>
      <c r="C38" s="64"/>
      <c r="D38" s="63">
        <v>8.16</v>
      </c>
      <c r="E38" s="66">
        <v>8.04</v>
      </c>
      <c r="F38" s="68">
        <v>7.17</v>
      </c>
      <c r="G38" s="104">
        <v>8.2</v>
      </c>
      <c r="H38" s="107">
        <v>7.68</v>
      </c>
      <c r="I38" s="136">
        <v>8.11</v>
      </c>
      <c r="J38" s="139">
        <v>8.98</v>
      </c>
      <c r="K38" s="110" t="s">
        <v>45</v>
      </c>
      <c r="L38" s="91" t="s">
        <v>45</v>
      </c>
      <c r="M38" s="95" t="s">
        <v>45</v>
      </c>
      <c r="N38" s="86">
        <f t="shared" si="1"/>
        <v>8.04</v>
      </c>
      <c r="O38" s="99" t="s">
        <v>48</v>
      </c>
      <c r="P38" s="97" t="s">
        <v>49</v>
      </c>
    </row>
    <row r="39" ht="15.0" customHeight="1">
      <c r="A39" s="56">
        <v>32.0</v>
      </c>
      <c r="B39" s="61" t="s">
        <v>202</v>
      </c>
      <c r="C39" s="64"/>
      <c r="D39" s="63">
        <v>9.4</v>
      </c>
      <c r="E39" s="66">
        <v>8.84</v>
      </c>
      <c r="F39" s="68">
        <v>8.86</v>
      </c>
      <c r="G39" s="104">
        <v>9.29</v>
      </c>
      <c r="H39" s="107">
        <v>9.41</v>
      </c>
      <c r="I39" s="136">
        <v>9.27</v>
      </c>
      <c r="J39" s="76">
        <v>9.98</v>
      </c>
      <c r="K39" s="110" t="s">
        <v>47</v>
      </c>
      <c r="L39" s="91" t="s">
        <v>47</v>
      </c>
      <c r="M39" s="95" t="s">
        <v>47</v>
      </c>
      <c r="N39" s="86">
        <f t="shared" si="1"/>
        <v>9.29</v>
      </c>
      <c r="O39" s="99" t="s">
        <v>48</v>
      </c>
      <c r="P39" s="97" t="s">
        <v>49</v>
      </c>
    </row>
    <row r="40" ht="15.0" customHeight="1">
      <c r="A40" s="56">
        <v>33.0</v>
      </c>
      <c r="B40" s="61" t="s">
        <v>207</v>
      </c>
      <c r="C40" s="64"/>
      <c r="D40" s="63">
        <v>7.85</v>
      </c>
      <c r="E40" s="66">
        <v>7.22</v>
      </c>
      <c r="F40" s="68">
        <v>7.28</v>
      </c>
      <c r="G40" s="104">
        <v>7.65</v>
      </c>
      <c r="H40" s="107">
        <v>7.36</v>
      </c>
      <c r="I40" s="136">
        <v>7.75</v>
      </c>
      <c r="J40" s="76">
        <v>8.24</v>
      </c>
      <c r="K40" s="110" t="s">
        <v>50</v>
      </c>
      <c r="L40" s="91" t="s">
        <v>50</v>
      </c>
      <c r="M40" s="95" t="s">
        <v>45</v>
      </c>
      <c r="N40" s="86">
        <f t="shared" si="1"/>
        <v>7.62</v>
      </c>
      <c r="O40" s="99" t="s">
        <v>48</v>
      </c>
      <c r="P40" s="97" t="s">
        <v>49</v>
      </c>
    </row>
    <row r="41" ht="15.0" customHeight="1">
      <c r="A41" s="56">
        <v>34.0</v>
      </c>
      <c r="B41" s="61" t="s">
        <v>214</v>
      </c>
      <c r="C41" s="64"/>
      <c r="D41" s="63">
        <v>8.87</v>
      </c>
      <c r="E41" s="66">
        <v>8.98</v>
      </c>
      <c r="F41" s="68">
        <v>7.85</v>
      </c>
      <c r="G41" s="104">
        <v>9.38</v>
      </c>
      <c r="H41" s="107">
        <v>8.84</v>
      </c>
      <c r="I41" s="136">
        <v>8.12</v>
      </c>
      <c r="J41" s="76">
        <v>9.13</v>
      </c>
      <c r="K41" s="110" t="s">
        <v>45</v>
      </c>
      <c r="L41" s="91" t="s">
        <v>45</v>
      </c>
      <c r="M41" s="95" t="s">
        <v>47</v>
      </c>
      <c r="N41" s="86">
        <f t="shared" si="1"/>
        <v>8.73</v>
      </c>
      <c r="O41" s="99" t="s">
        <v>48</v>
      </c>
      <c r="P41" s="97" t="s">
        <v>49</v>
      </c>
    </row>
    <row r="42" ht="13.5" customHeight="1">
      <c r="A42" s="56">
        <v>35.0</v>
      </c>
      <c r="B42" s="61" t="s">
        <v>216</v>
      </c>
      <c r="C42" s="64"/>
      <c r="D42" s="63">
        <v>9.51</v>
      </c>
      <c r="E42" s="66">
        <v>9.46</v>
      </c>
      <c r="F42" s="68">
        <v>8.98</v>
      </c>
      <c r="G42" s="104">
        <v>9.73</v>
      </c>
      <c r="H42" s="107">
        <v>8.84</v>
      </c>
      <c r="I42" s="136">
        <v>9.18</v>
      </c>
      <c r="J42" s="76">
        <v>9.48</v>
      </c>
      <c r="K42" s="110" t="s">
        <v>47</v>
      </c>
      <c r="L42" s="91" t="s">
        <v>47</v>
      </c>
      <c r="M42" s="95" t="s">
        <v>47</v>
      </c>
      <c r="N42" s="86">
        <f t="shared" si="1"/>
        <v>9.31</v>
      </c>
      <c r="O42" s="99" t="s">
        <v>48</v>
      </c>
      <c r="P42" s="97" t="s">
        <v>49</v>
      </c>
    </row>
    <row r="43" ht="15.0" customHeight="1">
      <c r="A43" s="56">
        <v>36.0</v>
      </c>
      <c r="B43" s="61" t="s">
        <v>219</v>
      </c>
      <c r="C43" s="64"/>
      <c r="D43" s="63">
        <v>8.64</v>
      </c>
      <c r="E43" s="66">
        <v>8.18</v>
      </c>
      <c r="F43" s="68">
        <v>7.89</v>
      </c>
      <c r="G43" s="104">
        <v>7.82</v>
      </c>
      <c r="H43" s="134">
        <v>7.5</v>
      </c>
      <c r="I43" s="136">
        <v>8.51</v>
      </c>
      <c r="J43" s="76">
        <v>9.39</v>
      </c>
      <c r="K43" s="110" t="s">
        <v>50</v>
      </c>
      <c r="L43" s="91" t="s">
        <v>45</v>
      </c>
      <c r="M43" s="95" t="s">
        <v>47</v>
      </c>
      <c r="N43" s="86">
        <f t="shared" si="1"/>
        <v>8.27</v>
      </c>
      <c r="O43" s="99" t="s">
        <v>48</v>
      </c>
      <c r="P43" s="97" t="s">
        <v>49</v>
      </c>
    </row>
    <row r="44" ht="14.25" customHeight="1">
      <c r="A44" s="124">
        <v>37.0</v>
      </c>
      <c r="B44" s="61" t="s">
        <v>222</v>
      </c>
      <c r="C44" s="64"/>
      <c r="D44" s="63">
        <v>7.54</v>
      </c>
      <c r="E44" s="66">
        <v>7.01</v>
      </c>
      <c r="F44" s="68">
        <v>7.0</v>
      </c>
      <c r="G44" s="104">
        <v>7.0</v>
      </c>
      <c r="H44" s="107">
        <v>7.0</v>
      </c>
      <c r="I44" s="136">
        <v>7.53</v>
      </c>
      <c r="J44" s="76">
        <v>7.0</v>
      </c>
      <c r="K44" s="110" t="s">
        <v>46</v>
      </c>
      <c r="L44" s="91" t="s">
        <v>50</v>
      </c>
      <c r="M44" s="95" t="s">
        <v>50</v>
      </c>
      <c r="N44" s="86">
        <f t="shared" si="1"/>
        <v>7.15</v>
      </c>
      <c r="O44" s="99" t="s">
        <v>83</v>
      </c>
      <c r="P44" s="132" t="s">
        <v>125</v>
      </c>
    </row>
    <row r="45" ht="15.0" customHeight="1">
      <c r="A45" s="56">
        <v>38.0</v>
      </c>
      <c r="B45" s="61" t="s">
        <v>226</v>
      </c>
      <c r="C45" s="64"/>
      <c r="D45" s="63">
        <v>8.17</v>
      </c>
      <c r="E45" s="66">
        <v>7.39</v>
      </c>
      <c r="F45" s="68">
        <v>7.29</v>
      </c>
      <c r="G45" s="104">
        <v>7.47</v>
      </c>
      <c r="H45" s="107">
        <v>7.16</v>
      </c>
      <c r="I45" s="136">
        <v>7.76</v>
      </c>
      <c r="J45" s="76">
        <v>8.33</v>
      </c>
      <c r="K45" s="110" t="s">
        <v>50</v>
      </c>
      <c r="L45" s="91" t="s">
        <v>50</v>
      </c>
      <c r="M45" s="95" t="s">
        <v>46</v>
      </c>
      <c r="N45" s="86">
        <f t="shared" si="1"/>
        <v>7.65</v>
      </c>
      <c r="O45" s="99" t="s">
        <v>83</v>
      </c>
      <c r="P45" s="97" t="s">
        <v>49</v>
      </c>
    </row>
    <row r="46" ht="15.0" customHeight="1">
      <c r="A46" s="56">
        <v>39.0</v>
      </c>
      <c r="B46" s="61" t="s">
        <v>229</v>
      </c>
      <c r="C46" s="64"/>
      <c r="D46" s="63">
        <v>8.96</v>
      </c>
      <c r="E46" s="66">
        <v>9.01</v>
      </c>
      <c r="F46" s="68">
        <v>8.51</v>
      </c>
      <c r="G46" s="104">
        <v>8.2</v>
      </c>
      <c r="H46" s="107">
        <v>8.58</v>
      </c>
      <c r="I46" s="136">
        <v>8.63</v>
      </c>
      <c r="J46" s="76">
        <v>8.71</v>
      </c>
      <c r="K46" s="110" t="s">
        <v>45</v>
      </c>
      <c r="L46" s="91" t="s">
        <v>45</v>
      </c>
      <c r="M46" s="95" t="s">
        <v>45</v>
      </c>
      <c r="N46" s="86">
        <f t="shared" si="1"/>
        <v>8.65</v>
      </c>
      <c r="O46" s="99" t="s">
        <v>48</v>
      </c>
      <c r="P46" s="97" t="s">
        <v>49</v>
      </c>
    </row>
    <row r="47" ht="15.0" customHeight="1">
      <c r="A47" s="56">
        <v>40.0</v>
      </c>
      <c r="B47" s="61" t="s">
        <v>233</v>
      </c>
      <c r="C47" s="64"/>
      <c r="D47" s="63">
        <v>9.04</v>
      </c>
      <c r="E47" s="66">
        <v>9.21</v>
      </c>
      <c r="F47" s="68">
        <v>7.93</v>
      </c>
      <c r="G47" s="104">
        <v>8.92</v>
      </c>
      <c r="H47" s="107">
        <v>9.12</v>
      </c>
      <c r="I47" s="159">
        <v>8.8</v>
      </c>
      <c r="J47" s="76">
        <v>9.32</v>
      </c>
      <c r="K47" s="161" t="s">
        <v>45</v>
      </c>
      <c r="L47" s="91" t="s">
        <v>45</v>
      </c>
      <c r="M47" s="95" t="s">
        <v>45</v>
      </c>
      <c r="N47" s="86">
        <f t="shared" si="1"/>
        <v>8.9</v>
      </c>
      <c r="O47" s="88" t="s">
        <v>48</v>
      </c>
      <c r="P47" s="97" t="s">
        <v>49</v>
      </c>
    </row>
    <row r="48" ht="15.0" customHeight="1">
      <c r="A48" s="164">
        <v>40.0</v>
      </c>
      <c r="B48" s="144" t="s">
        <v>210</v>
      </c>
      <c r="C48" s="21"/>
      <c r="D48" s="145">
        <f t="shared" ref="D48:J48" si="2">AVERAGE(D10:D47)</f>
        <v>8.564736842</v>
      </c>
      <c r="E48" s="146">
        <f t="shared" si="2"/>
        <v>8.402894737</v>
      </c>
      <c r="F48" s="147">
        <f t="shared" si="2"/>
        <v>7.985789474</v>
      </c>
      <c r="G48" s="148">
        <f t="shared" si="2"/>
        <v>8.383421053</v>
      </c>
      <c r="H48" s="149">
        <f t="shared" si="2"/>
        <v>8.196842105</v>
      </c>
      <c r="I48" s="150">
        <f t="shared" si="2"/>
        <v>8.374473684</v>
      </c>
      <c r="J48" s="154">
        <f t="shared" si="2"/>
        <v>8.846842105</v>
      </c>
      <c r="K48" s="154"/>
      <c r="L48" s="168"/>
      <c r="M48" s="168"/>
      <c r="N48" s="154">
        <f>AVERAGE(N10:N47)</f>
        <v>8.389736842</v>
      </c>
      <c r="O48" s="169"/>
      <c r="P48" s="170"/>
      <c r="Q48" s="172"/>
    </row>
    <row r="49" ht="15.0" customHeight="1">
      <c r="A49" s="57"/>
      <c r="B49" s="212" t="str">
        <f t="shared" ref="B49:B50" si="3">IFERROR(IF(AND($C$4="OCTAVO A",$K$3="MATUTINA"),VLOOKUP(A49,OCTAVO_A_MAT,2,FALSE),IF(AND($C$4="OCTAVO B",$K$3="MATUTINA"),VLOOKUP(A49,OCTAVO_B_MAT,2,FALSE),IF(AND($C$4="NOVENO A",$K$3="MATUTINA"),VLOOKUP(A49,NOVENO_A_MAT,2,FALSE),IF(AND($C$4="NOVENO B",$K$3="MATUTINA"),VLOOKUP(A49,NOVENO_B_MAT,2,FALSE),IF(AND($C$4="DÉCIMO A",$K$3="MATUTINA"),VLOOKUP(A49,DECIMO_A_MAT,2,FALSE),IF(AND($C$4="DÉCIMO B",$K$3="MATUTINA"),VLOOKUP(A49,DECIMO_B_MAT,2,FALSE),IF(AND($C$4="OCTAVO A",$K$3="VESPERTINA"),VLOOKUP(A49,OCTAVO_A_VESP,2,FALSE),IF(AND($C$4="OCTAVO B",$K$3="VESPERTINA"),VLOOKUP(A49,OCTAVO_B_VESP,2,FALSE),IF(AND($C$4="NOVENO A",$K$3="VESPERTINA"),VLOOKUP(A49,NOVENO_A_VESP,2,FALSE),IF(AND($C$4="NOVENO B",$K$3="VESPERTINA"),VLOOKUP(A49,NOVENO_B_VESP,2,FALSE),IF(AND($C$4="DÉCIMO A",$K$3="VESPERTINA"),VLOOKUP(A49,DECIMO_A_VESP,2,FALSE),IF(AND($C$4="DÉCIMO B",$K$3="VESPERTINA"),VLOOKUP(A49,DECIMO_B_VESP,2,FALSE),IF(AND($C$4="QUINTO A",$K$3="MATUTINA"),VLOOKUP(A49,QUINTO_A_MAT,2,FALSE),IF(AND($C$4="QUINTO B",$K$3="MATUTINA"),VLOOKUP(A49,QUINTO_B_MAT,2,FALSE),IF(AND($C$4="SEXTO A",$K$3="MATUTINA"),VLOOKUP(A49,SEXTO_A_MAT,2,FALSE),IF(AND($C$4="SEXTO B",$K$3="MATUTINA"),VLOOKUP(A49,SEXTO_B_MAT,2,FALSE),IF(AND($C$4="SÉPTIMO A",$K$3="MATUTINA"),VLOOKUP(A49,SEPTIMO_A_MATU,2,FALSE),IF(AND($C$4="SÉPTIMO B",$K$3="MATUTINA"),VLOOKUP(A49,SEPTIMO_B_MAT,2,FALSE),IF(AND($C$4="QUINTO A",$K$3="VESPERTINA"),VLOOKUP(A49,QUINTO_A_VES,2,FALSE),IF(AND($C$4="QUINTO B",$K$3="VESPERTINA"),VLOOKUP(A49,QUINTO_B_VES,2,FALSE),IF(AND($C$4="SEXTO A",$K$3="VESPERTINA"),VLOOKUP(A49,SEXTO_A_VES,2,FALSE),IF(AND($C$4="SEXTO B",$K$3="VESPERTINA"),VLOOKUP(A49,SEXTO_B_VES,2,FALSE),IF(AND($C$4="SÉPTIMO A",$K$3="VESPERTINA"),VLOOKUP(A49,SEPTIMO_A_VES,2,FALSE),IF(AND($C$4="SÉPTIMO B",$K$3="VESPERTINA"),VLOOKUP(A49,SEPTIMO_B_VES,2,FALSE),"")))))))))))))))))))))))),"")</f>
        <v/>
      </c>
      <c r="C49" s="17"/>
      <c r="D49" s="214"/>
      <c r="E49" s="214"/>
      <c r="F49" s="214"/>
      <c r="G49" s="214"/>
      <c r="H49" s="214"/>
      <c r="I49" s="214"/>
      <c r="J49" s="215"/>
      <c r="K49" s="215"/>
      <c r="L49" s="215"/>
      <c r="M49" s="215"/>
      <c r="N49" s="214"/>
      <c r="O49" s="217"/>
      <c r="P49" s="194"/>
      <c r="Q49" s="172"/>
    </row>
    <row r="50" ht="14.25" customHeight="1">
      <c r="A50" s="57"/>
      <c r="B50" s="212" t="str">
        <f t="shared" si="3"/>
        <v/>
      </c>
      <c r="C50" s="17"/>
      <c r="D50" s="218"/>
      <c r="E50" s="218"/>
      <c r="F50" s="218"/>
      <c r="G50" s="218"/>
      <c r="H50" s="218"/>
      <c r="I50" s="218"/>
      <c r="J50" s="219"/>
      <c r="K50" s="219"/>
      <c r="L50" s="219"/>
      <c r="M50" s="219"/>
      <c r="N50" s="220"/>
      <c r="O50" s="221"/>
      <c r="P50" s="194"/>
      <c r="Q50" s="172"/>
    </row>
    <row r="51" ht="14.25" customHeight="1">
      <c r="A51" s="209"/>
      <c r="B51" s="158" t="s">
        <v>234</v>
      </c>
      <c r="C51" s="21"/>
      <c r="D51" s="15" t="s">
        <v>235</v>
      </c>
      <c r="E51" s="16"/>
      <c r="F51" s="16"/>
      <c r="G51" s="17"/>
      <c r="H51" s="211"/>
      <c r="I51" s="15" t="s">
        <v>267</v>
      </c>
      <c r="J51" s="16"/>
      <c r="K51" s="16"/>
      <c r="L51" s="16"/>
      <c r="M51" s="17"/>
      <c r="N51" s="220"/>
      <c r="O51" s="221"/>
      <c r="P51" s="194"/>
      <c r="Q51" s="172"/>
    </row>
    <row r="52" ht="14.25" customHeight="1">
      <c r="A52" s="209"/>
      <c r="B52" s="158" t="s">
        <v>240</v>
      </c>
      <c r="C52" s="21"/>
      <c r="D52" s="15" t="s">
        <v>242</v>
      </c>
      <c r="E52" s="16"/>
      <c r="F52" s="16"/>
      <c r="G52" s="17"/>
      <c r="H52" s="211"/>
      <c r="I52" s="15" t="s">
        <v>243</v>
      </c>
      <c r="J52" s="16"/>
      <c r="K52" s="16"/>
      <c r="L52" s="17"/>
      <c r="M52" s="219"/>
      <c r="N52" s="220"/>
      <c r="O52" s="221"/>
      <c r="P52" s="194"/>
      <c r="Q52" s="172"/>
    </row>
    <row r="53" ht="14.25" customHeight="1">
      <c r="P53" s="157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A1:P1"/>
    <mergeCell ref="B2:P2"/>
    <mergeCell ref="C3:E3"/>
    <mergeCell ref="I3:J3"/>
    <mergeCell ref="K3:N3"/>
    <mergeCell ref="I4:J4"/>
    <mergeCell ref="B6:P6"/>
    <mergeCell ref="D52:G52"/>
    <mergeCell ref="I52:L52"/>
    <mergeCell ref="B48:C48"/>
    <mergeCell ref="B49:C49"/>
    <mergeCell ref="B50:C50"/>
    <mergeCell ref="B51:C51"/>
    <mergeCell ref="D51:G51"/>
    <mergeCell ref="I51:M51"/>
    <mergeCell ref="B52:C52"/>
  </mergeCells>
  <conditionalFormatting sqref="N8:N52">
    <cfRule type="cellIs" dxfId="1" priority="1" operator="lessThan">
      <formula>7</formula>
    </cfRule>
  </conditionalFormatting>
  <conditionalFormatting sqref="D8:J52 K48 N48 K51:K52">
    <cfRule type="cellIs" dxfId="0" priority="2" operator="lessThan">
      <formula>7</formula>
    </cfRule>
  </conditionalFormatting>
  <conditionalFormatting sqref="D8:J52 K48 N48 K51:K52">
    <cfRule type="cellIs" dxfId="0" priority="3" operator="lessThan">
      <formula>6.29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 gridLines="1"/>
  <pageMargins bottom="0.75" footer="0.0" header="0.0" left="0.7" right="0.7" top="0.75"/>
  <pageSetup cellComments="atEnd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71"/>
    <col customWidth="1" min="4" max="4" width="6.29"/>
    <col customWidth="1" min="5" max="5" width="8.71"/>
    <col customWidth="1" min="6" max="13" width="6.29"/>
    <col customWidth="1" min="14" max="14" width="8.14"/>
    <col customWidth="1" min="15" max="15" width="7.57"/>
    <col customWidth="1" min="16" max="16" width="13.0"/>
    <col customWidth="1" min="17" max="17" width="20.71"/>
    <col customWidth="1" min="18" max="18" width="7.14"/>
  </cols>
  <sheetData>
    <row r="1" ht="72.75" customHeight="1">
      <c r="A1" s="2" t="s">
        <v>3</v>
      </c>
    </row>
    <row r="2" ht="14.25" customHeight="1">
      <c r="A2" s="3"/>
      <c r="B2" s="4" t="s">
        <v>4</v>
      </c>
    </row>
    <row r="3" ht="14.25" customHeight="1">
      <c r="B3" s="5" t="s">
        <v>6</v>
      </c>
      <c r="C3" s="6" t="s">
        <v>8</v>
      </c>
      <c r="F3" s="7"/>
      <c r="G3" s="7"/>
      <c r="H3" s="7"/>
      <c r="I3" s="8" t="s">
        <v>9</v>
      </c>
      <c r="K3" s="9" t="s">
        <v>10</v>
      </c>
    </row>
    <row r="4" ht="14.25" customHeight="1">
      <c r="B4" s="10" t="s">
        <v>11</v>
      </c>
      <c r="C4" s="11" t="s">
        <v>13</v>
      </c>
      <c r="D4" s="12" t="s">
        <v>16</v>
      </c>
      <c r="E4" s="7"/>
      <c r="F4" s="7"/>
      <c r="G4" s="7"/>
      <c r="H4" s="7"/>
      <c r="I4" s="8"/>
      <c r="K4" s="13"/>
      <c r="M4" s="7"/>
    </row>
    <row r="5" ht="6.0" customHeight="1">
      <c r="B5" s="14"/>
      <c r="C5" s="14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ht="14.25" customHeight="1">
      <c r="B6" s="18" t="s">
        <v>20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1"/>
    </row>
    <row r="7" ht="157.5" customHeight="1">
      <c r="A7" s="23" t="s">
        <v>22</v>
      </c>
      <c r="B7" s="27" t="s">
        <v>23</v>
      </c>
      <c r="C7" s="29"/>
      <c r="D7" s="31" t="s">
        <v>25</v>
      </c>
      <c r="E7" s="33" t="s">
        <v>26</v>
      </c>
      <c r="F7" s="35" t="s">
        <v>27</v>
      </c>
      <c r="G7" s="37" t="s">
        <v>28</v>
      </c>
      <c r="H7" s="39" t="s">
        <v>29</v>
      </c>
      <c r="I7" s="41" t="s">
        <v>30</v>
      </c>
      <c r="J7" s="44" t="s">
        <v>31</v>
      </c>
      <c r="K7" s="45" t="s">
        <v>32</v>
      </c>
      <c r="L7" s="47" t="s">
        <v>33</v>
      </c>
      <c r="M7" s="49" t="s">
        <v>34</v>
      </c>
      <c r="N7" s="51" t="s">
        <v>35</v>
      </c>
      <c r="O7" s="53" t="s">
        <v>36</v>
      </c>
      <c r="P7" s="55" t="s">
        <v>38</v>
      </c>
    </row>
    <row r="8" ht="14.25" customHeight="1">
      <c r="A8" s="56">
        <v>1.0</v>
      </c>
      <c r="B8" s="58" t="s">
        <v>40</v>
      </c>
      <c r="C8" s="60"/>
      <c r="D8" s="63">
        <v>7.73</v>
      </c>
      <c r="E8" s="66">
        <v>8.06</v>
      </c>
      <c r="F8" s="68">
        <v>7.1</v>
      </c>
      <c r="G8" s="70">
        <v>7.47</v>
      </c>
      <c r="H8" s="72">
        <v>7.21</v>
      </c>
      <c r="I8" s="75">
        <v>7.96</v>
      </c>
      <c r="J8" s="76">
        <v>7.91</v>
      </c>
      <c r="K8" s="79" t="s">
        <v>46</v>
      </c>
      <c r="L8" s="81" t="s">
        <v>45</v>
      </c>
      <c r="M8" s="65" t="s">
        <v>47</v>
      </c>
      <c r="N8" s="86">
        <f t="shared" ref="N8:N47" si="1">TRUNC(AVERAGE(D8:J8),2)</f>
        <v>7.63</v>
      </c>
      <c r="O8" s="93" t="s">
        <v>52</v>
      </c>
      <c r="P8" s="97" t="s">
        <v>49</v>
      </c>
      <c r="Q8" s="100"/>
    </row>
    <row r="9" ht="15.0" customHeight="1">
      <c r="A9" s="56">
        <v>2.0</v>
      </c>
      <c r="B9" s="101" t="s">
        <v>56</v>
      </c>
      <c r="C9" s="103"/>
      <c r="D9" s="63">
        <v>7.95</v>
      </c>
      <c r="E9" s="66">
        <v>7.84</v>
      </c>
      <c r="F9" s="68">
        <v>7.35</v>
      </c>
      <c r="G9" s="104">
        <v>8.26</v>
      </c>
      <c r="H9" s="107">
        <v>7.27</v>
      </c>
      <c r="I9" s="109">
        <v>8.12</v>
      </c>
      <c r="J9" s="76">
        <v>8.87</v>
      </c>
      <c r="K9" s="79" t="s">
        <v>46</v>
      </c>
      <c r="L9" s="81" t="s">
        <v>45</v>
      </c>
      <c r="M9" s="65" t="s">
        <v>47</v>
      </c>
      <c r="N9" s="86">
        <f t="shared" si="1"/>
        <v>7.95</v>
      </c>
      <c r="O9" s="93" t="s">
        <v>48</v>
      </c>
      <c r="P9" s="97" t="s">
        <v>49</v>
      </c>
      <c r="Q9" s="113" t="s">
        <v>57</v>
      </c>
      <c r="R9" s="115">
        <f>LARGE(N8:N47,1)</f>
        <v>9.63</v>
      </c>
      <c r="S9" s="116" t="s">
        <v>59</v>
      </c>
    </row>
    <row r="10" ht="15.0" customHeight="1">
      <c r="A10" s="117">
        <v>3.0</v>
      </c>
      <c r="B10" s="101" t="s">
        <v>61</v>
      </c>
      <c r="C10" s="103"/>
      <c r="D10" s="63">
        <v>7.34</v>
      </c>
      <c r="E10" s="66">
        <v>7.31</v>
      </c>
      <c r="F10" s="68">
        <v>7.63</v>
      </c>
      <c r="G10" s="104">
        <v>7.3</v>
      </c>
      <c r="H10" s="107">
        <v>7.94</v>
      </c>
      <c r="I10" s="109">
        <v>7.64</v>
      </c>
      <c r="J10" s="76">
        <v>8.7</v>
      </c>
      <c r="K10" s="79" t="s">
        <v>50</v>
      </c>
      <c r="L10" s="81" t="s">
        <v>47</v>
      </c>
      <c r="M10" s="65" t="s">
        <v>47</v>
      </c>
      <c r="N10" s="86">
        <f t="shared" si="1"/>
        <v>7.69</v>
      </c>
      <c r="O10" s="93" t="s">
        <v>48</v>
      </c>
      <c r="P10" s="97" t="s">
        <v>49</v>
      </c>
      <c r="Q10" s="113" t="s">
        <v>62</v>
      </c>
      <c r="R10" s="118">
        <f>LARGE(N8:N47,2)</f>
        <v>9.58</v>
      </c>
      <c r="S10" s="116" t="s">
        <v>67</v>
      </c>
    </row>
    <row r="11" ht="15.0" customHeight="1">
      <c r="A11" s="56">
        <v>4.0</v>
      </c>
      <c r="B11" s="101" t="s">
        <v>68</v>
      </c>
      <c r="C11" s="103"/>
      <c r="D11" s="63">
        <v>8.97</v>
      </c>
      <c r="E11" s="66">
        <v>8.61</v>
      </c>
      <c r="F11" s="68">
        <v>8.05</v>
      </c>
      <c r="G11" s="104">
        <v>8.39</v>
      </c>
      <c r="H11" s="120">
        <v>8.01</v>
      </c>
      <c r="I11" s="109">
        <v>8.84</v>
      </c>
      <c r="J11" s="76">
        <v>9.24</v>
      </c>
      <c r="K11" s="79" t="s">
        <v>45</v>
      </c>
      <c r="L11" s="81" t="s">
        <v>47</v>
      </c>
      <c r="M11" s="65" t="s">
        <v>47</v>
      </c>
      <c r="N11" s="86">
        <f t="shared" si="1"/>
        <v>8.58</v>
      </c>
      <c r="O11" s="93" t="s">
        <v>48</v>
      </c>
      <c r="P11" s="97" t="s">
        <v>49</v>
      </c>
      <c r="Q11" s="113" t="s">
        <v>69</v>
      </c>
      <c r="R11" s="118">
        <f>LARGE(N8:N47,3)</f>
        <v>9.52</v>
      </c>
      <c r="S11" s="116" t="s">
        <v>75</v>
      </c>
    </row>
    <row r="12" ht="15.0" customHeight="1">
      <c r="A12" s="56">
        <v>5.0</v>
      </c>
      <c r="B12" s="101" t="s">
        <v>76</v>
      </c>
      <c r="C12" s="103"/>
      <c r="D12" s="63">
        <v>8.05</v>
      </c>
      <c r="E12" s="66">
        <v>7.0</v>
      </c>
      <c r="F12" s="68">
        <v>7.0</v>
      </c>
      <c r="G12" s="104">
        <v>7.13</v>
      </c>
      <c r="H12" s="107">
        <v>7.0</v>
      </c>
      <c r="I12" s="109">
        <v>8.43</v>
      </c>
      <c r="J12" s="76">
        <v>7.95</v>
      </c>
      <c r="K12" s="79" t="s">
        <v>46</v>
      </c>
      <c r="L12" s="81" t="s">
        <v>45</v>
      </c>
      <c r="M12" s="65" t="s">
        <v>45</v>
      </c>
      <c r="N12" s="86">
        <f t="shared" si="1"/>
        <v>7.5</v>
      </c>
      <c r="O12" s="93" t="s">
        <v>52</v>
      </c>
      <c r="P12" s="97" t="s">
        <v>49</v>
      </c>
      <c r="Q12" s="100"/>
    </row>
    <row r="13" ht="15.0" customHeight="1">
      <c r="A13" s="117">
        <v>6.0</v>
      </c>
      <c r="B13" s="101" t="s">
        <v>78</v>
      </c>
      <c r="C13" s="103"/>
      <c r="D13" s="63">
        <v>9.08</v>
      </c>
      <c r="E13" s="66">
        <v>8.79</v>
      </c>
      <c r="F13" s="68">
        <v>8.35</v>
      </c>
      <c r="G13" s="104">
        <v>9.07</v>
      </c>
      <c r="H13" s="107">
        <v>9.01</v>
      </c>
      <c r="I13" s="109">
        <v>9.2</v>
      </c>
      <c r="J13" s="76">
        <v>8.81</v>
      </c>
      <c r="K13" s="79" t="s">
        <v>45</v>
      </c>
      <c r="L13" s="81" t="s">
        <v>47</v>
      </c>
      <c r="M13" s="65" t="s">
        <v>47</v>
      </c>
      <c r="N13" s="86">
        <f t="shared" si="1"/>
        <v>8.9</v>
      </c>
      <c r="O13" s="93" t="s">
        <v>48</v>
      </c>
      <c r="P13" s="97" t="s">
        <v>49</v>
      </c>
      <c r="Q13" s="100"/>
    </row>
    <row r="14" ht="15.0" customHeight="1">
      <c r="A14" s="56">
        <v>7.0</v>
      </c>
      <c r="B14" s="101" t="s">
        <v>82</v>
      </c>
      <c r="C14" s="103"/>
      <c r="D14" s="63">
        <v>8.79</v>
      </c>
      <c r="E14" s="66">
        <v>9.07</v>
      </c>
      <c r="F14" s="68">
        <v>8.89</v>
      </c>
      <c r="G14" s="104">
        <v>8.96</v>
      </c>
      <c r="H14" s="107">
        <v>8.89</v>
      </c>
      <c r="I14" s="109">
        <v>9.37</v>
      </c>
      <c r="J14" s="76">
        <v>9.71</v>
      </c>
      <c r="K14" s="79" t="s">
        <v>45</v>
      </c>
      <c r="L14" s="81" t="s">
        <v>47</v>
      </c>
      <c r="M14" s="65" t="s">
        <v>47</v>
      </c>
      <c r="N14" s="86">
        <f t="shared" si="1"/>
        <v>9.09</v>
      </c>
      <c r="O14" s="93" t="s">
        <v>48</v>
      </c>
      <c r="P14" s="97" t="s">
        <v>49</v>
      </c>
      <c r="Q14" s="100"/>
    </row>
    <row r="15" ht="15.0" customHeight="1">
      <c r="A15" s="56">
        <v>8.0</v>
      </c>
      <c r="B15" s="101" t="s">
        <v>85</v>
      </c>
      <c r="C15" s="103"/>
      <c r="D15" s="63">
        <v>7.74</v>
      </c>
      <c r="E15" s="66">
        <v>7.35</v>
      </c>
      <c r="F15" s="68">
        <v>7.28</v>
      </c>
      <c r="G15" s="104">
        <v>7.6</v>
      </c>
      <c r="H15" s="107">
        <v>7.0</v>
      </c>
      <c r="I15" s="109">
        <v>8.34</v>
      </c>
      <c r="J15" s="76">
        <v>8.51</v>
      </c>
      <c r="K15" s="79" t="s">
        <v>50</v>
      </c>
      <c r="L15" s="81" t="s">
        <v>45</v>
      </c>
      <c r="M15" s="65" t="s">
        <v>45</v>
      </c>
      <c r="N15" s="86">
        <f t="shared" si="1"/>
        <v>7.68</v>
      </c>
      <c r="O15" s="93" t="s">
        <v>48</v>
      </c>
      <c r="P15" s="97" t="s">
        <v>49</v>
      </c>
      <c r="Q15" s="100"/>
    </row>
    <row r="16" ht="15.0" customHeight="1">
      <c r="A16" s="117">
        <v>9.0</v>
      </c>
      <c r="B16" s="101" t="s">
        <v>88</v>
      </c>
      <c r="C16" s="103"/>
      <c r="D16" s="63">
        <v>8.0</v>
      </c>
      <c r="E16" s="66">
        <v>7.49</v>
      </c>
      <c r="F16" s="68">
        <v>7.44</v>
      </c>
      <c r="G16" s="104">
        <v>7.91</v>
      </c>
      <c r="H16" s="107">
        <v>7.28</v>
      </c>
      <c r="I16" s="109">
        <v>8.29</v>
      </c>
      <c r="J16" s="76">
        <v>8.74</v>
      </c>
      <c r="K16" s="79" t="s">
        <v>50</v>
      </c>
      <c r="L16" s="81" t="s">
        <v>45</v>
      </c>
      <c r="M16" s="65" t="s">
        <v>50</v>
      </c>
      <c r="N16" s="86">
        <f t="shared" si="1"/>
        <v>7.87</v>
      </c>
      <c r="O16" s="93" t="s">
        <v>48</v>
      </c>
      <c r="P16" s="97" t="s">
        <v>49</v>
      </c>
      <c r="Q16" s="100"/>
    </row>
    <row r="17" ht="15.0" customHeight="1">
      <c r="A17" s="56">
        <v>10.0</v>
      </c>
      <c r="B17" s="101" t="s">
        <v>90</v>
      </c>
      <c r="C17" s="103"/>
      <c r="D17" s="63">
        <v>8.24</v>
      </c>
      <c r="E17" s="66">
        <v>7.19</v>
      </c>
      <c r="F17" s="68">
        <v>7.02</v>
      </c>
      <c r="G17" s="104">
        <v>7.23</v>
      </c>
      <c r="H17" s="107">
        <v>7.0</v>
      </c>
      <c r="I17" s="109">
        <v>7.78</v>
      </c>
      <c r="J17" s="76">
        <v>8.24</v>
      </c>
      <c r="K17" s="79" t="s">
        <v>46</v>
      </c>
      <c r="L17" s="81" t="s">
        <v>45</v>
      </c>
      <c r="M17" s="65" t="s">
        <v>50</v>
      </c>
      <c r="N17" s="86">
        <f t="shared" si="1"/>
        <v>7.52</v>
      </c>
      <c r="O17" s="93" t="s">
        <v>48</v>
      </c>
      <c r="P17" s="97" t="s">
        <v>49</v>
      </c>
      <c r="Q17" s="100"/>
    </row>
    <row r="18" ht="15.0" customHeight="1">
      <c r="A18" s="56">
        <v>11.0</v>
      </c>
      <c r="B18" s="101" t="s">
        <v>93</v>
      </c>
      <c r="C18" s="103"/>
      <c r="D18" s="63">
        <v>7.86</v>
      </c>
      <c r="E18" s="66">
        <v>7.01</v>
      </c>
      <c r="F18" s="68">
        <v>7.04</v>
      </c>
      <c r="G18" s="104">
        <v>7.12</v>
      </c>
      <c r="H18" s="107">
        <v>7.06</v>
      </c>
      <c r="I18" s="109">
        <v>7.92</v>
      </c>
      <c r="J18" s="76">
        <v>8.24</v>
      </c>
      <c r="K18" s="79" t="s">
        <v>45</v>
      </c>
      <c r="L18" s="81" t="s">
        <v>45</v>
      </c>
      <c r="M18" s="65" t="s">
        <v>45</v>
      </c>
      <c r="N18" s="86">
        <f t="shared" si="1"/>
        <v>7.46</v>
      </c>
      <c r="O18" s="93" t="s">
        <v>48</v>
      </c>
      <c r="P18" s="97" t="s">
        <v>49</v>
      </c>
      <c r="Q18" s="100"/>
    </row>
    <row r="19" ht="15.0" customHeight="1">
      <c r="A19" s="117">
        <v>12.0</v>
      </c>
      <c r="B19" s="101" t="s">
        <v>97</v>
      </c>
      <c r="C19" s="103"/>
      <c r="D19" s="63">
        <v>7.74</v>
      </c>
      <c r="E19" s="66">
        <v>7.0</v>
      </c>
      <c r="F19" s="68">
        <v>7.12</v>
      </c>
      <c r="G19" s="104">
        <v>7.05</v>
      </c>
      <c r="H19" s="107">
        <v>7.0</v>
      </c>
      <c r="I19" s="109">
        <v>7.42</v>
      </c>
      <c r="J19" s="76">
        <v>8.54</v>
      </c>
      <c r="K19" s="79" t="s">
        <v>46</v>
      </c>
      <c r="L19" s="81" t="s">
        <v>45</v>
      </c>
      <c r="M19" s="65" t="s">
        <v>50</v>
      </c>
      <c r="N19" s="86">
        <f t="shared" si="1"/>
        <v>7.41</v>
      </c>
      <c r="O19" s="93" t="s">
        <v>83</v>
      </c>
      <c r="P19" s="97" t="s">
        <v>49</v>
      </c>
      <c r="Q19" s="100"/>
    </row>
    <row r="20" ht="15.0" customHeight="1">
      <c r="A20" s="56">
        <v>13.0</v>
      </c>
      <c r="B20" s="101" t="s">
        <v>100</v>
      </c>
      <c r="C20" s="103"/>
      <c r="D20" s="63">
        <v>9.23</v>
      </c>
      <c r="E20" s="66">
        <v>8.7</v>
      </c>
      <c r="F20" s="68">
        <v>8.33</v>
      </c>
      <c r="G20" s="104">
        <v>9.0</v>
      </c>
      <c r="H20" s="107">
        <v>8.33</v>
      </c>
      <c r="I20" s="109">
        <v>9.81</v>
      </c>
      <c r="J20" s="76">
        <v>9.49</v>
      </c>
      <c r="K20" s="79" t="s">
        <v>45</v>
      </c>
      <c r="L20" s="81" t="s">
        <v>47</v>
      </c>
      <c r="M20" s="65" t="s">
        <v>47</v>
      </c>
      <c r="N20" s="86">
        <f t="shared" si="1"/>
        <v>8.98</v>
      </c>
      <c r="O20" s="93" t="s">
        <v>48</v>
      </c>
      <c r="P20" s="97" t="s">
        <v>49</v>
      </c>
      <c r="Q20" s="100"/>
    </row>
    <row r="21" ht="15.0" customHeight="1">
      <c r="A21" s="56">
        <v>14.0</v>
      </c>
      <c r="B21" s="101" t="s">
        <v>103</v>
      </c>
      <c r="C21" s="103"/>
      <c r="D21" s="63">
        <v>9.11</v>
      </c>
      <c r="E21" s="66">
        <v>8.34</v>
      </c>
      <c r="F21" s="68">
        <v>8.8</v>
      </c>
      <c r="G21" s="104">
        <v>9.14</v>
      </c>
      <c r="H21" s="107">
        <v>8.41</v>
      </c>
      <c r="I21" s="109">
        <v>9.5</v>
      </c>
      <c r="J21" s="76">
        <v>9.6</v>
      </c>
      <c r="K21" s="79" t="s">
        <v>45</v>
      </c>
      <c r="L21" s="81" t="s">
        <v>47</v>
      </c>
      <c r="M21" s="65" t="s">
        <v>47</v>
      </c>
      <c r="N21" s="86">
        <f t="shared" si="1"/>
        <v>8.98</v>
      </c>
      <c r="O21" s="93" t="s">
        <v>48</v>
      </c>
      <c r="P21" s="97" t="s">
        <v>49</v>
      </c>
      <c r="Q21" s="100"/>
    </row>
    <row r="22" ht="15.0" customHeight="1">
      <c r="A22" s="117">
        <v>15.0</v>
      </c>
      <c r="B22" s="101" t="s">
        <v>105</v>
      </c>
      <c r="C22" s="103"/>
      <c r="D22" s="63">
        <v>9.35</v>
      </c>
      <c r="E22" s="66">
        <v>9.35</v>
      </c>
      <c r="F22" s="68">
        <v>8.72</v>
      </c>
      <c r="G22" s="104">
        <v>9.16</v>
      </c>
      <c r="H22" s="107">
        <v>8.88</v>
      </c>
      <c r="I22" s="109">
        <v>9.88</v>
      </c>
      <c r="J22" s="76">
        <v>9.63</v>
      </c>
      <c r="K22" s="79" t="s">
        <v>45</v>
      </c>
      <c r="L22" s="81" t="s">
        <v>47</v>
      </c>
      <c r="M22" s="65" t="s">
        <v>47</v>
      </c>
      <c r="N22" s="86">
        <f t="shared" si="1"/>
        <v>9.28</v>
      </c>
      <c r="O22" s="93" t="s">
        <v>48</v>
      </c>
      <c r="P22" s="97" t="s">
        <v>49</v>
      </c>
      <c r="Q22" s="100"/>
    </row>
    <row r="23" ht="15.0" customHeight="1">
      <c r="A23" s="56">
        <v>16.0</v>
      </c>
      <c r="B23" s="101" t="s">
        <v>109</v>
      </c>
      <c r="C23" s="103"/>
      <c r="D23" s="63">
        <v>9.3</v>
      </c>
      <c r="E23" s="66">
        <v>9.41</v>
      </c>
      <c r="F23" s="68">
        <v>8.72</v>
      </c>
      <c r="G23" s="104">
        <v>9.1</v>
      </c>
      <c r="H23" s="107">
        <v>9.56</v>
      </c>
      <c r="I23" s="109">
        <v>9.85</v>
      </c>
      <c r="J23" s="76">
        <v>9.63</v>
      </c>
      <c r="K23" s="79" t="s">
        <v>45</v>
      </c>
      <c r="L23" s="81" t="s">
        <v>47</v>
      </c>
      <c r="M23" s="65" t="s">
        <v>47</v>
      </c>
      <c r="N23" s="86">
        <f t="shared" si="1"/>
        <v>9.36</v>
      </c>
      <c r="O23" s="93" t="s">
        <v>48</v>
      </c>
      <c r="P23" s="97" t="s">
        <v>49</v>
      </c>
      <c r="Q23" s="100"/>
    </row>
    <row r="24" ht="15.0" customHeight="1">
      <c r="A24" s="56">
        <v>17.0</v>
      </c>
      <c r="B24" s="101" t="s">
        <v>111</v>
      </c>
      <c r="C24" s="103"/>
      <c r="D24" s="63">
        <v>9.04</v>
      </c>
      <c r="E24" s="66">
        <v>9.42</v>
      </c>
      <c r="F24" s="68">
        <v>7.8</v>
      </c>
      <c r="G24" s="104">
        <v>8.87</v>
      </c>
      <c r="H24" s="107">
        <v>8.48</v>
      </c>
      <c r="I24" s="109">
        <v>9.27</v>
      </c>
      <c r="J24" s="76">
        <v>8.31</v>
      </c>
      <c r="K24" s="79" t="s">
        <v>45</v>
      </c>
      <c r="L24" s="81" t="s">
        <v>47</v>
      </c>
      <c r="M24" s="65" t="s">
        <v>47</v>
      </c>
      <c r="N24" s="86">
        <f t="shared" si="1"/>
        <v>8.74</v>
      </c>
      <c r="O24" s="93" t="s">
        <v>52</v>
      </c>
      <c r="P24" s="97" t="s">
        <v>49</v>
      </c>
      <c r="Q24" s="100"/>
    </row>
    <row r="25" ht="15.0" customHeight="1">
      <c r="A25" s="117">
        <v>18.0</v>
      </c>
      <c r="B25" s="101" t="s">
        <v>114</v>
      </c>
      <c r="C25" s="103"/>
      <c r="D25" s="63">
        <v>7.99</v>
      </c>
      <c r="E25" s="66">
        <v>7.07</v>
      </c>
      <c r="F25" s="68">
        <v>7.03</v>
      </c>
      <c r="G25" s="104">
        <v>7.2</v>
      </c>
      <c r="H25" s="107">
        <v>7.3</v>
      </c>
      <c r="I25" s="109">
        <v>8.05</v>
      </c>
      <c r="J25" s="76">
        <v>8.5</v>
      </c>
      <c r="K25" s="79" t="s">
        <v>50</v>
      </c>
      <c r="L25" s="81" t="s">
        <v>45</v>
      </c>
      <c r="M25" s="65" t="s">
        <v>45</v>
      </c>
      <c r="N25" s="86">
        <f t="shared" si="1"/>
        <v>7.59</v>
      </c>
      <c r="O25" s="93" t="s">
        <v>48</v>
      </c>
      <c r="P25" s="97" t="s">
        <v>49</v>
      </c>
      <c r="Q25" s="100"/>
    </row>
    <row r="26" ht="15.0" customHeight="1">
      <c r="A26" s="56">
        <v>19.0</v>
      </c>
      <c r="B26" s="101" t="s">
        <v>117</v>
      </c>
      <c r="C26" s="103"/>
      <c r="D26" s="63">
        <v>8.72</v>
      </c>
      <c r="E26" s="66">
        <v>8.84</v>
      </c>
      <c r="F26" s="68">
        <v>9.06</v>
      </c>
      <c r="G26" s="104">
        <v>8.4</v>
      </c>
      <c r="H26" s="107">
        <v>8.96</v>
      </c>
      <c r="I26" s="109">
        <v>9.71</v>
      </c>
      <c r="J26" s="76">
        <v>9.64</v>
      </c>
      <c r="K26" s="79" t="s">
        <v>45</v>
      </c>
      <c r="L26" s="81" t="s">
        <v>47</v>
      </c>
      <c r="M26" s="65" t="s">
        <v>47</v>
      </c>
      <c r="N26" s="86">
        <f t="shared" si="1"/>
        <v>9.04</v>
      </c>
      <c r="O26" s="93" t="s">
        <v>48</v>
      </c>
      <c r="P26" s="97" t="s">
        <v>49</v>
      </c>
      <c r="Q26" s="100"/>
    </row>
    <row r="27" ht="18.0" customHeight="1">
      <c r="A27" s="56">
        <v>20.0</v>
      </c>
      <c r="B27" s="101" t="s">
        <v>124</v>
      </c>
      <c r="C27" s="103"/>
      <c r="D27" s="63">
        <v>9.0</v>
      </c>
      <c r="E27" s="66">
        <v>9.06</v>
      </c>
      <c r="F27" s="68">
        <v>8.78</v>
      </c>
      <c r="G27" s="104">
        <v>8.88</v>
      </c>
      <c r="H27" s="107">
        <v>8.31</v>
      </c>
      <c r="I27" s="109">
        <v>9.77</v>
      </c>
      <c r="J27" s="76">
        <v>9.83</v>
      </c>
      <c r="K27" s="133" t="s">
        <v>45</v>
      </c>
      <c r="L27" s="81" t="s">
        <v>47</v>
      </c>
      <c r="M27" s="65" t="s">
        <v>47</v>
      </c>
      <c r="N27" s="86">
        <f t="shared" si="1"/>
        <v>9.09</v>
      </c>
      <c r="O27" s="93" t="s">
        <v>48</v>
      </c>
      <c r="P27" s="97" t="s">
        <v>49</v>
      </c>
      <c r="Q27" s="100"/>
    </row>
    <row r="28" ht="15.0" customHeight="1">
      <c r="A28" s="117">
        <v>21.0</v>
      </c>
      <c r="B28" s="101" t="s">
        <v>130</v>
      </c>
      <c r="C28" s="103"/>
      <c r="D28" s="63">
        <v>9.36</v>
      </c>
      <c r="E28" s="66">
        <v>9.6</v>
      </c>
      <c r="F28" s="68">
        <v>9.23</v>
      </c>
      <c r="G28" s="104">
        <v>9.8</v>
      </c>
      <c r="H28" s="107">
        <v>9.5</v>
      </c>
      <c r="I28" s="109">
        <v>9.66</v>
      </c>
      <c r="J28" s="76">
        <v>9.91</v>
      </c>
      <c r="K28" s="133" t="s">
        <v>47</v>
      </c>
      <c r="L28" s="81" t="s">
        <v>47</v>
      </c>
      <c r="M28" s="65" t="s">
        <v>47</v>
      </c>
      <c r="N28" s="86">
        <f t="shared" si="1"/>
        <v>9.58</v>
      </c>
      <c r="O28" s="93" t="s">
        <v>48</v>
      </c>
      <c r="P28" s="97" t="s">
        <v>49</v>
      </c>
      <c r="Q28" s="100"/>
    </row>
    <row r="29" ht="18.0" customHeight="1">
      <c r="A29" s="56">
        <v>22.0</v>
      </c>
      <c r="B29" s="101" t="s">
        <v>135</v>
      </c>
      <c r="C29" s="103"/>
      <c r="D29" s="63">
        <v>9.12</v>
      </c>
      <c r="E29" s="66">
        <v>9.19</v>
      </c>
      <c r="F29" s="68">
        <v>8.97</v>
      </c>
      <c r="G29" s="104">
        <v>9.46</v>
      </c>
      <c r="H29" s="107">
        <v>9.16</v>
      </c>
      <c r="I29" s="109">
        <v>9.23</v>
      </c>
      <c r="J29" s="76">
        <v>9.69</v>
      </c>
      <c r="K29" s="133" t="s">
        <v>45</v>
      </c>
      <c r="L29" s="81" t="s">
        <v>47</v>
      </c>
      <c r="M29" s="65" t="s">
        <v>47</v>
      </c>
      <c r="N29" s="86">
        <f t="shared" si="1"/>
        <v>9.26</v>
      </c>
      <c r="O29" s="93" t="s">
        <v>48</v>
      </c>
      <c r="P29" s="97" t="s">
        <v>49</v>
      </c>
      <c r="Q29" s="100"/>
    </row>
    <row r="30" ht="15.0" customHeight="1">
      <c r="A30" s="56">
        <v>23.0</v>
      </c>
      <c r="B30" s="101" t="s">
        <v>140</v>
      </c>
      <c r="C30" s="103"/>
      <c r="D30" s="63">
        <v>8.23</v>
      </c>
      <c r="E30" s="66">
        <v>7.5</v>
      </c>
      <c r="F30" s="68">
        <v>7.78</v>
      </c>
      <c r="G30" s="104">
        <v>8.2</v>
      </c>
      <c r="H30" s="107">
        <v>7.54</v>
      </c>
      <c r="I30" s="109">
        <v>9.19</v>
      </c>
      <c r="J30" s="76">
        <v>8.18</v>
      </c>
      <c r="K30" s="133" t="s">
        <v>50</v>
      </c>
      <c r="L30" s="81" t="s">
        <v>45</v>
      </c>
      <c r="M30" s="65" t="s">
        <v>47</v>
      </c>
      <c r="N30" s="86">
        <f t="shared" si="1"/>
        <v>8.08</v>
      </c>
      <c r="O30" s="93" t="s">
        <v>48</v>
      </c>
      <c r="P30" s="97" t="s">
        <v>49</v>
      </c>
      <c r="Q30" s="100"/>
    </row>
    <row r="31" ht="15.0" customHeight="1">
      <c r="A31" s="117">
        <v>24.0</v>
      </c>
      <c r="B31" s="101" t="s">
        <v>144</v>
      </c>
      <c r="C31" s="103"/>
      <c r="D31" s="63">
        <v>8.69</v>
      </c>
      <c r="E31" s="66">
        <v>7.68</v>
      </c>
      <c r="F31" s="68">
        <v>7.78</v>
      </c>
      <c r="G31" s="104">
        <v>7.78</v>
      </c>
      <c r="H31" s="134">
        <v>8.12</v>
      </c>
      <c r="I31" s="109">
        <v>9.33</v>
      </c>
      <c r="J31" s="76">
        <v>9.24</v>
      </c>
      <c r="K31" s="133" t="s">
        <v>50</v>
      </c>
      <c r="L31" s="81" t="s">
        <v>45</v>
      </c>
      <c r="M31" s="65" t="s">
        <v>47</v>
      </c>
      <c r="N31" s="86">
        <f t="shared" si="1"/>
        <v>8.37</v>
      </c>
      <c r="O31" s="93" t="s">
        <v>48</v>
      </c>
      <c r="P31" s="97" t="s">
        <v>49</v>
      </c>
      <c r="Q31" s="100"/>
    </row>
    <row r="32" ht="15.0" customHeight="1">
      <c r="A32" s="56">
        <v>25.0</v>
      </c>
      <c r="B32" s="101" t="s">
        <v>147</v>
      </c>
      <c r="C32" s="103"/>
      <c r="D32" s="63">
        <v>9.14</v>
      </c>
      <c r="E32" s="66">
        <v>9.48</v>
      </c>
      <c r="F32" s="68">
        <v>9.09</v>
      </c>
      <c r="G32" s="104">
        <v>9.29</v>
      </c>
      <c r="H32" s="107">
        <v>8.86</v>
      </c>
      <c r="I32" s="109">
        <v>9.85</v>
      </c>
      <c r="J32" s="76">
        <v>9.94</v>
      </c>
      <c r="K32" s="133" t="s">
        <v>45</v>
      </c>
      <c r="L32" s="81" t="s">
        <v>47</v>
      </c>
      <c r="M32" s="65" t="s">
        <v>47</v>
      </c>
      <c r="N32" s="86">
        <f t="shared" si="1"/>
        <v>9.37</v>
      </c>
      <c r="O32" s="93" t="s">
        <v>48</v>
      </c>
      <c r="P32" s="97" t="s">
        <v>49</v>
      </c>
      <c r="Q32" s="100"/>
    </row>
    <row r="33" ht="15.0" customHeight="1">
      <c r="A33" s="56">
        <v>26.0</v>
      </c>
      <c r="B33" s="101" t="s">
        <v>151</v>
      </c>
      <c r="C33" s="103"/>
      <c r="D33" s="63">
        <v>9.59</v>
      </c>
      <c r="E33" s="66">
        <v>9.58</v>
      </c>
      <c r="F33" s="68">
        <v>9.49</v>
      </c>
      <c r="G33" s="104">
        <v>9.4</v>
      </c>
      <c r="H33" s="134">
        <v>9.9</v>
      </c>
      <c r="I33" s="109">
        <v>9.72</v>
      </c>
      <c r="J33" s="76">
        <v>9.74</v>
      </c>
      <c r="K33" s="133" t="s">
        <v>47</v>
      </c>
      <c r="L33" s="81" t="s">
        <v>47</v>
      </c>
      <c r="M33" s="65" t="s">
        <v>47</v>
      </c>
      <c r="N33" s="86">
        <f t="shared" si="1"/>
        <v>9.63</v>
      </c>
      <c r="O33" s="93" t="s">
        <v>48</v>
      </c>
      <c r="P33" s="97" t="s">
        <v>49</v>
      </c>
      <c r="Q33" s="100"/>
    </row>
    <row r="34" ht="15.0" customHeight="1">
      <c r="A34" s="117">
        <v>27.0</v>
      </c>
      <c r="B34" s="101" t="s">
        <v>155</v>
      </c>
      <c r="C34" s="103"/>
      <c r="D34" s="63">
        <v>8.79</v>
      </c>
      <c r="E34" s="66">
        <v>8.93</v>
      </c>
      <c r="F34" s="68">
        <v>8.42</v>
      </c>
      <c r="G34" s="104">
        <v>8.52</v>
      </c>
      <c r="H34" s="134">
        <v>8.9</v>
      </c>
      <c r="I34" s="109">
        <v>9.4</v>
      </c>
      <c r="J34" s="76">
        <v>9.8</v>
      </c>
      <c r="K34" s="133" t="s">
        <v>45</v>
      </c>
      <c r="L34" s="81" t="s">
        <v>47</v>
      </c>
      <c r="M34" s="65" t="s">
        <v>47</v>
      </c>
      <c r="N34" s="86">
        <f t="shared" si="1"/>
        <v>8.96</v>
      </c>
      <c r="O34" s="93" t="s">
        <v>48</v>
      </c>
      <c r="P34" s="97" t="s">
        <v>49</v>
      </c>
      <c r="Q34" s="100"/>
    </row>
    <row r="35" ht="15.0" customHeight="1">
      <c r="A35" s="56">
        <v>28.0</v>
      </c>
      <c r="B35" s="101" t="s">
        <v>160</v>
      </c>
      <c r="C35" s="103"/>
      <c r="D35" s="63">
        <v>9.77</v>
      </c>
      <c r="E35" s="66">
        <v>9.37</v>
      </c>
      <c r="F35" s="68">
        <v>9.07</v>
      </c>
      <c r="G35" s="104">
        <v>9.18</v>
      </c>
      <c r="H35" s="107">
        <v>9.54</v>
      </c>
      <c r="I35" s="109">
        <v>9.84</v>
      </c>
      <c r="J35" s="76">
        <v>9.93</v>
      </c>
      <c r="K35" s="133" t="s">
        <v>45</v>
      </c>
      <c r="L35" s="81" t="s">
        <v>47</v>
      </c>
      <c r="M35" s="65" t="s">
        <v>47</v>
      </c>
      <c r="N35" s="86">
        <f t="shared" si="1"/>
        <v>9.52</v>
      </c>
      <c r="O35" s="93" t="s">
        <v>48</v>
      </c>
      <c r="P35" s="97" t="s">
        <v>49</v>
      </c>
      <c r="Q35" s="100"/>
    </row>
    <row r="36" ht="15.0" customHeight="1">
      <c r="A36" s="56">
        <v>29.0</v>
      </c>
      <c r="B36" s="101" t="s">
        <v>162</v>
      </c>
      <c r="C36" s="103"/>
      <c r="D36" s="63">
        <v>8.23</v>
      </c>
      <c r="E36" s="66">
        <v>7.53</v>
      </c>
      <c r="F36" s="68">
        <v>7.44</v>
      </c>
      <c r="G36" s="104">
        <v>7.69</v>
      </c>
      <c r="H36" s="107">
        <v>7.43</v>
      </c>
      <c r="I36" s="109">
        <v>8.95</v>
      </c>
      <c r="J36" s="76">
        <v>8.44</v>
      </c>
      <c r="K36" s="133" t="s">
        <v>45</v>
      </c>
      <c r="L36" s="81" t="s">
        <v>45</v>
      </c>
      <c r="M36" s="65" t="s">
        <v>45</v>
      </c>
      <c r="N36" s="86">
        <f t="shared" si="1"/>
        <v>7.95</v>
      </c>
      <c r="O36" s="93" t="s">
        <v>52</v>
      </c>
      <c r="P36" s="97" t="s">
        <v>49</v>
      </c>
      <c r="Q36" s="100"/>
    </row>
    <row r="37" ht="15.0" customHeight="1">
      <c r="A37" s="117">
        <v>30.0</v>
      </c>
      <c r="B37" s="101" t="s">
        <v>166</v>
      </c>
      <c r="C37" s="103"/>
      <c r="D37" s="63">
        <v>7.56</v>
      </c>
      <c r="E37" s="66">
        <v>7.0</v>
      </c>
      <c r="F37" s="68">
        <v>7.0</v>
      </c>
      <c r="G37" s="104">
        <v>7.0</v>
      </c>
      <c r="H37" s="107">
        <v>7.0</v>
      </c>
      <c r="I37" s="109">
        <v>8.17</v>
      </c>
      <c r="J37" s="76">
        <v>8.66</v>
      </c>
      <c r="K37" s="133" t="s">
        <v>50</v>
      </c>
      <c r="L37" s="81" t="s">
        <v>45</v>
      </c>
      <c r="M37" s="65" t="s">
        <v>50</v>
      </c>
      <c r="N37" s="86">
        <f t="shared" si="1"/>
        <v>7.48</v>
      </c>
      <c r="O37" s="93" t="s">
        <v>48</v>
      </c>
      <c r="P37" s="97" t="s">
        <v>49</v>
      </c>
      <c r="Q37" s="100"/>
    </row>
    <row r="38" ht="15.0" customHeight="1">
      <c r="A38" s="56">
        <v>31.0</v>
      </c>
      <c r="B38" s="101" t="s">
        <v>168</v>
      </c>
      <c r="C38" s="103"/>
      <c r="D38" s="63">
        <v>8.94</v>
      </c>
      <c r="E38" s="66">
        <v>7.98</v>
      </c>
      <c r="F38" s="68">
        <v>8.18</v>
      </c>
      <c r="G38" s="104">
        <v>8.43</v>
      </c>
      <c r="H38" s="107">
        <v>8.63</v>
      </c>
      <c r="I38" s="109">
        <v>9.22</v>
      </c>
      <c r="J38" s="76">
        <v>9.03</v>
      </c>
      <c r="K38" s="133" t="s">
        <v>50</v>
      </c>
      <c r="L38" s="81" t="s">
        <v>47</v>
      </c>
      <c r="M38" s="65" t="s">
        <v>45</v>
      </c>
      <c r="N38" s="86">
        <f t="shared" si="1"/>
        <v>8.63</v>
      </c>
      <c r="O38" s="93" t="s">
        <v>48</v>
      </c>
      <c r="P38" s="97" t="s">
        <v>49</v>
      </c>
      <c r="Q38" s="100"/>
    </row>
    <row r="39" ht="16.5" customHeight="1">
      <c r="A39" s="56">
        <v>32.0</v>
      </c>
      <c r="B39" s="101" t="s">
        <v>172</v>
      </c>
      <c r="C39" s="103"/>
      <c r="D39" s="63">
        <v>9.16</v>
      </c>
      <c r="E39" s="66">
        <v>8.73</v>
      </c>
      <c r="F39" s="68">
        <v>8.9</v>
      </c>
      <c r="G39" s="104">
        <v>9.56</v>
      </c>
      <c r="H39" s="107">
        <v>9.21</v>
      </c>
      <c r="I39" s="109">
        <v>9.88</v>
      </c>
      <c r="J39" s="76">
        <v>9.56</v>
      </c>
      <c r="K39" s="133" t="s">
        <v>45</v>
      </c>
      <c r="L39" s="81" t="s">
        <v>47</v>
      </c>
      <c r="M39" s="65" t="s">
        <v>47</v>
      </c>
      <c r="N39" s="86">
        <f t="shared" si="1"/>
        <v>9.28</v>
      </c>
      <c r="O39" s="93" t="s">
        <v>48</v>
      </c>
      <c r="P39" s="97" t="s">
        <v>49</v>
      </c>
      <c r="Q39" s="100"/>
    </row>
    <row r="40" ht="15.0" customHeight="1">
      <c r="A40" s="117">
        <v>33.0</v>
      </c>
      <c r="B40" s="101" t="s">
        <v>176</v>
      </c>
      <c r="C40" s="103"/>
      <c r="D40" s="63">
        <v>8.21</v>
      </c>
      <c r="E40" s="66">
        <v>8.1</v>
      </c>
      <c r="F40" s="68">
        <v>7.31</v>
      </c>
      <c r="G40" s="104">
        <v>7.92</v>
      </c>
      <c r="H40" s="107">
        <v>7.32</v>
      </c>
      <c r="I40" s="109">
        <v>8.3</v>
      </c>
      <c r="J40" s="76">
        <v>7.92</v>
      </c>
      <c r="K40" s="133" t="s">
        <v>50</v>
      </c>
      <c r="L40" s="81" t="s">
        <v>45</v>
      </c>
      <c r="M40" s="65" t="s">
        <v>45</v>
      </c>
      <c r="N40" s="86">
        <f t="shared" si="1"/>
        <v>7.86</v>
      </c>
      <c r="O40" s="93" t="s">
        <v>83</v>
      </c>
      <c r="P40" s="97" t="s">
        <v>49</v>
      </c>
      <c r="Q40" s="100"/>
    </row>
    <row r="41" ht="14.25" customHeight="1">
      <c r="A41" s="56">
        <v>34.0</v>
      </c>
      <c r="B41" s="101" t="s">
        <v>178</v>
      </c>
      <c r="C41" s="103"/>
      <c r="D41" s="63">
        <v>8.54</v>
      </c>
      <c r="E41" s="66">
        <v>7.89</v>
      </c>
      <c r="F41" s="68">
        <v>7.77</v>
      </c>
      <c r="G41" s="104">
        <v>8.17</v>
      </c>
      <c r="H41" s="107">
        <v>7.57</v>
      </c>
      <c r="I41" s="109">
        <v>8.97</v>
      </c>
      <c r="J41" s="76">
        <v>8.4</v>
      </c>
      <c r="K41" s="133" t="s">
        <v>45</v>
      </c>
      <c r="L41" s="81" t="s">
        <v>45</v>
      </c>
      <c r="M41" s="65" t="s">
        <v>45</v>
      </c>
      <c r="N41" s="86">
        <f t="shared" si="1"/>
        <v>8.18</v>
      </c>
      <c r="O41" s="93" t="s">
        <v>48</v>
      </c>
      <c r="P41" s="97" t="s">
        <v>49</v>
      </c>
      <c r="Q41" s="100"/>
    </row>
    <row r="42" ht="15.0" customHeight="1">
      <c r="A42" s="56">
        <v>35.0</v>
      </c>
      <c r="B42" s="101" t="s">
        <v>183</v>
      </c>
      <c r="C42" s="103"/>
      <c r="D42" s="63">
        <v>8.33</v>
      </c>
      <c r="E42" s="66">
        <v>7.54</v>
      </c>
      <c r="F42" s="68">
        <v>7.05</v>
      </c>
      <c r="G42" s="104">
        <v>7.2</v>
      </c>
      <c r="H42" s="107">
        <v>7.21</v>
      </c>
      <c r="I42" s="109">
        <v>8.9</v>
      </c>
      <c r="J42" s="76">
        <v>8.63</v>
      </c>
      <c r="K42" s="133" t="s">
        <v>45</v>
      </c>
      <c r="L42" s="81" t="s">
        <v>45</v>
      </c>
      <c r="M42" s="65" t="s">
        <v>45</v>
      </c>
      <c r="N42" s="86">
        <f t="shared" si="1"/>
        <v>7.83</v>
      </c>
      <c r="O42" s="93" t="s">
        <v>48</v>
      </c>
      <c r="P42" s="97" t="s">
        <v>49</v>
      </c>
      <c r="Q42" s="100"/>
    </row>
    <row r="43" ht="15.0" customHeight="1">
      <c r="A43" s="117">
        <v>36.0</v>
      </c>
      <c r="B43" s="101" t="s">
        <v>186</v>
      </c>
      <c r="C43" s="103"/>
      <c r="D43" s="63">
        <v>8.59</v>
      </c>
      <c r="E43" s="66">
        <v>8.16</v>
      </c>
      <c r="F43" s="68">
        <v>7.6</v>
      </c>
      <c r="G43" s="104">
        <v>8.37</v>
      </c>
      <c r="H43" s="107">
        <v>8.0</v>
      </c>
      <c r="I43" s="109">
        <v>9.09</v>
      </c>
      <c r="J43" s="76">
        <v>8.87</v>
      </c>
      <c r="K43" s="133" t="s">
        <v>50</v>
      </c>
      <c r="L43" s="81" t="s">
        <v>45</v>
      </c>
      <c r="M43" s="65" t="s">
        <v>45</v>
      </c>
      <c r="N43" s="86">
        <f t="shared" si="1"/>
        <v>8.38</v>
      </c>
      <c r="O43" s="93" t="s">
        <v>48</v>
      </c>
      <c r="P43" s="97" t="s">
        <v>49</v>
      </c>
      <c r="Q43" s="100"/>
    </row>
    <row r="44" ht="15.0" customHeight="1">
      <c r="A44" s="56">
        <v>37.0</v>
      </c>
      <c r="B44" s="101" t="s">
        <v>189</v>
      </c>
      <c r="C44" s="103"/>
      <c r="D44" s="63">
        <v>8.11</v>
      </c>
      <c r="E44" s="66">
        <v>7.31</v>
      </c>
      <c r="F44" s="68">
        <v>7.79</v>
      </c>
      <c r="G44" s="104">
        <v>8.36</v>
      </c>
      <c r="H44" s="107">
        <v>7.41</v>
      </c>
      <c r="I44" s="109">
        <v>8.93</v>
      </c>
      <c r="J44" s="76">
        <v>8.86</v>
      </c>
      <c r="K44" s="133" t="s">
        <v>50</v>
      </c>
      <c r="L44" s="81" t="s">
        <v>47</v>
      </c>
      <c r="M44" s="65" t="s">
        <v>45</v>
      </c>
      <c r="N44" s="86">
        <f t="shared" si="1"/>
        <v>8.11</v>
      </c>
      <c r="O44" s="93" t="s">
        <v>48</v>
      </c>
      <c r="P44" s="97" t="s">
        <v>49</v>
      </c>
      <c r="Q44" s="100"/>
    </row>
    <row r="45" ht="15.0" customHeight="1">
      <c r="A45" s="56">
        <v>38.0</v>
      </c>
      <c r="B45" s="101" t="s">
        <v>193</v>
      </c>
      <c r="C45" s="103"/>
      <c r="D45" s="63">
        <v>8.46</v>
      </c>
      <c r="E45" s="66">
        <v>7.85</v>
      </c>
      <c r="F45" s="68">
        <v>7.44</v>
      </c>
      <c r="G45" s="104">
        <v>8.28</v>
      </c>
      <c r="H45" s="107">
        <v>7.36</v>
      </c>
      <c r="I45" s="109">
        <v>9.03</v>
      </c>
      <c r="J45" s="76">
        <v>8.93</v>
      </c>
      <c r="K45" s="133" t="s">
        <v>46</v>
      </c>
      <c r="L45" s="81" t="s">
        <v>45</v>
      </c>
      <c r="M45" s="65" t="s">
        <v>45</v>
      </c>
      <c r="N45" s="86">
        <f t="shared" si="1"/>
        <v>8.19</v>
      </c>
      <c r="O45" s="93" t="s">
        <v>52</v>
      </c>
      <c r="P45" s="97" t="s">
        <v>49</v>
      </c>
      <c r="Q45" s="13"/>
    </row>
    <row r="46" ht="15.0" customHeight="1">
      <c r="A46" s="117">
        <v>39.0</v>
      </c>
      <c r="B46" s="101" t="s">
        <v>196</v>
      </c>
      <c r="C46" s="103"/>
      <c r="D46" s="138">
        <v>8.46</v>
      </c>
      <c r="E46" s="66">
        <v>7.44</v>
      </c>
      <c r="F46" s="68">
        <v>7.43</v>
      </c>
      <c r="G46" s="104">
        <v>7.77</v>
      </c>
      <c r="H46" s="107">
        <v>8.07</v>
      </c>
      <c r="I46" s="109">
        <v>8.59</v>
      </c>
      <c r="J46" s="76">
        <v>8.51</v>
      </c>
      <c r="K46" s="133" t="s">
        <v>45</v>
      </c>
      <c r="L46" s="81" t="s">
        <v>47</v>
      </c>
      <c r="M46" s="65" t="s">
        <v>45</v>
      </c>
      <c r="N46" s="86">
        <f t="shared" si="1"/>
        <v>8.03</v>
      </c>
      <c r="O46" s="93" t="s">
        <v>48</v>
      </c>
      <c r="P46" s="141" t="s">
        <v>49</v>
      </c>
      <c r="Q46" s="13"/>
    </row>
    <row r="47" ht="14.25" customHeight="1">
      <c r="A47" s="56">
        <v>40.0</v>
      </c>
      <c r="B47" s="101" t="s">
        <v>204</v>
      </c>
      <c r="C47" s="103"/>
      <c r="D47" s="138">
        <v>8.73</v>
      </c>
      <c r="E47" s="66">
        <v>8.51</v>
      </c>
      <c r="F47" s="68">
        <v>8.78</v>
      </c>
      <c r="G47" s="104">
        <v>9.04</v>
      </c>
      <c r="H47" s="107">
        <v>8.36</v>
      </c>
      <c r="I47" s="109">
        <v>9.44</v>
      </c>
      <c r="J47" s="76">
        <v>9.34</v>
      </c>
      <c r="K47" s="133" t="s">
        <v>45</v>
      </c>
      <c r="L47" s="81" t="s">
        <v>47</v>
      </c>
      <c r="M47" s="65" t="s">
        <v>47</v>
      </c>
      <c r="N47" s="86">
        <f t="shared" si="1"/>
        <v>8.88</v>
      </c>
      <c r="O47" s="93" t="s">
        <v>48</v>
      </c>
      <c r="P47" s="141" t="s">
        <v>49</v>
      </c>
      <c r="Q47" s="13"/>
    </row>
    <row r="48" ht="14.25" customHeight="1">
      <c r="B48" s="144" t="s">
        <v>210</v>
      </c>
      <c r="C48" s="21"/>
      <c r="D48" s="145">
        <f t="shared" ref="D48:J48" si="2">AVERAGE(D10:D47)</f>
        <v>8.62</v>
      </c>
      <c r="E48" s="146">
        <f t="shared" si="2"/>
        <v>8.220526316</v>
      </c>
      <c r="F48" s="147">
        <f t="shared" si="2"/>
        <v>8.041578947</v>
      </c>
      <c r="G48" s="148">
        <f t="shared" si="2"/>
        <v>8.340263158</v>
      </c>
      <c r="H48" s="149">
        <f t="shared" si="2"/>
        <v>8.145</v>
      </c>
      <c r="I48" s="150">
        <f t="shared" si="2"/>
        <v>9.02</v>
      </c>
      <c r="J48" s="152">
        <f t="shared" si="2"/>
        <v>9.023421053</v>
      </c>
      <c r="K48" s="154"/>
      <c r="L48" s="155"/>
      <c r="M48" s="155"/>
      <c r="N48" s="86">
        <f>AVERAGE(N10:N47)</f>
        <v>8.482368421</v>
      </c>
      <c r="O48" s="156"/>
      <c r="P48" s="157"/>
    </row>
    <row r="49" ht="14.25" customHeight="1"/>
    <row r="50" ht="14.25" customHeight="1">
      <c r="B50" s="158" t="s">
        <v>234</v>
      </c>
      <c r="C50" s="21"/>
      <c r="D50" s="160" t="s">
        <v>235</v>
      </c>
      <c r="E50" s="16"/>
      <c r="F50" s="16"/>
      <c r="G50" s="17"/>
      <c r="H50" s="162"/>
      <c r="I50" s="160" t="s">
        <v>8</v>
      </c>
      <c r="J50" s="16"/>
      <c r="K50" s="16"/>
      <c r="L50" s="17"/>
    </row>
    <row r="51" ht="14.25" customHeight="1">
      <c r="B51" s="158" t="s">
        <v>240</v>
      </c>
      <c r="C51" s="21"/>
      <c r="D51" s="160" t="s">
        <v>242</v>
      </c>
      <c r="E51" s="16"/>
      <c r="F51" s="16"/>
      <c r="G51" s="17"/>
      <c r="H51" s="162"/>
      <c r="I51" s="160" t="s">
        <v>243</v>
      </c>
      <c r="J51" s="16"/>
      <c r="K51" s="16"/>
      <c r="L51" s="17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A1:P1"/>
    <mergeCell ref="B2:P2"/>
    <mergeCell ref="C3:E3"/>
    <mergeCell ref="I3:J3"/>
    <mergeCell ref="K3:N3"/>
    <mergeCell ref="I4:J4"/>
    <mergeCell ref="B6:P6"/>
    <mergeCell ref="I50:L50"/>
    <mergeCell ref="I51:L51"/>
    <mergeCell ref="B7:C7"/>
    <mergeCell ref="B8:C8"/>
    <mergeCell ref="B48:C48"/>
    <mergeCell ref="B50:C50"/>
    <mergeCell ref="D50:G50"/>
    <mergeCell ref="B51:C51"/>
    <mergeCell ref="D51:G51"/>
  </mergeCells>
  <conditionalFormatting sqref="D8:J48 K48 N48">
    <cfRule type="cellIs" dxfId="0" priority="1" operator="lessThan">
      <formula>7</formula>
    </cfRule>
  </conditionalFormatting>
  <conditionalFormatting sqref="D8:J48 K48 N48">
    <cfRule type="cellIs" dxfId="0" priority="2" operator="lessThan">
      <formula>6.29</formula>
    </cfRule>
  </conditionalFormatting>
  <conditionalFormatting sqref="N8:N47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fitToWidth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3.86"/>
    <col customWidth="1" min="17" max="17" width="20.57"/>
    <col customWidth="1" min="18" max="18" width="8.0"/>
  </cols>
  <sheetData>
    <row r="1" ht="72.75" customHeight="1">
      <c r="A1" s="2" t="s">
        <v>268</v>
      </c>
    </row>
    <row r="2" ht="15.75" customHeight="1">
      <c r="A2" s="224" t="s">
        <v>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1"/>
    </row>
    <row r="3" ht="14.25" customHeight="1">
      <c r="B3" s="5" t="s">
        <v>269</v>
      </c>
      <c r="C3" s="6"/>
      <c r="F3" s="7"/>
      <c r="G3" s="7"/>
      <c r="H3" s="7"/>
      <c r="I3" s="8" t="s">
        <v>9</v>
      </c>
      <c r="K3" s="9" t="s">
        <v>10</v>
      </c>
    </row>
    <row r="4" ht="14.25" customHeight="1">
      <c r="B4" s="10" t="s">
        <v>11</v>
      </c>
      <c r="C4" s="11" t="s">
        <v>270</v>
      </c>
      <c r="E4" s="7"/>
      <c r="F4" s="7"/>
      <c r="G4" s="7"/>
      <c r="H4" s="7"/>
      <c r="I4" s="8"/>
      <c r="K4" s="13"/>
      <c r="M4" s="7"/>
    </row>
    <row r="5" ht="15.75" customHeight="1">
      <c r="B5" s="18" t="s">
        <v>20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1"/>
    </row>
    <row r="6" ht="157.5" customHeight="1">
      <c r="A6" s="23" t="s">
        <v>22</v>
      </c>
      <c r="B6" s="27" t="s">
        <v>23</v>
      </c>
      <c r="C6" s="29"/>
      <c r="D6" s="30" t="s">
        <v>25</v>
      </c>
      <c r="E6" s="32" t="s">
        <v>26</v>
      </c>
      <c r="F6" s="34" t="s">
        <v>27</v>
      </c>
      <c r="G6" s="36" t="s">
        <v>28</v>
      </c>
      <c r="H6" s="38" t="s">
        <v>29</v>
      </c>
      <c r="I6" s="40" t="s">
        <v>30</v>
      </c>
      <c r="J6" s="43" t="s">
        <v>31</v>
      </c>
      <c r="K6" s="46" t="s">
        <v>32</v>
      </c>
      <c r="L6" s="48" t="s">
        <v>33</v>
      </c>
      <c r="M6" s="50" t="s">
        <v>34</v>
      </c>
      <c r="N6" s="52" t="s">
        <v>35</v>
      </c>
      <c r="O6" s="54" t="s">
        <v>37</v>
      </c>
      <c r="P6" s="55" t="s">
        <v>38</v>
      </c>
    </row>
    <row r="7" ht="14.25" customHeight="1">
      <c r="A7" s="56">
        <v>1.0</v>
      </c>
      <c r="B7" s="225" t="s">
        <v>271</v>
      </c>
      <c r="C7" s="225"/>
      <c r="D7" s="138">
        <v>9.04</v>
      </c>
      <c r="E7" s="66">
        <v>8.4</v>
      </c>
      <c r="F7" s="142">
        <v>7.97</v>
      </c>
      <c r="G7" s="70">
        <v>9.24</v>
      </c>
      <c r="H7" s="72">
        <v>7.98</v>
      </c>
      <c r="I7" s="75">
        <v>9.27</v>
      </c>
      <c r="J7" s="76">
        <v>8.69</v>
      </c>
      <c r="K7" s="90" t="s">
        <v>47</v>
      </c>
      <c r="L7" s="83" t="s">
        <v>47</v>
      </c>
      <c r="M7" s="226" t="s">
        <v>45</v>
      </c>
      <c r="N7" s="86">
        <f t="shared" ref="N7:N44" si="1">TRUNC(AVERAGE(D7:J7),2)</f>
        <v>8.65</v>
      </c>
      <c r="O7" s="99" t="s">
        <v>48</v>
      </c>
      <c r="P7" s="227" t="s">
        <v>49</v>
      </c>
      <c r="Q7" s="100"/>
    </row>
    <row r="8" ht="15.0" customHeight="1">
      <c r="A8" s="56">
        <v>2.0</v>
      </c>
      <c r="B8" s="225" t="s">
        <v>272</v>
      </c>
      <c r="C8" s="225"/>
      <c r="D8" s="138">
        <v>9.62</v>
      </c>
      <c r="E8" s="66">
        <v>9.45</v>
      </c>
      <c r="F8" s="68">
        <v>9.16</v>
      </c>
      <c r="G8" s="104">
        <v>9.85</v>
      </c>
      <c r="H8" s="107">
        <v>9.77</v>
      </c>
      <c r="I8" s="109">
        <v>9.84</v>
      </c>
      <c r="J8" s="76">
        <v>9.85</v>
      </c>
      <c r="K8" s="90" t="s">
        <v>45</v>
      </c>
      <c r="L8" s="83" t="s">
        <v>47</v>
      </c>
      <c r="M8" s="228" t="s">
        <v>47</v>
      </c>
      <c r="N8" s="86">
        <f t="shared" si="1"/>
        <v>9.64</v>
      </c>
      <c r="O8" s="99" t="s">
        <v>48</v>
      </c>
      <c r="P8" s="227" t="s">
        <v>49</v>
      </c>
      <c r="Q8" s="113"/>
      <c r="R8" s="115"/>
    </row>
    <row r="9" ht="15.0" customHeight="1">
      <c r="A9" s="56">
        <v>3.0</v>
      </c>
      <c r="B9" s="225" t="s">
        <v>273</v>
      </c>
      <c r="C9" s="225"/>
      <c r="D9" s="138">
        <v>8.83</v>
      </c>
      <c r="E9" s="66">
        <v>8.11</v>
      </c>
      <c r="F9" s="68">
        <v>8.4</v>
      </c>
      <c r="G9" s="104">
        <v>8.76</v>
      </c>
      <c r="H9" s="107">
        <v>8.26</v>
      </c>
      <c r="I9" s="109">
        <v>9.22</v>
      </c>
      <c r="J9" s="76">
        <v>9.17</v>
      </c>
      <c r="K9" s="90" t="s">
        <v>45</v>
      </c>
      <c r="L9" s="83" t="s">
        <v>47</v>
      </c>
      <c r="M9" s="228" t="s">
        <v>45</v>
      </c>
      <c r="N9" s="86">
        <f t="shared" si="1"/>
        <v>8.67</v>
      </c>
      <c r="O9" s="99" t="s">
        <v>48</v>
      </c>
      <c r="P9" s="227" t="s">
        <v>49</v>
      </c>
      <c r="Q9" s="113"/>
      <c r="R9" s="118"/>
    </row>
    <row r="10" ht="15.0" customHeight="1">
      <c r="A10" s="56">
        <v>4.0</v>
      </c>
      <c r="B10" s="179" t="s">
        <v>274</v>
      </c>
      <c r="C10" s="29"/>
      <c r="D10" s="138">
        <v>7.27</v>
      </c>
      <c r="E10" s="66">
        <v>7.0</v>
      </c>
      <c r="F10" s="68">
        <v>7.0</v>
      </c>
      <c r="G10" s="104">
        <v>7.02</v>
      </c>
      <c r="H10" s="134">
        <v>7.0</v>
      </c>
      <c r="I10" s="109">
        <v>7.68</v>
      </c>
      <c r="J10" s="76">
        <v>7.18</v>
      </c>
      <c r="K10" s="90" t="s">
        <v>46</v>
      </c>
      <c r="L10" s="83" t="s">
        <v>46</v>
      </c>
      <c r="M10" s="228" t="s">
        <v>50</v>
      </c>
      <c r="N10" s="86">
        <f t="shared" si="1"/>
        <v>7.16</v>
      </c>
      <c r="O10" s="99" t="s">
        <v>52</v>
      </c>
      <c r="P10" s="227" t="s">
        <v>125</v>
      </c>
      <c r="Q10" s="229">
        <v>6.25</v>
      </c>
      <c r="R10" s="115" t="s">
        <v>275</v>
      </c>
    </row>
    <row r="11" ht="15.0" customHeight="1">
      <c r="A11" s="56">
        <v>5.0</v>
      </c>
      <c r="B11" s="225" t="s">
        <v>276</v>
      </c>
      <c r="C11" s="225"/>
      <c r="D11" s="138">
        <v>7.82</v>
      </c>
      <c r="E11" s="66">
        <v>7.0</v>
      </c>
      <c r="F11" s="68">
        <v>7.0</v>
      </c>
      <c r="G11" s="104">
        <v>7.43</v>
      </c>
      <c r="H11" s="107">
        <v>7.0</v>
      </c>
      <c r="I11" s="109">
        <v>8.21</v>
      </c>
      <c r="J11" s="76">
        <v>7.0</v>
      </c>
      <c r="K11" s="90" t="s">
        <v>50</v>
      </c>
      <c r="L11" s="83" t="s">
        <v>205</v>
      </c>
      <c r="M11" s="228" t="s">
        <v>50</v>
      </c>
      <c r="N11" s="86">
        <f t="shared" si="1"/>
        <v>7.35</v>
      </c>
      <c r="O11" s="99" t="s">
        <v>83</v>
      </c>
      <c r="P11" s="227" t="s">
        <v>49</v>
      </c>
      <c r="Q11" s="100"/>
    </row>
    <row r="12" ht="15.0" customHeight="1">
      <c r="A12" s="56">
        <v>6.0</v>
      </c>
      <c r="B12" s="225" t="s">
        <v>277</v>
      </c>
      <c r="C12" s="225"/>
      <c r="D12" s="138">
        <v>8.11</v>
      </c>
      <c r="E12" s="66">
        <v>7.93</v>
      </c>
      <c r="F12" s="68">
        <v>7.65</v>
      </c>
      <c r="G12" s="104">
        <v>8.31</v>
      </c>
      <c r="H12" s="107">
        <v>7.39</v>
      </c>
      <c r="I12" s="109">
        <v>9.5</v>
      </c>
      <c r="J12" s="76">
        <v>7.63</v>
      </c>
      <c r="K12" s="90" t="s">
        <v>123</v>
      </c>
      <c r="L12" s="83" t="s">
        <v>47</v>
      </c>
      <c r="M12" s="228" t="s">
        <v>45</v>
      </c>
      <c r="N12" s="86">
        <f t="shared" si="1"/>
        <v>8.07</v>
      </c>
      <c r="O12" s="99" t="s">
        <v>48</v>
      </c>
      <c r="P12" s="227" t="s">
        <v>49</v>
      </c>
      <c r="Q12" s="100"/>
    </row>
    <row r="13" ht="15.0" customHeight="1">
      <c r="A13" s="56">
        <v>7.0</v>
      </c>
      <c r="B13" s="225" t="s">
        <v>278</v>
      </c>
      <c r="C13" s="225"/>
      <c r="D13" s="138">
        <v>8.57</v>
      </c>
      <c r="E13" s="66">
        <v>7.24</v>
      </c>
      <c r="F13" s="68">
        <v>7.51</v>
      </c>
      <c r="G13" s="104">
        <v>7.59</v>
      </c>
      <c r="H13" s="134">
        <v>7.38</v>
      </c>
      <c r="I13" s="109">
        <v>8.39</v>
      </c>
      <c r="J13" s="76">
        <v>9.17</v>
      </c>
      <c r="K13" s="90" t="s">
        <v>46</v>
      </c>
      <c r="L13" s="83" t="s">
        <v>47</v>
      </c>
      <c r="M13" s="228" t="s">
        <v>45</v>
      </c>
      <c r="N13" s="86">
        <f t="shared" si="1"/>
        <v>7.97</v>
      </c>
      <c r="O13" s="99" t="s">
        <v>48</v>
      </c>
      <c r="P13" s="227" t="s">
        <v>49</v>
      </c>
      <c r="Q13" s="100"/>
    </row>
    <row r="14" ht="15.0" customHeight="1">
      <c r="A14" s="56">
        <v>8.0</v>
      </c>
      <c r="B14" s="225" t="s">
        <v>280</v>
      </c>
      <c r="C14" s="225"/>
      <c r="D14" s="138">
        <v>8.63</v>
      </c>
      <c r="E14" s="66">
        <v>8.57</v>
      </c>
      <c r="F14" s="68">
        <v>8.15</v>
      </c>
      <c r="G14" s="104">
        <v>8.46</v>
      </c>
      <c r="H14" s="134">
        <v>7.72</v>
      </c>
      <c r="I14" s="109">
        <v>9.22</v>
      </c>
      <c r="J14" s="76">
        <v>8.6</v>
      </c>
      <c r="K14" s="90" t="s">
        <v>50</v>
      </c>
      <c r="L14" s="83" t="s">
        <v>46</v>
      </c>
      <c r="M14" s="228" t="s">
        <v>45</v>
      </c>
      <c r="N14" s="86">
        <f t="shared" si="1"/>
        <v>8.47</v>
      </c>
      <c r="O14" s="99" t="s">
        <v>52</v>
      </c>
      <c r="P14" s="227" t="s">
        <v>49</v>
      </c>
      <c r="Q14" s="100"/>
    </row>
    <row r="15" ht="15.0" customHeight="1">
      <c r="A15" s="56">
        <v>9.0</v>
      </c>
      <c r="B15" s="225" t="s">
        <v>282</v>
      </c>
      <c r="C15" s="225"/>
      <c r="D15" s="138">
        <v>8.64</v>
      </c>
      <c r="E15" s="66">
        <v>8.53</v>
      </c>
      <c r="F15" s="68">
        <v>7.72</v>
      </c>
      <c r="G15" s="104">
        <v>8.86</v>
      </c>
      <c r="H15" s="134">
        <v>8.07</v>
      </c>
      <c r="I15" s="109">
        <v>9.29</v>
      </c>
      <c r="J15" s="76">
        <v>8.82</v>
      </c>
      <c r="K15" s="90" t="s">
        <v>50</v>
      </c>
      <c r="L15" s="83" t="s">
        <v>46</v>
      </c>
      <c r="M15" s="228" t="s">
        <v>45</v>
      </c>
      <c r="N15" s="86">
        <f t="shared" si="1"/>
        <v>8.56</v>
      </c>
      <c r="O15" s="99" t="s">
        <v>52</v>
      </c>
      <c r="P15" s="227" t="s">
        <v>49</v>
      </c>
      <c r="Q15" s="100"/>
    </row>
    <row r="16" ht="15.0" customHeight="1">
      <c r="A16" s="56">
        <v>10.0</v>
      </c>
      <c r="B16" s="225" t="s">
        <v>283</v>
      </c>
      <c r="C16" s="225"/>
      <c r="D16" s="138">
        <v>9.41</v>
      </c>
      <c r="E16" s="66">
        <v>9.27</v>
      </c>
      <c r="F16" s="68">
        <v>9.1</v>
      </c>
      <c r="G16" s="104">
        <v>9.92</v>
      </c>
      <c r="H16" s="107">
        <v>9.09</v>
      </c>
      <c r="I16" s="109">
        <v>9.87</v>
      </c>
      <c r="J16" s="76">
        <v>9.95</v>
      </c>
      <c r="K16" s="90" t="s">
        <v>45</v>
      </c>
      <c r="L16" s="83" t="s">
        <v>47</v>
      </c>
      <c r="M16" s="228" t="s">
        <v>47</v>
      </c>
      <c r="N16" s="86">
        <f t="shared" si="1"/>
        <v>9.51</v>
      </c>
      <c r="O16" s="99" t="s">
        <v>48</v>
      </c>
      <c r="P16" s="227" t="s">
        <v>49</v>
      </c>
      <c r="Q16" s="100"/>
    </row>
    <row r="17" ht="15.0" customHeight="1">
      <c r="A17" s="56">
        <v>11.0</v>
      </c>
      <c r="B17" s="225" t="s">
        <v>285</v>
      </c>
      <c r="C17" s="225"/>
      <c r="D17" s="138">
        <v>9.5</v>
      </c>
      <c r="E17" s="66">
        <v>9.44</v>
      </c>
      <c r="F17" s="68">
        <v>9.37</v>
      </c>
      <c r="G17" s="104">
        <v>9.67</v>
      </c>
      <c r="H17" s="107">
        <v>9.49</v>
      </c>
      <c r="I17" s="109">
        <v>9.86</v>
      </c>
      <c r="J17" s="76">
        <v>9.95</v>
      </c>
      <c r="K17" s="90" t="s">
        <v>45</v>
      </c>
      <c r="L17" s="83" t="s">
        <v>46</v>
      </c>
      <c r="M17" s="228" t="s">
        <v>47</v>
      </c>
      <c r="N17" s="86">
        <f t="shared" si="1"/>
        <v>9.61</v>
      </c>
      <c r="O17" s="99" t="s">
        <v>52</v>
      </c>
      <c r="P17" s="227" t="s">
        <v>49</v>
      </c>
      <c r="Q17" s="100"/>
    </row>
    <row r="18" ht="15.0" customHeight="1">
      <c r="A18" s="56">
        <v>12.0</v>
      </c>
      <c r="B18" s="179" t="s">
        <v>286</v>
      </c>
      <c r="C18" s="29"/>
      <c r="D18" s="138">
        <v>9.2</v>
      </c>
      <c r="E18" s="66">
        <v>8.02</v>
      </c>
      <c r="F18" s="68">
        <v>7.19</v>
      </c>
      <c r="G18" s="104">
        <v>8.29</v>
      </c>
      <c r="H18" s="107">
        <v>7.79</v>
      </c>
      <c r="I18" s="109">
        <v>9.56</v>
      </c>
      <c r="J18" s="76">
        <v>7.83</v>
      </c>
      <c r="K18" s="90" t="s">
        <v>50</v>
      </c>
      <c r="L18" s="83" t="s">
        <v>46</v>
      </c>
      <c r="M18" s="228" t="s">
        <v>45</v>
      </c>
      <c r="N18" s="86">
        <f t="shared" si="1"/>
        <v>8.26</v>
      </c>
      <c r="O18" s="99" t="s">
        <v>52</v>
      </c>
      <c r="P18" s="227" t="s">
        <v>49</v>
      </c>
      <c r="Q18" s="100"/>
    </row>
    <row r="19" ht="15.0" customHeight="1">
      <c r="A19" s="56">
        <v>13.0</v>
      </c>
      <c r="B19" s="225" t="s">
        <v>287</v>
      </c>
      <c r="C19" s="225"/>
      <c r="D19" s="138">
        <v>8.5</v>
      </c>
      <c r="E19" s="66">
        <v>8.13</v>
      </c>
      <c r="F19" s="68">
        <v>7.58</v>
      </c>
      <c r="G19" s="104">
        <v>8.06</v>
      </c>
      <c r="H19" s="107">
        <v>7.65</v>
      </c>
      <c r="I19" s="109">
        <v>9.15</v>
      </c>
      <c r="J19" s="76">
        <v>8.28</v>
      </c>
      <c r="K19" s="90" t="s">
        <v>50</v>
      </c>
      <c r="L19" s="83" t="s">
        <v>47</v>
      </c>
      <c r="M19" s="228" t="s">
        <v>45</v>
      </c>
      <c r="N19" s="86">
        <f t="shared" si="1"/>
        <v>8.19</v>
      </c>
      <c r="O19" s="99" t="s">
        <v>48</v>
      </c>
      <c r="P19" s="227" t="s">
        <v>49</v>
      </c>
      <c r="Q19" s="100"/>
    </row>
    <row r="20" ht="15.0" customHeight="1">
      <c r="A20" s="56">
        <v>14.0</v>
      </c>
      <c r="B20" s="179" t="s">
        <v>288</v>
      </c>
      <c r="C20" s="29"/>
      <c r="D20" s="138">
        <v>8.53</v>
      </c>
      <c r="E20" s="66">
        <v>8.23</v>
      </c>
      <c r="F20" s="68">
        <v>8.18</v>
      </c>
      <c r="G20" s="104">
        <v>9.6</v>
      </c>
      <c r="H20" s="107">
        <v>7.61</v>
      </c>
      <c r="I20" s="109">
        <v>9.69</v>
      </c>
      <c r="J20" s="76">
        <v>9.68</v>
      </c>
      <c r="K20" s="90" t="s">
        <v>45</v>
      </c>
      <c r="L20" s="83" t="s">
        <v>47</v>
      </c>
      <c r="M20" s="228" t="s">
        <v>45</v>
      </c>
      <c r="N20" s="86">
        <f t="shared" si="1"/>
        <v>8.78</v>
      </c>
      <c r="O20" s="99" t="s">
        <v>48</v>
      </c>
      <c r="P20" s="227" t="s">
        <v>49</v>
      </c>
      <c r="Q20" s="100"/>
    </row>
    <row r="21" ht="15.0" customHeight="1">
      <c r="A21" s="56">
        <v>15.0</v>
      </c>
      <c r="B21" s="225" t="s">
        <v>289</v>
      </c>
      <c r="C21" s="225"/>
      <c r="D21" s="138">
        <v>8.07</v>
      </c>
      <c r="E21" s="66">
        <v>7.59</v>
      </c>
      <c r="F21" s="68">
        <v>7.2</v>
      </c>
      <c r="G21" s="104">
        <v>8.62</v>
      </c>
      <c r="H21" s="107">
        <v>7.31</v>
      </c>
      <c r="I21" s="109">
        <v>8.68</v>
      </c>
      <c r="J21" s="76">
        <v>7.78</v>
      </c>
      <c r="K21" s="90" t="s">
        <v>46</v>
      </c>
      <c r="L21" s="83" t="s">
        <v>46</v>
      </c>
      <c r="M21" s="228" t="s">
        <v>45</v>
      </c>
      <c r="N21" s="86">
        <f t="shared" si="1"/>
        <v>7.89</v>
      </c>
      <c r="O21" s="99" t="s">
        <v>52</v>
      </c>
      <c r="P21" s="227" t="s">
        <v>49</v>
      </c>
      <c r="Q21" s="100"/>
    </row>
    <row r="22" ht="15.0" customHeight="1">
      <c r="A22" s="232">
        <v>16.0</v>
      </c>
      <c r="B22" s="225" t="s">
        <v>291</v>
      </c>
      <c r="C22" s="225"/>
      <c r="D22" s="138">
        <v>9.23</v>
      </c>
      <c r="E22" s="66">
        <v>8.79</v>
      </c>
      <c r="F22" s="68">
        <v>7.74</v>
      </c>
      <c r="G22" s="104">
        <v>8.95</v>
      </c>
      <c r="H22" s="107">
        <v>7.76</v>
      </c>
      <c r="I22" s="109">
        <v>9.44</v>
      </c>
      <c r="J22" s="76">
        <v>8.82</v>
      </c>
      <c r="K22" s="90" t="s">
        <v>50</v>
      </c>
      <c r="L22" s="83" t="s">
        <v>46</v>
      </c>
      <c r="M22" s="228" t="s">
        <v>45</v>
      </c>
      <c r="N22" s="86">
        <f t="shared" si="1"/>
        <v>8.67</v>
      </c>
      <c r="O22" s="99" t="s">
        <v>83</v>
      </c>
      <c r="P22" s="227" t="s">
        <v>49</v>
      </c>
      <c r="Q22" s="100"/>
    </row>
    <row r="23" ht="15.0" customHeight="1">
      <c r="A23" s="56">
        <v>17.0</v>
      </c>
      <c r="B23" s="179" t="s">
        <v>292</v>
      </c>
      <c r="C23" s="29"/>
      <c r="D23" s="138">
        <v>8.35</v>
      </c>
      <c r="E23" s="66">
        <v>7.05</v>
      </c>
      <c r="F23" s="68">
        <v>7.21</v>
      </c>
      <c r="G23" s="104">
        <v>8.41</v>
      </c>
      <c r="H23" s="107">
        <v>7.91</v>
      </c>
      <c r="I23" s="109">
        <v>8.53</v>
      </c>
      <c r="J23" s="76">
        <v>8.25</v>
      </c>
      <c r="K23" s="90" t="s">
        <v>50</v>
      </c>
      <c r="L23" s="83" t="s">
        <v>46</v>
      </c>
      <c r="M23" s="228" t="s">
        <v>45</v>
      </c>
      <c r="N23" s="86">
        <f t="shared" si="1"/>
        <v>7.95</v>
      </c>
      <c r="O23" s="99" t="s">
        <v>52</v>
      </c>
      <c r="P23" s="227" t="s">
        <v>49</v>
      </c>
      <c r="Q23" s="100"/>
    </row>
    <row r="24" ht="15.0" customHeight="1">
      <c r="A24" s="56">
        <v>18.0</v>
      </c>
      <c r="B24" s="225" t="s">
        <v>293</v>
      </c>
      <c r="C24" s="225"/>
      <c r="D24" s="138">
        <v>9.34</v>
      </c>
      <c r="E24" s="66">
        <v>8.66</v>
      </c>
      <c r="F24" s="68">
        <v>8.31</v>
      </c>
      <c r="G24" s="104">
        <v>9.54</v>
      </c>
      <c r="H24" s="107">
        <v>7.56</v>
      </c>
      <c r="I24" s="109">
        <v>9.94</v>
      </c>
      <c r="J24" s="76">
        <v>9.51</v>
      </c>
      <c r="K24" s="90" t="s">
        <v>45</v>
      </c>
      <c r="L24" s="83" t="s">
        <v>47</v>
      </c>
      <c r="M24" s="228" t="s">
        <v>47</v>
      </c>
      <c r="N24" s="86">
        <f t="shared" si="1"/>
        <v>8.98</v>
      </c>
      <c r="O24" s="99" t="s">
        <v>48</v>
      </c>
      <c r="P24" s="227" t="s">
        <v>49</v>
      </c>
      <c r="Q24" s="100"/>
    </row>
    <row r="25" ht="15.0" customHeight="1">
      <c r="A25" s="56">
        <v>19.0</v>
      </c>
      <c r="B25" s="225" t="s">
        <v>294</v>
      </c>
      <c r="C25" s="225"/>
      <c r="D25" s="138">
        <v>8.17</v>
      </c>
      <c r="E25" s="66">
        <v>7.6</v>
      </c>
      <c r="F25" s="68">
        <v>7.35</v>
      </c>
      <c r="G25" s="104">
        <v>8.19</v>
      </c>
      <c r="H25" s="134">
        <v>7.03</v>
      </c>
      <c r="I25" s="109">
        <v>8.85</v>
      </c>
      <c r="J25" s="76">
        <v>7.65</v>
      </c>
      <c r="K25" s="90" t="s">
        <v>123</v>
      </c>
      <c r="L25" s="83" t="s">
        <v>205</v>
      </c>
      <c r="M25" s="228" t="s">
        <v>50</v>
      </c>
      <c r="N25" s="86">
        <f t="shared" si="1"/>
        <v>7.83</v>
      </c>
      <c r="O25" s="99" t="s">
        <v>83</v>
      </c>
      <c r="P25" s="227" t="s">
        <v>49</v>
      </c>
      <c r="Q25" s="100"/>
    </row>
    <row r="26" ht="15.0" customHeight="1">
      <c r="A26" s="56">
        <v>20.0</v>
      </c>
      <c r="B26" s="225" t="s">
        <v>295</v>
      </c>
      <c r="C26" s="225"/>
      <c r="D26" s="138">
        <v>7.54</v>
      </c>
      <c r="E26" s="66">
        <v>7.16</v>
      </c>
      <c r="F26" s="68">
        <v>7.28</v>
      </c>
      <c r="G26" s="104">
        <v>7.79</v>
      </c>
      <c r="H26" s="107">
        <v>7.24</v>
      </c>
      <c r="I26" s="109">
        <v>8.68</v>
      </c>
      <c r="J26" s="76">
        <v>8.46</v>
      </c>
      <c r="K26" s="90" t="s">
        <v>205</v>
      </c>
      <c r="L26" s="83" t="s">
        <v>205</v>
      </c>
      <c r="M26" s="228" t="s">
        <v>50</v>
      </c>
      <c r="N26" s="86">
        <f t="shared" si="1"/>
        <v>7.73</v>
      </c>
      <c r="O26" s="99" t="s">
        <v>83</v>
      </c>
      <c r="P26" s="227" t="s">
        <v>49</v>
      </c>
      <c r="Q26" s="100"/>
    </row>
    <row r="27" ht="15.0" customHeight="1">
      <c r="A27" s="56">
        <v>21.0</v>
      </c>
      <c r="B27" s="225" t="s">
        <v>297</v>
      </c>
      <c r="C27" s="225"/>
      <c r="D27" s="138">
        <v>9.06</v>
      </c>
      <c r="E27" s="66">
        <v>8.71</v>
      </c>
      <c r="F27" s="68">
        <v>7.44</v>
      </c>
      <c r="G27" s="104">
        <v>8.53</v>
      </c>
      <c r="H27" s="107">
        <v>7.63</v>
      </c>
      <c r="I27" s="109">
        <v>8.95</v>
      </c>
      <c r="J27" s="76">
        <v>8.49</v>
      </c>
      <c r="K27" s="90" t="s">
        <v>50</v>
      </c>
      <c r="L27" s="83" t="s">
        <v>47</v>
      </c>
      <c r="M27" s="228" t="s">
        <v>47</v>
      </c>
      <c r="N27" s="86">
        <f t="shared" si="1"/>
        <v>8.4</v>
      </c>
      <c r="O27" s="99" t="s">
        <v>48</v>
      </c>
      <c r="P27" s="227" t="s">
        <v>49</v>
      </c>
      <c r="Q27" s="100"/>
    </row>
    <row r="28" ht="18.0" customHeight="1">
      <c r="A28" s="56">
        <v>22.0</v>
      </c>
      <c r="B28" s="225" t="s">
        <v>298</v>
      </c>
      <c r="C28" s="225"/>
      <c r="D28" s="138">
        <v>9.48</v>
      </c>
      <c r="E28" s="66">
        <v>9.57</v>
      </c>
      <c r="F28" s="68">
        <v>9.24</v>
      </c>
      <c r="G28" s="104">
        <v>9.66</v>
      </c>
      <c r="H28" s="107">
        <v>9.19</v>
      </c>
      <c r="I28" s="109">
        <v>9.98</v>
      </c>
      <c r="J28" s="76">
        <v>9.87</v>
      </c>
      <c r="K28" s="90" t="s">
        <v>47</v>
      </c>
      <c r="L28" s="83" t="s">
        <v>47</v>
      </c>
      <c r="M28" s="228" t="s">
        <v>47</v>
      </c>
      <c r="N28" s="86">
        <f t="shared" si="1"/>
        <v>9.57</v>
      </c>
      <c r="O28" s="99" t="s">
        <v>48</v>
      </c>
      <c r="P28" s="227" t="s">
        <v>49</v>
      </c>
      <c r="Q28" s="100"/>
    </row>
    <row r="29" ht="15.0" customHeight="1">
      <c r="A29" s="56">
        <v>23.0</v>
      </c>
      <c r="B29" s="225" t="s">
        <v>299</v>
      </c>
      <c r="C29" s="225"/>
      <c r="D29" s="138">
        <v>9.15</v>
      </c>
      <c r="E29" s="66">
        <v>8.39</v>
      </c>
      <c r="F29" s="68">
        <v>8.48</v>
      </c>
      <c r="G29" s="104">
        <v>9.59</v>
      </c>
      <c r="H29" s="134">
        <v>8.02</v>
      </c>
      <c r="I29" s="109">
        <v>9.72</v>
      </c>
      <c r="J29" s="76">
        <v>9.12</v>
      </c>
      <c r="K29" s="90" t="s">
        <v>45</v>
      </c>
      <c r="L29" s="83" t="s">
        <v>47</v>
      </c>
      <c r="M29" s="228" t="s">
        <v>45</v>
      </c>
      <c r="N29" s="86">
        <f t="shared" si="1"/>
        <v>8.92</v>
      </c>
      <c r="O29" s="99" t="s">
        <v>52</v>
      </c>
      <c r="P29" s="227" t="s">
        <v>49</v>
      </c>
      <c r="Q29" s="100"/>
    </row>
    <row r="30" ht="18.0" customHeight="1">
      <c r="A30" s="56">
        <v>24.0</v>
      </c>
      <c r="B30" s="225" t="s">
        <v>302</v>
      </c>
      <c r="C30" s="225"/>
      <c r="D30" s="138">
        <v>9.05</v>
      </c>
      <c r="E30" s="66">
        <v>9.18</v>
      </c>
      <c r="F30" s="68">
        <v>8.36</v>
      </c>
      <c r="G30" s="104">
        <v>9.67</v>
      </c>
      <c r="H30" s="107">
        <v>8.9</v>
      </c>
      <c r="I30" s="109">
        <v>9.98</v>
      </c>
      <c r="J30" s="76">
        <v>9.57</v>
      </c>
      <c r="K30" s="90" t="s">
        <v>45</v>
      </c>
      <c r="L30" s="83" t="s">
        <v>47</v>
      </c>
      <c r="M30" s="228" t="s">
        <v>47</v>
      </c>
      <c r="N30" s="86">
        <f t="shared" si="1"/>
        <v>9.24</v>
      </c>
      <c r="O30" s="99" t="s">
        <v>48</v>
      </c>
      <c r="P30" s="227" t="s">
        <v>49</v>
      </c>
      <c r="Q30" s="100"/>
    </row>
    <row r="31" ht="15.0" customHeight="1">
      <c r="A31" s="56">
        <v>25.0</v>
      </c>
      <c r="B31" s="225" t="s">
        <v>306</v>
      </c>
      <c r="C31" s="225"/>
      <c r="D31" s="138">
        <v>8.33</v>
      </c>
      <c r="E31" s="66">
        <v>8.37</v>
      </c>
      <c r="F31" s="68">
        <v>7.54</v>
      </c>
      <c r="G31" s="104">
        <v>7.96</v>
      </c>
      <c r="H31" s="107">
        <v>7.42</v>
      </c>
      <c r="I31" s="109">
        <v>9.16</v>
      </c>
      <c r="J31" s="76">
        <v>8.38</v>
      </c>
      <c r="K31" s="90" t="s">
        <v>46</v>
      </c>
      <c r="L31" s="83" t="s">
        <v>46</v>
      </c>
      <c r="M31" s="228" t="s">
        <v>45</v>
      </c>
      <c r="N31" s="86">
        <f t="shared" si="1"/>
        <v>8.16</v>
      </c>
      <c r="O31" s="99" t="s">
        <v>83</v>
      </c>
      <c r="P31" s="227" t="s">
        <v>49</v>
      </c>
      <c r="Q31" s="100"/>
    </row>
    <row r="32" ht="15.0" customHeight="1">
      <c r="A32" s="56">
        <v>26.0</v>
      </c>
      <c r="B32" s="225" t="s">
        <v>309</v>
      </c>
      <c r="C32" s="225"/>
      <c r="D32" s="138">
        <v>9.0</v>
      </c>
      <c r="E32" s="66">
        <v>7.94</v>
      </c>
      <c r="F32" s="68">
        <v>7.56</v>
      </c>
      <c r="G32" s="104">
        <v>8.68</v>
      </c>
      <c r="H32" s="107">
        <v>7.3</v>
      </c>
      <c r="I32" s="109">
        <v>8.92</v>
      </c>
      <c r="J32" s="76">
        <v>7.54</v>
      </c>
      <c r="K32" s="90" t="s">
        <v>50</v>
      </c>
      <c r="L32" s="83" t="s">
        <v>46</v>
      </c>
      <c r="M32" s="228" t="s">
        <v>47</v>
      </c>
      <c r="N32" s="86">
        <f t="shared" si="1"/>
        <v>8.13</v>
      </c>
      <c r="O32" s="99" t="s">
        <v>52</v>
      </c>
      <c r="P32" s="227" t="s">
        <v>49</v>
      </c>
      <c r="Q32" s="100"/>
    </row>
    <row r="33" ht="15.0" customHeight="1">
      <c r="A33" s="56">
        <v>27.0</v>
      </c>
      <c r="B33" s="225" t="s">
        <v>310</v>
      </c>
      <c r="C33" s="225"/>
      <c r="D33" s="138">
        <v>8.67</v>
      </c>
      <c r="E33" s="66">
        <v>8.17</v>
      </c>
      <c r="F33" s="68">
        <v>7.47</v>
      </c>
      <c r="G33" s="104">
        <v>8.54</v>
      </c>
      <c r="H33" s="107">
        <v>8.14</v>
      </c>
      <c r="I33" s="109">
        <v>8.99</v>
      </c>
      <c r="J33" s="76">
        <v>8.53</v>
      </c>
      <c r="K33" s="90" t="s">
        <v>46</v>
      </c>
      <c r="L33" s="83" t="s">
        <v>46</v>
      </c>
      <c r="M33" s="228" t="s">
        <v>45</v>
      </c>
      <c r="N33" s="86">
        <f t="shared" si="1"/>
        <v>8.35</v>
      </c>
      <c r="O33" s="99" t="s">
        <v>48</v>
      </c>
      <c r="P33" s="227" t="s">
        <v>49</v>
      </c>
      <c r="Q33" s="100"/>
    </row>
    <row r="34" ht="15.0" customHeight="1">
      <c r="A34" s="232">
        <v>28.0</v>
      </c>
      <c r="B34" s="179" t="s">
        <v>313</v>
      </c>
      <c r="C34" s="29"/>
      <c r="D34" s="138">
        <v>8.01</v>
      </c>
      <c r="E34" s="66">
        <v>7.02</v>
      </c>
      <c r="F34" s="68">
        <v>7.01</v>
      </c>
      <c r="G34" s="104">
        <v>7.19</v>
      </c>
      <c r="H34" s="134">
        <v>7.0</v>
      </c>
      <c r="I34" s="109">
        <v>8.44</v>
      </c>
      <c r="J34" s="76">
        <v>8.31</v>
      </c>
      <c r="K34" s="90" t="s">
        <v>205</v>
      </c>
      <c r="L34" s="83" t="s">
        <v>50</v>
      </c>
      <c r="M34" s="228" t="s">
        <v>45</v>
      </c>
      <c r="N34" s="86">
        <f t="shared" si="1"/>
        <v>7.56</v>
      </c>
      <c r="O34" s="99" t="s">
        <v>52</v>
      </c>
      <c r="P34" s="227" t="s">
        <v>49</v>
      </c>
      <c r="Q34" s="100"/>
    </row>
    <row r="35" ht="15.0" customHeight="1">
      <c r="A35" s="56">
        <v>29.0</v>
      </c>
      <c r="B35" s="225" t="s">
        <v>315</v>
      </c>
      <c r="C35" s="225"/>
      <c r="D35" s="138">
        <v>8.62</v>
      </c>
      <c r="E35" s="66">
        <v>8.24</v>
      </c>
      <c r="F35" s="68">
        <v>8.12</v>
      </c>
      <c r="G35" s="104">
        <v>9.09</v>
      </c>
      <c r="H35" s="107">
        <v>8.21</v>
      </c>
      <c r="I35" s="109">
        <v>9.19</v>
      </c>
      <c r="J35" s="76">
        <v>9.59</v>
      </c>
      <c r="K35" s="90" t="s">
        <v>45</v>
      </c>
      <c r="L35" s="83" t="s">
        <v>47</v>
      </c>
      <c r="M35" s="228" t="s">
        <v>45</v>
      </c>
      <c r="N35" s="86">
        <f t="shared" si="1"/>
        <v>8.72</v>
      </c>
      <c r="O35" s="99" t="s">
        <v>48</v>
      </c>
      <c r="P35" s="227" t="s">
        <v>49</v>
      </c>
      <c r="Q35" s="100"/>
    </row>
    <row r="36" ht="15.0" customHeight="1">
      <c r="A36" s="56">
        <v>30.0</v>
      </c>
      <c r="B36" s="179" t="s">
        <v>317</v>
      </c>
      <c r="C36" s="29"/>
      <c r="D36" s="138">
        <v>7.2</v>
      </c>
      <c r="E36" s="66">
        <v>7.09</v>
      </c>
      <c r="F36" s="68">
        <v>7.27</v>
      </c>
      <c r="G36" s="104">
        <v>7.02</v>
      </c>
      <c r="H36" s="107">
        <v>7.0</v>
      </c>
      <c r="I36" s="109">
        <v>8.43</v>
      </c>
      <c r="J36" s="76">
        <v>8.14</v>
      </c>
      <c r="K36" s="90" t="s">
        <v>46</v>
      </c>
      <c r="L36" s="83" t="s">
        <v>205</v>
      </c>
      <c r="M36" s="228" t="s">
        <v>50</v>
      </c>
      <c r="N36" s="86">
        <f t="shared" si="1"/>
        <v>7.45</v>
      </c>
      <c r="O36" s="99" t="s">
        <v>83</v>
      </c>
      <c r="P36" s="227" t="s">
        <v>49</v>
      </c>
      <c r="Q36" s="100"/>
    </row>
    <row r="37" ht="15.0" customHeight="1">
      <c r="A37" s="56">
        <v>31.0</v>
      </c>
      <c r="B37" s="225" t="s">
        <v>320</v>
      </c>
      <c r="C37" s="225"/>
      <c r="D37" s="138">
        <v>8.11</v>
      </c>
      <c r="E37" s="66">
        <v>7.4</v>
      </c>
      <c r="F37" s="68">
        <v>7.08</v>
      </c>
      <c r="G37" s="104">
        <v>7.91</v>
      </c>
      <c r="H37" s="134">
        <v>7.05</v>
      </c>
      <c r="I37" s="109">
        <v>8.72</v>
      </c>
      <c r="J37" s="76">
        <v>7.93</v>
      </c>
      <c r="K37" s="90" t="s">
        <v>46</v>
      </c>
      <c r="L37" s="83" t="s">
        <v>47</v>
      </c>
      <c r="M37" s="228" t="s">
        <v>45</v>
      </c>
      <c r="N37" s="86">
        <f t="shared" si="1"/>
        <v>7.74</v>
      </c>
      <c r="O37" s="99" t="s">
        <v>48</v>
      </c>
      <c r="P37" s="227" t="s">
        <v>49</v>
      </c>
      <c r="Q37" s="100"/>
    </row>
    <row r="38" ht="15.0" customHeight="1">
      <c r="A38" s="56">
        <v>32.0</v>
      </c>
      <c r="B38" s="225" t="s">
        <v>322</v>
      </c>
      <c r="C38" s="225"/>
      <c r="D38" s="138">
        <v>8.78</v>
      </c>
      <c r="E38" s="66">
        <v>7.65</v>
      </c>
      <c r="F38" s="68">
        <v>7.73</v>
      </c>
      <c r="G38" s="104">
        <v>8.39</v>
      </c>
      <c r="H38" s="107">
        <v>7.67</v>
      </c>
      <c r="I38" s="109">
        <v>8.91</v>
      </c>
      <c r="J38" s="76">
        <v>8.7</v>
      </c>
      <c r="K38" s="90" t="s">
        <v>46</v>
      </c>
      <c r="L38" s="83" t="s">
        <v>46</v>
      </c>
      <c r="M38" s="228" t="s">
        <v>45</v>
      </c>
      <c r="N38" s="86">
        <f t="shared" si="1"/>
        <v>8.26</v>
      </c>
      <c r="O38" s="99" t="s">
        <v>52</v>
      </c>
      <c r="P38" s="227" t="s">
        <v>49</v>
      </c>
      <c r="Q38" s="100"/>
    </row>
    <row r="39" ht="18.0" customHeight="1">
      <c r="A39" s="124">
        <v>33.0</v>
      </c>
      <c r="B39" s="225" t="s">
        <v>324</v>
      </c>
      <c r="C39" s="225"/>
      <c r="D39" s="138">
        <v>9.23</v>
      </c>
      <c r="E39" s="66">
        <v>7.98</v>
      </c>
      <c r="F39" s="68">
        <v>9.12</v>
      </c>
      <c r="G39" s="104">
        <v>9.43</v>
      </c>
      <c r="H39" s="134">
        <v>8.29</v>
      </c>
      <c r="I39" s="109">
        <v>9.87</v>
      </c>
      <c r="J39" s="76">
        <v>8.97</v>
      </c>
      <c r="K39" s="90" t="s">
        <v>45</v>
      </c>
      <c r="L39" s="83" t="s">
        <v>47</v>
      </c>
      <c r="M39" s="228" t="s">
        <v>47</v>
      </c>
      <c r="N39" s="86">
        <f t="shared" si="1"/>
        <v>8.98</v>
      </c>
      <c r="O39" s="99" t="s">
        <v>48</v>
      </c>
      <c r="P39" s="227" t="s">
        <v>49</v>
      </c>
      <c r="Q39" s="100"/>
    </row>
    <row r="40" ht="15.0" customHeight="1">
      <c r="A40" s="124">
        <v>34.0</v>
      </c>
      <c r="B40" s="225" t="s">
        <v>326</v>
      </c>
      <c r="C40" s="225"/>
      <c r="D40" s="138">
        <v>8.88</v>
      </c>
      <c r="E40" s="66">
        <v>9.27</v>
      </c>
      <c r="F40" s="68">
        <v>8.57</v>
      </c>
      <c r="G40" s="104">
        <v>8.78</v>
      </c>
      <c r="H40" s="107">
        <v>8.45</v>
      </c>
      <c r="I40" s="109">
        <v>9.73</v>
      </c>
      <c r="J40" s="76">
        <v>7.98</v>
      </c>
      <c r="K40" s="90" t="s">
        <v>45</v>
      </c>
      <c r="L40" s="83" t="s">
        <v>47</v>
      </c>
      <c r="M40" s="228" t="s">
        <v>47</v>
      </c>
      <c r="N40" s="86">
        <f t="shared" si="1"/>
        <v>8.8</v>
      </c>
      <c r="O40" s="99" t="s">
        <v>48</v>
      </c>
      <c r="P40" s="227" t="s">
        <v>49</v>
      </c>
      <c r="Q40" s="100"/>
    </row>
    <row r="41" ht="14.25" customHeight="1">
      <c r="A41" s="124">
        <v>35.0</v>
      </c>
      <c r="B41" s="225" t="s">
        <v>328</v>
      </c>
      <c r="C41" s="225"/>
      <c r="D41" s="138">
        <v>9.44</v>
      </c>
      <c r="E41" s="66">
        <v>9.35</v>
      </c>
      <c r="F41" s="68">
        <v>8.48</v>
      </c>
      <c r="G41" s="104">
        <v>9.34</v>
      </c>
      <c r="H41" s="107">
        <v>8.44</v>
      </c>
      <c r="I41" s="109">
        <v>9.94</v>
      </c>
      <c r="J41" s="76">
        <v>9.61</v>
      </c>
      <c r="K41" s="90" t="s">
        <v>45</v>
      </c>
      <c r="L41" s="83" t="s">
        <v>47</v>
      </c>
      <c r="M41" s="228" t="s">
        <v>47</v>
      </c>
      <c r="N41" s="86">
        <f t="shared" si="1"/>
        <v>9.22</v>
      </c>
      <c r="O41" s="99" t="s">
        <v>48</v>
      </c>
      <c r="P41" s="227" t="s">
        <v>49</v>
      </c>
      <c r="Q41" s="100"/>
    </row>
    <row r="42" ht="15.0" customHeight="1">
      <c r="A42" s="124">
        <v>36.0</v>
      </c>
      <c r="B42" s="225" t="s">
        <v>330</v>
      </c>
      <c r="C42" s="225"/>
      <c r="D42" s="138">
        <v>9.18</v>
      </c>
      <c r="E42" s="66">
        <v>8.92</v>
      </c>
      <c r="F42" s="68">
        <v>8.2</v>
      </c>
      <c r="G42" s="104">
        <v>8.95</v>
      </c>
      <c r="H42" s="107">
        <v>8.34</v>
      </c>
      <c r="I42" s="109">
        <v>9.79</v>
      </c>
      <c r="J42" s="76">
        <v>9.28</v>
      </c>
      <c r="K42" s="90" t="s">
        <v>50</v>
      </c>
      <c r="L42" s="83" t="s">
        <v>47</v>
      </c>
      <c r="M42" s="228" t="s">
        <v>45</v>
      </c>
      <c r="N42" s="86">
        <f t="shared" si="1"/>
        <v>8.95</v>
      </c>
      <c r="O42" s="99" t="s">
        <v>48</v>
      </c>
      <c r="P42" s="227" t="s">
        <v>49</v>
      </c>
      <c r="Q42" s="100"/>
    </row>
    <row r="43" ht="15.0" customHeight="1">
      <c r="A43" s="124">
        <v>37.0</v>
      </c>
      <c r="B43" s="225" t="s">
        <v>332</v>
      </c>
      <c r="C43" s="225"/>
      <c r="D43" s="138">
        <v>9.13</v>
      </c>
      <c r="E43" s="66">
        <v>9.51</v>
      </c>
      <c r="F43" s="68">
        <v>9.46</v>
      </c>
      <c r="G43" s="104">
        <v>9.94</v>
      </c>
      <c r="H43" s="107">
        <v>9.12</v>
      </c>
      <c r="I43" s="109">
        <v>10.0</v>
      </c>
      <c r="J43" s="76">
        <v>9.92</v>
      </c>
      <c r="K43" s="90" t="s">
        <v>45</v>
      </c>
      <c r="L43" s="83" t="s">
        <v>47</v>
      </c>
      <c r="M43" s="228" t="s">
        <v>47</v>
      </c>
      <c r="N43" s="86">
        <f t="shared" si="1"/>
        <v>9.58</v>
      </c>
      <c r="O43" s="99" t="s">
        <v>48</v>
      </c>
      <c r="P43" s="227" t="s">
        <v>49</v>
      </c>
      <c r="Q43" s="100"/>
    </row>
    <row r="44" ht="15.0" customHeight="1">
      <c r="A44" s="124">
        <v>38.0</v>
      </c>
      <c r="B44" s="225" t="s">
        <v>333</v>
      </c>
      <c r="C44" s="225"/>
      <c r="D44" s="138">
        <v>8.46</v>
      </c>
      <c r="E44" s="66">
        <v>8.02</v>
      </c>
      <c r="F44" s="68">
        <v>7.76</v>
      </c>
      <c r="G44" s="104">
        <v>8.72</v>
      </c>
      <c r="H44" s="107">
        <v>7.45</v>
      </c>
      <c r="I44" s="109">
        <v>9.43</v>
      </c>
      <c r="J44" s="76">
        <v>8.89</v>
      </c>
      <c r="K44" s="90" t="s">
        <v>46</v>
      </c>
      <c r="L44" s="83" t="s">
        <v>47</v>
      </c>
      <c r="M44" s="228" t="s">
        <v>45</v>
      </c>
      <c r="N44" s="86">
        <f t="shared" si="1"/>
        <v>8.39</v>
      </c>
      <c r="O44" s="99" t="s">
        <v>48</v>
      </c>
      <c r="P44" s="227" t="s">
        <v>49</v>
      </c>
      <c r="Q44" s="100"/>
    </row>
    <row r="45" ht="14.25" customHeight="1">
      <c r="B45" s="144" t="s">
        <v>210</v>
      </c>
      <c r="C45" s="21"/>
      <c r="D45" s="237">
        <f t="shared" ref="D45:J45" si="2">AVERAGE(D8:D44)</f>
        <v>8.678648649</v>
      </c>
      <c r="E45" s="238">
        <f t="shared" si="2"/>
        <v>8.231081081</v>
      </c>
      <c r="F45" s="239">
        <f t="shared" si="2"/>
        <v>7.945675676</v>
      </c>
      <c r="G45" s="240">
        <f t="shared" si="2"/>
        <v>8.667837838</v>
      </c>
      <c r="H45" s="241">
        <f t="shared" si="2"/>
        <v>7.909459459</v>
      </c>
      <c r="I45" s="242">
        <f t="shared" si="2"/>
        <v>9.236486486</v>
      </c>
      <c r="J45" s="244">
        <f t="shared" si="2"/>
        <v>8.713513514</v>
      </c>
      <c r="K45" s="245"/>
      <c r="L45" s="245"/>
      <c r="M45" s="245"/>
      <c r="N45" s="246">
        <f>AVERAGE(N8:N44)</f>
        <v>8.478648649</v>
      </c>
      <c r="O45" s="247"/>
      <c r="P45" s="248"/>
    </row>
    <row r="46" ht="14.25" customHeight="1"/>
    <row r="47" ht="14.25" customHeight="1"/>
    <row r="48" ht="14.25" customHeight="1">
      <c r="B48" s="158" t="s">
        <v>234</v>
      </c>
      <c r="C48" s="21"/>
      <c r="D48" s="160" t="s">
        <v>235</v>
      </c>
      <c r="E48" s="16"/>
      <c r="F48" s="16"/>
      <c r="G48" s="17"/>
      <c r="H48" s="162"/>
      <c r="I48" s="160" t="s">
        <v>355</v>
      </c>
      <c r="J48" s="16"/>
      <c r="K48" s="16"/>
      <c r="L48" s="16"/>
      <c r="M48" s="16"/>
      <c r="N48" s="17"/>
    </row>
    <row r="49" ht="14.25" customHeight="1">
      <c r="B49" s="158" t="s">
        <v>240</v>
      </c>
      <c r="C49" s="21"/>
      <c r="D49" s="160" t="s">
        <v>242</v>
      </c>
      <c r="E49" s="16"/>
      <c r="F49" s="16"/>
      <c r="G49" s="17"/>
      <c r="H49" s="162"/>
      <c r="I49" s="160" t="s">
        <v>266</v>
      </c>
      <c r="J49" s="16"/>
      <c r="K49" s="16"/>
      <c r="L49" s="17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1">
    <mergeCell ref="A1:P1"/>
    <mergeCell ref="A2:P2"/>
    <mergeCell ref="C3:E3"/>
    <mergeCell ref="I3:J3"/>
    <mergeCell ref="K3:N3"/>
    <mergeCell ref="I4:J4"/>
    <mergeCell ref="B5:P5"/>
    <mergeCell ref="B45:C45"/>
    <mergeCell ref="B48:C48"/>
    <mergeCell ref="D48:G48"/>
    <mergeCell ref="I48:N48"/>
    <mergeCell ref="B49:C49"/>
    <mergeCell ref="D49:G49"/>
    <mergeCell ref="I49:L49"/>
    <mergeCell ref="B6:C6"/>
    <mergeCell ref="B10:C10"/>
    <mergeCell ref="B18:C18"/>
    <mergeCell ref="B20:C20"/>
    <mergeCell ref="B23:C23"/>
    <mergeCell ref="B34:C34"/>
    <mergeCell ref="B36:C36"/>
  </mergeCells>
  <conditionalFormatting sqref="D7:J45 N45">
    <cfRule type="cellIs" dxfId="0" priority="1" operator="lessThan">
      <formula>7</formula>
    </cfRule>
  </conditionalFormatting>
  <conditionalFormatting sqref="D7:J45 N45">
    <cfRule type="cellIs" dxfId="0" priority="2" operator="lessThan">
      <formula>6.29</formula>
    </cfRule>
  </conditionalFormatting>
  <conditionalFormatting sqref="N7:N44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1.86"/>
    <col customWidth="1" min="17" max="17" width="19.29"/>
    <col customWidth="1" min="18" max="18" width="7.0"/>
  </cols>
  <sheetData>
    <row r="1" ht="72.75" customHeight="1">
      <c r="A1" s="2" t="s">
        <v>279</v>
      </c>
    </row>
    <row r="2" ht="14.25" customHeight="1">
      <c r="A2" s="3"/>
      <c r="B2" s="4" t="s">
        <v>4</v>
      </c>
    </row>
    <row r="3" ht="14.25" customHeight="1">
      <c r="B3" s="5" t="s">
        <v>281</v>
      </c>
      <c r="C3" s="6"/>
      <c r="F3" s="7"/>
      <c r="G3" s="7"/>
      <c r="H3" s="7"/>
      <c r="I3" s="8" t="s">
        <v>9</v>
      </c>
      <c r="K3" s="9" t="s">
        <v>10</v>
      </c>
    </row>
    <row r="4" ht="14.25" customHeight="1">
      <c r="B4" s="10" t="s">
        <v>11</v>
      </c>
      <c r="C4" s="11" t="s">
        <v>284</v>
      </c>
      <c r="E4" s="7"/>
      <c r="F4" s="7"/>
      <c r="G4" s="7"/>
      <c r="H4" s="7"/>
      <c r="I4" s="8"/>
      <c r="K4" s="13"/>
      <c r="M4" s="7"/>
    </row>
    <row r="5" ht="14.25" customHeight="1">
      <c r="B5" s="18" t="s">
        <v>20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1"/>
    </row>
    <row r="6" ht="157.5" customHeight="1">
      <c r="A6" s="22" t="s">
        <v>22</v>
      </c>
      <c r="B6" s="24" t="s">
        <v>23</v>
      </c>
      <c r="C6" s="26"/>
      <c r="D6" s="30" t="s">
        <v>25</v>
      </c>
      <c r="E6" s="32" t="s">
        <v>26</v>
      </c>
      <c r="F6" s="34" t="s">
        <v>27</v>
      </c>
      <c r="G6" s="36" t="s">
        <v>28</v>
      </c>
      <c r="H6" s="38" t="s">
        <v>29</v>
      </c>
      <c r="I6" s="40" t="s">
        <v>30</v>
      </c>
      <c r="J6" s="43" t="s">
        <v>31</v>
      </c>
      <c r="K6" s="46" t="s">
        <v>32</v>
      </c>
      <c r="L6" s="48" t="s">
        <v>33</v>
      </c>
      <c r="M6" s="50" t="s">
        <v>34</v>
      </c>
      <c r="N6" s="52" t="s">
        <v>35</v>
      </c>
      <c r="O6" s="54" t="s">
        <v>37</v>
      </c>
      <c r="P6" s="55" t="s">
        <v>38</v>
      </c>
      <c r="R6" s="230"/>
    </row>
    <row r="7" ht="14.25" customHeight="1">
      <c r="A7" s="56">
        <v>1.0</v>
      </c>
      <c r="B7" s="231" t="s">
        <v>290</v>
      </c>
      <c r="C7" s="153"/>
      <c r="D7" s="138">
        <v>9.46</v>
      </c>
      <c r="E7" s="66">
        <v>9.43</v>
      </c>
      <c r="F7" s="68">
        <v>8.98</v>
      </c>
      <c r="G7" s="70">
        <v>9.67</v>
      </c>
      <c r="H7" s="105">
        <v>8.95</v>
      </c>
      <c r="I7" s="75">
        <v>9.67</v>
      </c>
      <c r="J7" s="76">
        <v>9.93</v>
      </c>
      <c r="K7" s="233" t="s">
        <v>45</v>
      </c>
      <c r="L7" s="234" t="s">
        <v>45</v>
      </c>
      <c r="M7" s="226" t="s">
        <v>47</v>
      </c>
      <c r="N7" s="86">
        <f t="shared" ref="N7:N45" si="1">TRUNC(AVERAGE(D7:J7),2)</f>
        <v>9.44</v>
      </c>
      <c r="O7" s="88" t="s">
        <v>48</v>
      </c>
      <c r="P7" s="227" t="s">
        <v>49</v>
      </c>
    </row>
    <row r="8" ht="15.0" customHeight="1">
      <c r="A8" s="56">
        <v>2.0</v>
      </c>
      <c r="B8" s="231" t="s">
        <v>296</v>
      </c>
      <c r="C8" s="153"/>
      <c r="D8" s="138">
        <v>9.28</v>
      </c>
      <c r="E8" s="66">
        <v>9.26</v>
      </c>
      <c r="F8" s="68">
        <v>9.34</v>
      </c>
      <c r="G8" s="104">
        <v>9.94</v>
      </c>
      <c r="H8" s="105">
        <v>9.45</v>
      </c>
      <c r="I8" s="109">
        <v>9.9</v>
      </c>
      <c r="J8" s="76">
        <v>9.95</v>
      </c>
      <c r="K8" s="233" t="s">
        <v>47</v>
      </c>
      <c r="L8" s="234" t="s">
        <v>47</v>
      </c>
      <c r="M8" s="228" t="s">
        <v>45</v>
      </c>
      <c r="N8" s="86">
        <f t="shared" si="1"/>
        <v>9.58</v>
      </c>
      <c r="O8" s="88" t="s">
        <v>48</v>
      </c>
      <c r="P8" s="227" t="s">
        <v>49</v>
      </c>
      <c r="Q8" s="113" t="s">
        <v>57</v>
      </c>
      <c r="R8" s="115">
        <f>LARGE(N7:N45,1)</f>
        <v>9.91</v>
      </c>
      <c r="S8" s="116" t="s">
        <v>72</v>
      </c>
    </row>
    <row r="9" ht="15.0" customHeight="1">
      <c r="A9" s="56">
        <v>3.0</v>
      </c>
      <c r="B9" s="231" t="s">
        <v>304</v>
      </c>
      <c r="C9" s="153"/>
      <c r="D9" s="138">
        <v>8.47</v>
      </c>
      <c r="E9" s="66">
        <v>8.32</v>
      </c>
      <c r="F9" s="68">
        <v>7.04</v>
      </c>
      <c r="G9" s="104">
        <v>8.1</v>
      </c>
      <c r="H9" s="105">
        <v>7.44</v>
      </c>
      <c r="I9" s="109">
        <v>9.1</v>
      </c>
      <c r="J9" s="76">
        <v>9.32</v>
      </c>
      <c r="K9" s="233" t="s">
        <v>45</v>
      </c>
      <c r="L9" s="234" t="s">
        <v>50</v>
      </c>
      <c r="M9" s="228" t="s">
        <v>50</v>
      </c>
      <c r="N9" s="86">
        <f t="shared" si="1"/>
        <v>8.25</v>
      </c>
      <c r="O9" s="88" t="s">
        <v>48</v>
      </c>
      <c r="P9" s="227" t="s">
        <v>49</v>
      </c>
      <c r="Q9" s="113" t="s">
        <v>62</v>
      </c>
      <c r="R9" s="118">
        <f>LARGE(N7:N45,2)</f>
        <v>9.87</v>
      </c>
      <c r="S9" s="116" t="s">
        <v>307</v>
      </c>
    </row>
    <row r="10" ht="15.0" customHeight="1">
      <c r="A10" s="56">
        <v>4.0</v>
      </c>
      <c r="B10" s="231" t="s">
        <v>308</v>
      </c>
      <c r="C10" s="153"/>
      <c r="D10" s="138">
        <v>9.73</v>
      </c>
      <c r="E10" s="66">
        <v>9.86</v>
      </c>
      <c r="F10" s="68">
        <v>9.52</v>
      </c>
      <c r="G10" s="104">
        <v>10.0</v>
      </c>
      <c r="H10" s="105">
        <v>9.72</v>
      </c>
      <c r="I10" s="109">
        <v>9.97</v>
      </c>
      <c r="J10" s="76">
        <v>9.95</v>
      </c>
      <c r="K10" s="233" t="s">
        <v>47</v>
      </c>
      <c r="L10" s="234" t="s">
        <v>47</v>
      </c>
      <c r="M10" s="228" t="s">
        <v>47</v>
      </c>
      <c r="N10" s="86">
        <f t="shared" si="1"/>
        <v>9.82</v>
      </c>
      <c r="O10" s="88" t="s">
        <v>48</v>
      </c>
      <c r="P10" s="227" t="s">
        <v>49</v>
      </c>
      <c r="Q10" s="113" t="s">
        <v>69</v>
      </c>
      <c r="R10" s="118">
        <f>LARGE(N7:N45,3)</f>
        <v>9.84</v>
      </c>
      <c r="S10" s="116" t="s">
        <v>311</v>
      </c>
    </row>
    <row r="11" ht="15.0" customHeight="1">
      <c r="A11" s="56">
        <v>5.0</v>
      </c>
      <c r="B11" s="235" t="s">
        <v>312</v>
      </c>
      <c r="C11" s="29"/>
      <c r="D11" s="138">
        <v>9.51</v>
      </c>
      <c r="E11" s="66">
        <v>9.32</v>
      </c>
      <c r="F11" s="68">
        <v>8.69</v>
      </c>
      <c r="G11" s="104">
        <v>9.53</v>
      </c>
      <c r="H11" s="105">
        <v>8.31</v>
      </c>
      <c r="I11" s="109">
        <v>9.47</v>
      </c>
      <c r="J11" s="76">
        <v>9.73</v>
      </c>
      <c r="K11" s="233" t="s">
        <v>45</v>
      </c>
      <c r="L11" s="234" t="s">
        <v>45</v>
      </c>
      <c r="M11" s="228" t="s">
        <v>45</v>
      </c>
      <c r="N11" s="86">
        <f t="shared" si="1"/>
        <v>9.22</v>
      </c>
      <c r="O11" s="88" t="s">
        <v>48</v>
      </c>
      <c r="P11" s="227" t="s">
        <v>49</v>
      </c>
    </row>
    <row r="12" ht="15.0" customHeight="1">
      <c r="A12" s="56">
        <v>6.0</v>
      </c>
      <c r="B12" s="231" t="s">
        <v>314</v>
      </c>
      <c r="C12" s="153"/>
      <c r="D12" s="138">
        <v>8.33</v>
      </c>
      <c r="E12" s="66">
        <v>8.27</v>
      </c>
      <c r="F12" s="68">
        <v>7.33</v>
      </c>
      <c r="G12" s="104">
        <v>8.11</v>
      </c>
      <c r="H12" s="105">
        <v>7.3</v>
      </c>
      <c r="I12" s="109">
        <v>9.03</v>
      </c>
      <c r="J12" s="76">
        <v>9.44</v>
      </c>
      <c r="K12" s="233" t="s">
        <v>50</v>
      </c>
      <c r="L12" s="234" t="s">
        <v>50</v>
      </c>
      <c r="M12" s="228" t="s">
        <v>45</v>
      </c>
      <c r="N12" s="86">
        <f t="shared" si="1"/>
        <v>8.25</v>
      </c>
      <c r="O12" s="88" t="s">
        <v>48</v>
      </c>
      <c r="P12" s="227" t="s">
        <v>49</v>
      </c>
    </row>
    <row r="13" ht="15.0" customHeight="1">
      <c r="A13" s="56">
        <v>7.0</v>
      </c>
      <c r="B13" s="231" t="s">
        <v>316</v>
      </c>
      <c r="C13" s="153"/>
      <c r="D13" s="138">
        <v>9.8</v>
      </c>
      <c r="E13" s="66">
        <v>9.33</v>
      </c>
      <c r="F13" s="68">
        <v>9.01</v>
      </c>
      <c r="G13" s="104">
        <v>9.82</v>
      </c>
      <c r="H13" s="105">
        <v>9.6</v>
      </c>
      <c r="I13" s="109">
        <v>10.0</v>
      </c>
      <c r="J13" s="76">
        <v>9.9</v>
      </c>
      <c r="K13" s="233" t="s">
        <v>47</v>
      </c>
      <c r="L13" s="234" t="s">
        <v>47</v>
      </c>
      <c r="M13" s="228" t="s">
        <v>47</v>
      </c>
      <c r="N13" s="86">
        <f t="shared" si="1"/>
        <v>9.63</v>
      </c>
      <c r="O13" s="88" t="s">
        <v>48</v>
      </c>
      <c r="P13" s="227" t="s">
        <v>49</v>
      </c>
    </row>
    <row r="14" ht="15.0" customHeight="1">
      <c r="A14" s="56">
        <v>8.0</v>
      </c>
      <c r="B14" s="231" t="s">
        <v>318</v>
      </c>
      <c r="C14" s="153"/>
      <c r="D14" s="138">
        <v>9.05</v>
      </c>
      <c r="E14" s="66">
        <v>9.44</v>
      </c>
      <c r="F14" s="68">
        <v>9.15</v>
      </c>
      <c r="G14" s="104">
        <v>9.77</v>
      </c>
      <c r="H14" s="105">
        <v>8.64</v>
      </c>
      <c r="I14" s="109">
        <v>9.87</v>
      </c>
      <c r="J14" s="76">
        <v>9.88</v>
      </c>
      <c r="K14" s="233" t="s">
        <v>47</v>
      </c>
      <c r="L14" s="234" t="s">
        <v>47</v>
      </c>
      <c r="M14" s="228" t="s">
        <v>47</v>
      </c>
      <c r="N14" s="86">
        <f t="shared" si="1"/>
        <v>9.4</v>
      </c>
      <c r="O14" s="88" t="s">
        <v>48</v>
      </c>
      <c r="P14" s="227" t="s">
        <v>49</v>
      </c>
    </row>
    <row r="15" ht="15.0" customHeight="1">
      <c r="A15" s="56">
        <v>9.0</v>
      </c>
      <c r="B15" s="231" t="s">
        <v>319</v>
      </c>
      <c r="C15" s="153"/>
      <c r="D15" s="138">
        <v>9.71</v>
      </c>
      <c r="E15" s="66">
        <v>9.78</v>
      </c>
      <c r="F15" s="68">
        <v>9.47</v>
      </c>
      <c r="G15" s="104">
        <v>9.93</v>
      </c>
      <c r="H15" s="105">
        <v>9.66</v>
      </c>
      <c r="I15" s="109">
        <v>9.88</v>
      </c>
      <c r="J15" s="76">
        <v>9.86</v>
      </c>
      <c r="K15" s="233" t="s">
        <v>47</v>
      </c>
      <c r="L15" s="234" t="s">
        <v>47</v>
      </c>
      <c r="M15" s="228" t="s">
        <v>47</v>
      </c>
      <c r="N15" s="86">
        <f t="shared" si="1"/>
        <v>9.75</v>
      </c>
      <c r="O15" s="88" t="s">
        <v>48</v>
      </c>
      <c r="P15" s="227" t="s">
        <v>49</v>
      </c>
    </row>
    <row r="16" ht="15.0" customHeight="1">
      <c r="A16" s="56">
        <v>10.0</v>
      </c>
      <c r="B16" s="231" t="s">
        <v>321</v>
      </c>
      <c r="C16" s="153"/>
      <c r="D16" s="138">
        <v>8.73</v>
      </c>
      <c r="E16" s="66">
        <v>8.95</v>
      </c>
      <c r="F16" s="68">
        <v>8.54</v>
      </c>
      <c r="G16" s="104">
        <v>9.22</v>
      </c>
      <c r="H16" s="105">
        <v>8.3</v>
      </c>
      <c r="I16" s="109">
        <v>9.42</v>
      </c>
      <c r="J16" s="76">
        <v>9.58</v>
      </c>
      <c r="K16" s="233" t="s">
        <v>47</v>
      </c>
      <c r="L16" s="234" t="s">
        <v>47</v>
      </c>
      <c r="M16" s="228" t="s">
        <v>45</v>
      </c>
      <c r="N16" s="86">
        <f t="shared" si="1"/>
        <v>8.96</v>
      </c>
      <c r="O16" s="88" t="s">
        <v>48</v>
      </c>
      <c r="P16" s="227" t="s">
        <v>49</v>
      </c>
    </row>
    <row r="17" ht="15.0" customHeight="1">
      <c r="A17" s="56">
        <v>11.0</v>
      </c>
      <c r="B17" s="231" t="s">
        <v>323</v>
      </c>
      <c r="C17" s="153"/>
      <c r="D17" s="138">
        <v>8.66</v>
      </c>
      <c r="E17" s="66">
        <v>8.03</v>
      </c>
      <c r="F17" s="68">
        <v>7.56</v>
      </c>
      <c r="G17" s="104">
        <v>8.23</v>
      </c>
      <c r="H17" s="84">
        <v>7.42</v>
      </c>
      <c r="I17" s="109">
        <v>8.38</v>
      </c>
      <c r="J17" s="76">
        <v>8.59</v>
      </c>
      <c r="K17" s="233" t="s">
        <v>45</v>
      </c>
      <c r="L17" s="234" t="s">
        <v>45</v>
      </c>
      <c r="M17" s="228" t="s">
        <v>50</v>
      </c>
      <c r="N17" s="86">
        <f t="shared" si="1"/>
        <v>8.12</v>
      </c>
      <c r="O17" s="88" t="s">
        <v>48</v>
      </c>
      <c r="P17" s="227" t="s">
        <v>49</v>
      </c>
    </row>
    <row r="18" ht="15.0" customHeight="1">
      <c r="A18" s="56">
        <v>12.0</v>
      </c>
      <c r="B18" s="235" t="s">
        <v>325</v>
      </c>
      <c r="C18" s="29"/>
      <c r="D18" s="138">
        <v>9.2</v>
      </c>
      <c r="E18" s="66">
        <v>9.29</v>
      </c>
      <c r="F18" s="68">
        <v>8.65</v>
      </c>
      <c r="G18" s="104">
        <v>9.34</v>
      </c>
      <c r="H18" s="105">
        <v>8.4</v>
      </c>
      <c r="I18" s="109">
        <v>9.71</v>
      </c>
      <c r="J18" s="76">
        <v>9.57</v>
      </c>
      <c r="K18" s="233" t="s">
        <v>47</v>
      </c>
      <c r="L18" s="234" t="s">
        <v>47</v>
      </c>
      <c r="M18" s="228" t="s">
        <v>47</v>
      </c>
      <c r="N18" s="86">
        <f t="shared" si="1"/>
        <v>9.16</v>
      </c>
      <c r="O18" s="88" t="s">
        <v>48</v>
      </c>
      <c r="P18" s="227" t="s">
        <v>49</v>
      </c>
    </row>
    <row r="19" ht="15.0" customHeight="1">
      <c r="A19" s="56">
        <v>13.0</v>
      </c>
      <c r="B19" s="231" t="s">
        <v>327</v>
      </c>
      <c r="C19" s="153"/>
      <c r="D19" s="138">
        <v>9.79</v>
      </c>
      <c r="E19" s="66">
        <v>9.8</v>
      </c>
      <c r="F19" s="68">
        <v>9.79</v>
      </c>
      <c r="G19" s="104">
        <v>10.0</v>
      </c>
      <c r="H19" s="105">
        <v>9.84</v>
      </c>
      <c r="I19" s="109">
        <v>10.0</v>
      </c>
      <c r="J19" s="76">
        <v>9.93</v>
      </c>
      <c r="K19" s="233" t="s">
        <v>47</v>
      </c>
      <c r="L19" s="234" t="s">
        <v>47</v>
      </c>
      <c r="M19" s="228" t="s">
        <v>47</v>
      </c>
      <c r="N19" s="86">
        <f t="shared" si="1"/>
        <v>9.87</v>
      </c>
      <c r="O19" s="88" t="s">
        <v>48</v>
      </c>
      <c r="P19" s="227" t="s">
        <v>49</v>
      </c>
    </row>
    <row r="20" ht="15.0" customHeight="1">
      <c r="A20" s="56">
        <v>14.0</v>
      </c>
      <c r="B20" s="235" t="s">
        <v>329</v>
      </c>
      <c r="C20" s="29"/>
      <c r="D20" s="138">
        <v>9.09</v>
      </c>
      <c r="E20" s="66">
        <v>9.45</v>
      </c>
      <c r="F20" s="68">
        <v>8.67</v>
      </c>
      <c r="G20" s="104">
        <v>9.37</v>
      </c>
      <c r="H20" s="105">
        <v>8.57</v>
      </c>
      <c r="I20" s="109">
        <v>9.96</v>
      </c>
      <c r="J20" s="76">
        <v>9.43</v>
      </c>
      <c r="K20" s="233" t="s">
        <v>47</v>
      </c>
      <c r="L20" s="234" t="s">
        <v>50</v>
      </c>
      <c r="M20" s="228" t="s">
        <v>50</v>
      </c>
      <c r="N20" s="86">
        <f t="shared" si="1"/>
        <v>9.22</v>
      </c>
      <c r="O20" s="88" t="s">
        <v>48</v>
      </c>
      <c r="P20" s="227" t="s">
        <v>49</v>
      </c>
    </row>
    <row r="21" ht="15.0" customHeight="1">
      <c r="A21" s="56">
        <v>15.0</v>
      </c>
      <c r="B21" s="235" t="s">
        <v>331</v>
      </c>
      <c r="C21" s="29"/>
      <c r="D21" s="138">
        <v>8.93</v>
      </c>
      <c r="E21" s="66">
        <v>8.49</v>
      </c>
      <c r="F21" s="68">
        <v>8.09</v>
      </c>
      <c r="G21" s="104">
        <v>8.87</v>
      </c>
      <c r="H21" s="105">
        <v>8.51</v>
      </c>
      <c r="I21" s="109">
        <v>9.59</v>
      </c>
      <c r="J21" s="76">
        <v>9.54</v>
      </c>
      <c r="K21" s="233" t="s">
        <v>45</v>
      </c>
      <c r="L21" s="234" t="s">
        <v>45</v>
      </c>
      <c r="M21" s="228" t="s">
        <v>45</v>
      </c>
      <c r="N21" s="86">
        <f t="shared" si="1"/>
        <v>8.86</v>
      </c>
      <c r="O21" s="88" t="s">
        <v>48</v>
      </c>
      <c r="P21" s="227" t="s">
        <v>49</v>
      </c>
    </row>
    <row r="22" ht="15.0" customHeight="1">
      <c r="A22" s="56">
        <v>16.0</v>
      </c>
      <c r="B22" s="231" t="s">
        <v>336</v>
      </c>
      <c r="C22" s="153"/>
      <c r="D22" s="138">
        <v>9.74</v>
      </c>
      <c r="E22" s="66">
        <v>9.83</v>
      </c>
      <c r="F22" s="68">
        <v>9.61</v>
      </c>
      <c r="G22" s="104">
        <v>9.84</v>
      </c>
      <c r="H22" s="105">
        <v>9.43</v>
      </c>
      <c r="I22" s="109">
        <v>9.96</v>
      </c>
      <c r="J22" s="76">
        <v>9.76</v>
      </c>
      <c r="K22" s="233" t="s">
        <v>47</v>
      </c>
      <c r="L22" s="234" t="s">
        <v>47</v>
      </c>
      <c r="M22" s="228" t="s">
        <v>47</v>
      </c>
      <c r="N22" s="86">
        <f t="shared" si="1"/>
        <v>9.73</v>
      </c>
      <c r="O22" s="88" t="s">
        <v>48</v>
      </c>
      <c r="P22" s="227" t="s">
        <v>49</v>
      </c>
    </row>
    <row r="23" ht="15.0" customHeight="1">
      <c r="A23" s="56">
        <v>17.0</v>
      </c>
      <c r="B23" s="231" t="s">
        <v>344</v>
      </c>
      <c r="C23" s="153"/>
      <c r="D23" s="138">
        <v>8.99</v>
      </c>
      <c r="E23" s="66">
        <v>8.49</v>
      </c>
      <c r="F23" s="68">
        <v>7.64</v>
      </c>
      <c r="G23" s="104">
        <v>8.88</v>
      </c>
      <c r="H23" s="105">
        <v>8.45</v>
      </c>
      <c r="I23" s="109">
        <v>9.95</v>
      </c>
      <c r="J23" s="76">
        <v>9.87</v>
      </c>
      <c r="K23" s="233" t="s">
        <v>47</v>
      </c>
      <c r="L23" s="234" t="s">
        <v>47</v>
      </c>
      <c r="M23" s="228" t="s">
        <v>45</v>
      </c>
      <c r="N23" s="86">
        <f t="shared" si="1"/>
        <v>8.89</v>
      </c>
      <c r="O23" s="88" t="s">
        <v>48</v>
      </c>
      <c r="P23" s="227" t="s">
        <v>49</v>
      </c>
    </row>
    <row r="24" ht="15.0" customHeight="1">
      <c r="A24" s="56">
        <v>18.0</v>
      </c>
      <c r="B24" s="231" t="s">
        <v>350</v>
      </c>
      <c r="C24" s="153"/>
      <c r="D24" s="138">
        <v>9.6</v>
      </c>
      <c r="E24" s="66">
        <v>9.76</v>
      </c>
      <c r="F24" s="68">
        <v>9.3</v>
      </c>
      <c r="G24" s="104">
        <v>9.8</v>
      </c>
      <c r="H24" s="105">
        <v>9.3</v>
      </c>
      <c r="I24" s="109">
        <v>10.0</v>
      </c>
      <c r="J24" s="76">
        <v>9.9</v>
      </c>
      <c r="K24" s="233" t="s">
        <v>47</v>
      </c>
      <c r="L24" s="234" t="s">
        <v>47</v>
      </c>
      <c r="M24" s="228" t="s">
        <v>45</v>
      </c>
      <c r="N24" s="86">
        <f t="shared" si="1"/>
        <v>9.66</v>
      </c>
      <c r="O24" s="88" t="s">
        <v>48</v>
      </c>
      <c r="P24" s="227" t="s">
        <v>49</v>
      </c>
    </row>
    <row r="25" ht="15.0" customHeight="1">
      <c r="A25" s="56">
        <v>19.0</v>
      </c>
      <c r="B25" s="243" t="s">
        <v>351</v>
      </c>
      <c r="C25" s="29"/>
      <c r="D25" s="138">
        <v>8.24</v>
      </c>
      <c r="E25" s="66">
        <v>8.18</v>
      </c>
      <c r="F25" s="68">
        <v>7.44</v>
      </c>
      <c r="G25" s="104">
        <v>8.52</v>
      </c>
      <c r="H25" s="105">
        <v>7.83</v>
      </c>
      <c r="I25" s="109">
        <v>9.51</v>
      </c>
      <c r="J25" s="76">
        <v>9.28</v>
      </c>
      <c r="K25" s="233" t="s">
        <v>50</v>
      </c>
      <c r="L25" s="234" t="s">
        <v>50</v>
      </c>
      <c r="M25" s="228" t="s">
        <v>50</v>
      </c>
      <c r="N25" s="86">
        <f t="shared" si="1"/>
        <v>8.42</v>
      </c>
      <c r="O25" s="88" t="s">
        <v>48</v>
      </c>
      <c r="P25" s="227" t="s">
        <v>49</v>
      </c>
    </row>
    <row r="26" ht="15.0" customHeight="1">
      <c r="A26" s="56">
        <v>20.0</v>
      </c>
      <c r="B26" s="231" t="s">
        <v>352</v>
      </c>
      <c r="C26" s="153"/>
      <c r="D26" s="138">
        <v>7.89</v>
      </c>
      <c r="E26" s="66">
        <v>8.05</v>
      </c>
      <c r="F26" s="68">
        <v>7.35</v>
      </c>
      <c r="G26" s="104">
        <v>8.33</v>
      </c>
      <c r="H26" s="105">
        <v>7.01</v>
      </c>
      <c r="I26" s="109">
        <v>8.64</v>
      </c>
      <c r="J26" s="76">
        <v>8.54</v>
      </c>
      <c r="K26" s="233" t="s">
        <v>45</v>
      </c>
      <c r="L26" s="234" t="s">
        <v>45</v>
      </c>
      <c r="M26" s="228" t="s">
        <v>50</v>
      </c>
      <c r="N26" s="86">
        <f t="shared" si="1"/>
        <v>7.97</v>
      </c>
      <c r="O26" s="88" t="s">
        <v>48</v>
      </c>
      <c r="P26" s="227" t="s">
        <v>49</v>
      </c>
    </row>
    <row r="27" ht="15.0" customHeight="1">
      <c r="A27" s="56">
        <v>21.0</v>
      </c>
      <c r="B27" s="231" t="s">
        <v>353</v>
      </c>
      <c r="C27" s="153"/>
      <c r="D27" s="138">
        <v>7.58</v>
      </c>
      <c r="E27" s="66">
        <v>7.03</v>
      </c>
      <c r="F27" s="68">
        <v>7.06</v>
      </c>
      <c r="G27" s="104">
        <v>7.37</v>
      </c>
      <c r="H27" s="105">
        <v>7.1</v>
      </c>
      <c r="I27" s="109">
        <v>8.12</v>
      </c>
      <c r="J27" s="76">
        <v>8.85</v>
      </c>
      <c r="K27" s="233" t="s">
        <v>50</v>
      </c>
      <c r="L27" s="234" t="s">
        <v>50</v>
      </c>
      <c r="M27" s="228" t="s">
        <v>50</v>
      </c>
      <c r="N27" s="86">
        <f t="shared" si="1"/>
        <v>7.58</v>
      </c>
      <c r="O27" s="88" t="s">
        <v>48</v>
      </c>
      <c r="P27" s="227" t="s">
        <v>49</v>
      </c>
    </row>
    <row r="28" ht="18.0" customHeight="1">
      <c r="A28" s="56">
        <v>22.0</v>
      </c>
      <c r="B28" s="231" t="s">
        <v>354</v>
      </c>
      <c r="C28" s="153"/>
      <c r="D28" s="138">
        <v>9.1</v>
      </c>
      <c r="E28" s="66">
        <v>8.77</v>
      </c>
      <c r="F28" s="68">
        <v>8.98</v>
      </c>
      <c r="G28" s="104">
        <v>9.62</v>
      </c>
      <c r="H28" s="105">
        <v>7.81</v>
      </c>
      <c r="I28" s="109">
        <v>9.93</v>
      </c>
      <c r="J28" s="76">
        <v>9.68</v>
      </c>
      <c r="K28" s="233" t="s">
        <v>47</v>
      </c>
      <c r="L28" s="234" t="s">
        <v>45</v>
      </c>
      <c r="M28" s="228" t="s">
        <v>45</v>
      </c>
      <c r="N28" s="86">
        <f t="shared" si="1"/>
        <v>9.12</v>
      </c>
      <c r="O28" s="88" t="s">
        <v>48</v>
      </c>
      <c r="P28" s="227" t="s">
        <v>49</v>
      </c>
    </row>
    <row r="29" ht="15.0" customHeight="1">
      <c r="A29" s="56">
        <v>23.0</v>
      </c>
      <c r="B29" s="231" t="s">
        <v>356</v>
      </c>
      <c r="C29" s="153"/>
      <c r="D29" s="138">
        <v>9.04</v>
      </c>
      <c r="E29" s="66">
        <v>8.05</v>
      </c>
      <c r="F29" s="68">
        <v>8.83</v>
      </c>
      <c r="G29" s="104">
        <v>9.06</v>
      </c>
      <c r="H29" s="105">
        <v>7.89</v>
      </c>
      <c r="I29" s="109">
        <v>9.47</v>
      </c>
      <c r="J29" s="76">
        <v>9.41</v>
      </c>
      <c r="K29" s="233" t="s">
        <v>47</v>
      </c>
      <c r="L29" s="234" t="s">
        <v>45</v>
      </c>
      <c r="M29" s="228" t="s">
        <v>45</v>
      </c>
      <c r="N29" s="86">
        <f t="shared" si="1"/>
        <v>8.82</v>
      </c>
      <c r="O29" s="88" t="s">
        <v>48</v>
      </c>
      <c r="P29" s="227" t="s">
        <v>49</v>
      </c>
    </row>
    <row r="30" ht="18.0" customHeight="1">
      <c r="A30" s="56">
        <v>24.0</v>
      </c>
      <c r="B30" s="235" t="s">
        <v>357</v>
      </c>
      <c r="C30" s="29"/>
      <c r="D30" s="138">
        <v>9.42</v>
      </c>
      <c r="E30" s="66">
        <v>9.51</v>
      </c>
      <c r="F30" s="68">
        <v>8.9</v>
      </c>
      <c r="G30" s="104">
        <v>9.55</v>
      </c>
      <c r="H30" s="105">
        <v>8.61</v>
      </c>
      <c r="I30" s="109">
        <v>9.7</v>
      </c>
      <c r="J30" s="76">
        <v>9.69</v>
      </c>
      <c r="K30" s="233" t="s">
        <v>45</v>
      </c>
      <c r="L30" s="234" t="s">
        <v>45</v>
      </c>
      <c r="M30" s="228" t="s">
        <v>45</v>
      </c>
      <c r="N30" s="86">
        <f t="shared" si="1"/>
        <v>9.34</v>
      </c>
      <c r="O30" s="88" t="s">
        <v>48</v>
      </c>
      <c r="P30" s="227" t="s">
        <v>49</v>
      </c>
    </row>
    <row r="31" ht="15.0" customHeight="1">
      <c r="A31" s="56">
        <v>25.0</v>
      </c>
      <c r="B31" s="231" t="s">
        <v>358</v>
      </c>
      <c r="C31" s="153"/>
      <c r="D31" s="138">
        <v>8.59</v>
      </c>
      <c r="E31" s="66">
        <v>8.64</v>
      </c>
      <c r="F31" s="68">
        <v>7.3</v>
      </c>
      <c r="G31" s="104">
        <v>8.6</v>
      </c>
      <c r="H31" s="105">
        <v>7.76</v>
      </c>
      <c r="I31" s="109">
        <v>8.81</v>
      </c>
      <c r="J31" s="76">
        <v>9.02</v>
      </c>
      <c r="K31" s="233" t="s">
        <v>50</v>
      </c>
      <c r="L31" s="234" t="s">
        <v>50</v>
      </c>
      <c r="M31" s="228" t="s">
        <v>45</v>
      </c>
      <c r="N31" s="86">
        <f t="shared" si="1"/>
        <v>8.38</v>
      </c>
      <c r="O31" s="88" t="s">
        <v>48</v>
      </c>
      <c r="P31" s="227" t="s">
        <v>49</v>
      </c>
    </row>
    <row r="32" ht="15.0" customHeight="1">
      <c r="A32" s="56">
        <v>26.0</v>
      </c>
      <c r="B32" s="231" t="s">
        <v>359</v>
      </c>
      <c r="C32" s="153"/>
      <c r="D32" s="138">
        <v>9.8</v>
      </c>
      <c r="E32" s="66">
        <v>9.98</v>
      </c>
      <c r="F32" s="68">
        <v>9.67</v>
      </c>
      <c r="G32" s="104">
        <v>10.0</v>
      </c>
      <c r="H32" s="105">
        <v>9.96</v>
      </c>
      <c r="I32" s="109">
        <v>10.0</v>
      </c>
      <c r="J32" s="76">
        <v>10.0</v>
      </c>
      <c r="K32" s="233" t="s">
        <v>47</v>
      </c>
      <c r="L32" s="234" t="s">
        <v>47</v>
      </c>
      <c r="M32" s="228" t="s">
        <v>47</v>
      </c>
      <c r="N32" s="86">
        <f t="shared" si="1"/>
        <v>9.91</v>
      </c>
      <c r="O32" s="88" t="s">
        <v>48</v>
      </c>
      <c r="P32" s="227" t="s">
        <v>49</v>
      </c>
    </row>
    <row r="33" ht="15.0" customHeight="1">
      <c r="A33" s="56">
        <v>27.0</v>
      </c>
      <c r="B33" s="231" t="s">
        <v>360</v>
      </c>
      <c r="C33" s="153"/>
      <c r="D33" s="138">
        <v>7.58</v>
      </c>
      <c r="E33" s="66">
        <v>7.22</v>
      </c>
      <c r="F33" s="68">
        <v>7.09</v>
      </c>
      <c r="G33" s="104">
        <v>7.14</v>
      </c>
      <c r="H33" s="105">
        <v>7.13</v>
      </c>
      <c r="I33" s="109">
        <v>8.17</v>
      </c>
      <c r="J33" s="76">
        <v>8.31</v>
      </c>
      <c r="K33" s="233" t="s">
        <v>50</v>
      </c>
      <c r="L33" s="234" t="s">
        <v>50</v>
      </c>
      <c r="M33" s="228" t="s">
        <v>50</v>
      </c>
      <c r="N33" s="86">
        <f t="shared" si="1"/>
        <v>7.52</v>
      </c>
      <c r="O33" s="88" t="s">
        <v>48</v>
      </c>
      <c r="P33" s="227" t="s">
        <v>49</v>
      </c>
    </row>
    <row r="34" ht="15.0" customHeight="1">
      <c r="A34" s="56">
        <v>28.0</v>
      </c>
      <c r="B34" s="231" t="s">
        <v>361</v>
      </c>
      <c r="C34" s="153"/>
      <c r="D34" s="138">
        <v>7.51</v>
      </c>
      <c r="E34" s="66">
        <v>7.34</v>
      </c>
      <c r="F34" s="68">
        <v>7.26</v>
      </c>
      <c r="G34" s="104">
        <v>8.1</v>
      </c>
      <c r="H34" s="105">
        <v>7.12</v>
      </c>
      <c r="I34" s="109">
        <v>8.33</v>
      </c>
      <c r="J34" s="76">
        <v>8.84</v>
      </c>
      <c r="K34" s="233" t="s">
        <v>50</v>
      </c>
      <c r="L34" s="234" t="s">
        <v>50</v>
      </c>
      <c r="M34" s="228" t="s">
        <v>50</v>
      </c>
      <c r="N34" s="86">
        <f t="shared" si="1"/>
        <v>7.78</v>
      </c>
      <c r="O34" s="88" t="s">
        <v>48</v>
      </c>
      <c r="P34" s="227" t="s">
        <v>49</v>
      </c>
    </row>
    <row r="35" ht="15.0" customHeight="1">
      <c r="A35" s="56">
        <v>29.0</v>
      </c>
      <c r="B35" s="231" t="s">
        <v>362</v>
      </c>
      <c r="C35" s="153"/>
      <c r="D35" s="138">
        <v>7.94</v>
      </c>
      <c r="E35" s="66">
        <v>7.65</v>
      </c>
      <c r="F35" s="68">
        <v>7.01</v>
      </c>
      <c r="G35" s="104">
        <v>7.0</v>
      </c>
      <c r="H35" s="105">
        <v>7.0</v>
      </c>
      <c r="I35" s="109">
        <v>7.79</v>
      </c>
      <c r="J35" s="76">
        <v>8.28</v>
      </c>
      <c r="K35" s="233" t="s">
        <v>50</v>
      </c>
      <c r="L35" s="234" t="s">
        <v>50</v>
      </c>
      <c r="M35" s="228" t="s">
        <v>50</v>
      </c>
      <c r="N35" s="86">
        <f t="shared" si="1"/>
        <v>7.52</v>
      </c>
      <c r="O35" s="88" t="s">
        <v>48</v>
      </c>
      <c r="P35" s="227" t="s">
        <v>49</v>
      </c>
    </row>
    <row r="36" ht="15.0" customHeight="1">
      <c r="A36" s="56">
        <v>30.0</v>
      </c>
      <c r="B36" s="235" t="s">
        <v>363</v>
      </c>
      <c r="C36" s="29"/>
      <c r="D36" s="138">
        <v>9.32</v>
      </c>
      <c r="E36" s="66">
        <v>9.14</v>
      </c>
      <c r="F36" s="68">
        <v>8.76</v>
      </c>
      <c r="G36" s="104">
        <v>8.97</v>
      </c>
      <c r="H36" s="105">
        <v>8.59</v>
      </c>
      <c r="I36" s="109">
        <v>9.32</v>
      </c>
      <c r="J36" s="76">
        <v>9.18</v>
      </c>
      <c r="K36" s="233" t="s">
        <v>47</v>
      </c>
      <c r="L36" s="234" t="s">
        <v>47</v>
      </c>
      <c r="M36" s="228" t="s">
        <v>45</v>
      </c>
      <c r="N36" s="86">
        <f t="shared" si="1"/>
        <v>9.04</v>
      </c>
      <c r="O36" s="88" t="s">
        <v>48</v>
      </c>
      <c r="P36" s="227" t="s">
        <v>49</v>
      </c>
    </row>
    <row r="37" ht="15.0" customHeight="1">
      <c r="A37" s="56">
        <v>31.0</v>
      </c>
      <c r="B37" s="235" t="s">
        <v>364</v>
      </c>
      <c r="C37" s="29"/>
      <c r="D37" s="138">
        <v>8.66</v>
      </c>
      <c r="E37" s="66">
        <v>8.14</v>
      </c>
      <c r="F37" s="68">
        <v>8.14</v>
      </c>
      <c r="G37" s="104">
        <v>9.15</v>
      </c>
      <c r="H37" s="105">
        <v>7.88</v>
      </c>
      <c r="I37" s="109">
        <v>9.92</v>
      </c>
      <c r="J37" s="76">
        <v>9.86</v>
      </c>
      <c r="K37" s="233" t="s">
        <v>47</v>
      </c>
      <c r="L37" s="234" t="s">
        <v>47</v>
      </c>
      <c r="M37" s="228" t="s">
        <v>47</v>
      </c>
      <c r="N37" s="86">
        <f t="shared" si="1"/>
        <v>8.82</v>
      </c>
      <c r="O37" s="88" t="s">
        <v>48</v>
      </c>
      <c r="P37" s="227" t="s">
        <v>49</v>
      </c>
    </row>
    <row r="38" ht="15.0" customHeight="1">
      <c r="A38" s="56">
        <v>32.0</v>
      </c>
      <c r="B38" s="235" t="s">
        <v>365</v>
      </c>
      <c r="C38" s="29"/>
      <c r="D38" s="138">
        <v>9.38</v>
      </c>
      <c r="E38" s="66">
        <v>9.31</v>
      </c>
      <c r="F38" s="68">
        <v>8.88</v>
      </c>
      <c r="G38" s="104">
        <v>9.72</v>
      </c>
      <c r="H38" s="105">
        <v>8.99</v>
      </c>
      <c r="I38" s="109">
        <v>9.11</v>
      </c>
      <c r="J38" s="76">
        <v>9.81</v>
      </c>
      <c r="K38" s="233" t="s">
        <v>47</v>
      </c>
      <c r="L38" s="234" t="s">
        <v>47</v>
      </c>
      <c r="M38" s="228" t="s">
        <v>47</v>
      </c>
      <c r="N38" s="86">
        <f t="shared" si="1"/>
        <v>9.31</v>
      </c>
      <c r="O38" s="88" t="s">
        <v>48</v>
      </c>
      <c r="P38" s="227" t="s">
        <v>49</v>
      </c>
    </row>
    <row r="39" ht="15.0" customHeight="1">
      <c r="A39" s="56">
        <v>33.0</v>
      </c>
      <c r="B39" s="235" t="s">
        <v>366</v>
      </c>
      <c r="C39" s="29"/>
      <c r="D39" s="138">
        <v>8.08</v>
      </c>
      <c r="E39" s="66">
        <v>7.01</v>
      </c>
      <c r="F39" s="68">
        <v>7.0</v>
      </c>
      <c r="G39" s="104">
        <v>7.34</v>
      </c>
      <c r="H39" s="105">
        <v>7.0</v>
      </c>
      <c r="I39" s="109">
        <v>8.14</v>
      </c>
      <c r="J39" s="76">
        <v>8.22</v>
      </c>
      <c r="K39" s="233" t="s">
        <v>50</v>
      </c>
      <c r="L39" s="234" t="s">
        <v>50</v>
      </c>
      <c r="M39" s="228" t="s">
        <v>50</v>
      </c>
      <c r="N39" s="86">
        <f t="shared" si="1"/>
        <v>7.54</v>
      </c>
      <c r="O39" s="88" t="s">
        <v>48</v>
      </c>
      <c r="P39" s="227" t="s">
        <v>49</v>
      </c>
    </row>
    <row r="40" ht="18.0" customHeight="1">
      <c r="A40" s="56">
        <v>34.0</v>
      </c>
      <c r="B40" s="235" t="s">
        <v>367</v>
      </c>
      <c r="C40" s="29"/>
      <c r="D40" s="138">
        <v>8.23</v>
      </c>
      <c r="E40" s="66">
        <v>7.02</v>
      </c>
      <c r="F40" s="68">
        <v>7.18</v>
      </c>
      <c r="G40" s="104">
        <v>7.43</v>
      </c>
      <c r="H40" s="105">
        <v>7.0</v>
      </c>
      <c r="I40" s="109">
        <v>8.81</v>
      </c>
      <c r="J40" s="76">
        <v>7.59</v>
      </c>
      <c r="K40" s="233" t="s">
        <v>50</v>
      </c>
      <c r="L40" s="234" t="s">
        <v>50</v>
      </c>
      <c r="M40" s="228" t="s">
        <v>45</v>
      </c>
      <c r="N40" s="86">
        <f t="shared" si="1"/>
        <v>7.6</v>
      </c>
      <c r="O40" s="88" t="s">
        <v>48</v>
      </c>
      <c r="P40" s="227" t="s">
        <v>49</v>
      </c>
    </row>
    <row r="41" ht="15.0" customHeight="1">
      <c r="A41" s="56">
        <v>35.0</v>
      </c>
      <c r="B41" s="231" t="s">
        <v>368</v>
      </c>
      <c r="C41" s="153"/>
      <c r="D41" s="138">
        <v>9.66</v>
      </c>
      <c r="E41" s="66">
        <v>9.43</v>
      </c>
      <c r="F41" s="68">
        <v>8.93</v>
      </c>
      <c r="G41" s="104">
        <v>9.66</v>
      </c>
      <c r="H41" s="105">
        <v>9.14</v>
      </c>
      <c r="I41" s="109">
        <v>9.8</v>
      </c>
      <c r="J41" s="76">
        <v>9.89</v>
      </c>
      <c r="K41" s="233" t="s">
        <v>45</v>
      </c>
      <c r="L41" s="234" t="s">
        <v>45</v>
      </c>
      <c r="M41" s="228" t="s">
        <v>45</v>
      </c>
      <c r="N41" s="86">
        <f t="shared" si="1"/>
        <v>9.5</v>
      </c>
      <c r="O41" s="88" t="s">
        <v>48</v>
      </c>
      <c r="P41" s="227" t="s">
        <v>49</v>
      </c>
    </row>
    <row r="42" ht="14.25" customHeight="1">
      <c r="A42" s="56">
        <v>36.0</v>
      </c>
      <c r="B42" s="231" t="s">
        <v>369</v>
      </c>
      <c r="C42" s="249"/>
      <c r="D42" s="138">
        <v>8.79</v>
      </c>
      <c r="E42" s="66">
        <v>7.93</v>
      </c>
      <c r="F42" s="68">
        <v>8.08</v>
      </c>
      <c r="G42" s="104">
        <v>8.24</v>
      </c>
      <c r="H42" s="105">
        <v>7.35</v>
      </c>
      <c r="I42" s="109">
        <v>8.84</v>
      </c>
      <c r="J42" s="76">
        <v>9.21</v>
      </c>
      <c r="K42" s="233" t="s">
        <v>45</v>
      </c>
      <c r="L42" s="234" t="s">
        <v>45</v>
      </c>
      <c r="M42" s="228" t="s">
        <v>47</v>
      </c>
      <c r="N42" s="86">
        <f t="shared" si="1"/>
        <v>8.34</v>
      </c>
      <c r="O42" s="88" t="s">
        <v>48</v>
      </c>
      <c r="P42" s="227" t="s">
        <v>49</v>
      </c>
    </row>
    <row r="43" ht="14.25" customHeight="1">
      <c r="A43" s="56">
        <v>37.0</v>
      </c>
      <c r="B43" s="231" t="s">
        <v>370</v>
      </c>
      <c r="C43" s="249"/>
      <c r="D43" s="138">
        <v>9.67</v>
      </c>
      <c r="E43" s="66">
        <v>9.77</v>
      </c>
      <c r="F43" s="68">
        <v>9.68</v>
      </c>
      <c r="G43" s="104">
        <v>10.0</v>
      </c>
      <c r="H43" s="105">
        <v>9.89</v>
      </c>
      <c r="I43" s="109">
        <v>10.0</v>
      </c>
      <c r="J43" s="76">
        <v>9.91</v>
      </c>
      <c r="K43" s="233" t="s">
        <v>47</v>
      </c>
      <c r="L43" s="234" t="s">
        <v>47</v>
      </c>
      <c r="M43" s="228" t="s">
        <v>47</v>
      </c>
      <c r="N43" s="86">
        <f t="shared" si="1"/>
        <v>9.84</v>
      </c>
      <c r="O43" s="88" t="s">
        <v>48</v>
      </c>
      <c r="P43" s="227" t="s">
        <v>49</v>
      </c>
    </row>
    <row r="44" ht="14.25" customHeight="1">
      <c r="A44" s="56">
        <v>38.0</v>
      </c>
      <c r="B44" s="235" t="s">
        <v>371</v>
      </c>
      <c r="C44" s="29"/>
      <c r="D44" s="138">
        <v>8.89</v>
      </c>
      <c r="E44" s="66">
        <v>8.66</v>
      </c>
      <c r="F44" s="68">
        <v>7.57</v>
      </c>
      <c r="G44" s="104">
        <v>8.36</v>
      </c>
      <c r="H44" s="105">
        <v>8.18</v>
      </c>
      <c r="I44" s="109">
        <v>8.99</v>
      </c>
      <c r="J44" s="76">
        <v>9.63</v>
      </c>
      <c r="K44" s="233" t="s">
        <v>45</v>
      </c>
      <c r="L44" s="234" t="s">
        <v>45</v>
      </c>
      <c r="M44" s="228" t="s">
        <v>47</v>
      </c>
      <c r="N44" s="86">
        <f t="shared" si="1"/>
        <v>8.61</v>
      </c>
      <c r="O44" s="88" t="s">
        <v>48</v>
      </c>
      <c r="P44" s="227" t="s">
        <v>49</v>
      </c>
    </row>
    <row r="45" ht="14.25" customHeight="1">
      <c r="A45" s="117">
        <v>39.0</v>
      </c>
      <c r="B45" s="231" t="s">
        <v>372</v>
      </c>
      <c r="D45" s="138">
        <v>8.78</v>
      </c>
      <c r="E45" s="66">
        <v>7.64</v>
      </c>
      <c r="F45" s="68">
        <v>7.99</v>
      </c>
      <c r="G45" s="104">
        <v>9.4</v>
      </c>
      <c r="H45" s="105">
        <v>7.76</v>
      </c>
      <c r="I45" s="109">
        <v>9.59</v>
      </c>
      <c r="J45" s="76">
        <v>9.48</v>
      </c>
      <c r="K45" s="233" t="s">
        <v>47</v>
      </c>
      <c r="L45" s="234" t="s">
        <v>45</v>
      </c>
      <c r="M45" s="228" t="s">
        <v>47</v>
      </c>
      <c r="N45" s="86">
        <f t="shared" si="1"/>
        <v>8.66</v>
      </c>
      <c r="O45" s="88" t="s">
        <v>48</v>
      </c>
      <c r="P45" s="227" t="s">
        <v>49</v>
      </c>
    </row>
    <row r="46" ht="14.25" customHeight="1">
      <c r="B46" s="12" t="s">
        <v>210</v>
      </c>
      <c r="D46" s="145">
        <f t="shared" ref="D46:J46" si="2">AVERAGE(D8:D45)</f>
        <v>8.914736842</v>
      </c>
      <c r="E46" s="146">
        <f t="shared" si="2"/>
        <v>8.687894737</v>
      </c>
      <c r="F46" s="147">
        <f t="shared" si="2"/>
        <v>8.328947368</v>
      </c>
      <c r="G46" s="148">
        <f t="shared" si="2"/>
        <v>8.955526316</v>
      </c>
      <c r="H46" s="149">
        <f t="shared" si="2"/>
        <v>8.298421053</v>
      </c>
      <c r="I46" s="150">
        <f t="shared" si="2"/>
        <v>9.346842105</v>
      </c>
      <c r="J46" s="148">
        <f t="shared" si="2"/>
        <v>9.391578947</v>
      </c>
      <c r="K46" s="250"/>
      <c r="L46" s="251"/>
      <c r="M46" s="252"/>
      <c r="N46" s="86">
        <f>AVERAGE(N8:N45)</f>
        <v>8.841842105</v>
      </c>
    </row>
    <row r="47" ht="14.25" customHeight="1"/>
    <row r="48" ht="14.25" customHeight="1"/>
    <row r="49" ht="14.25" customHeight="1">
      <c r="B49" s="158" t="s">
        <v>234</v>
      </c>
      <c r="C49" s="21"/>
      <c r="D49" s="160" t="s">
        <v>235</v>
      </c>
      <c r="E49" s="16"/>
      <c r="F49" s="16"/>
      <c r="G49" s="17"/>
      <c r="H49" s="162"/>
      <c r="I49" s="253" t="s">
        <v>373</v>
      </c>
      <c r="J49" s="16"/>
      <c r="K49" s="16"/>
      <c r="L49" s="16"/>
      <c r="M49" s="17"/>
    </row>
    <row r="50" ht="14.25" customHeight="1">
      <c r="B50" s="158" t="s">
        <v>240</v>
      </c>
      <c r="C50" s="21"/>
      <c r="D50" s="160" t="s">
        <v>242</v>
      </c>
      <c r="E50" s="16"/>
      <c r="F50" s="16"/>
      <c r="G50" s="17"/>
      <c r="H50" s="162"/>
      <c r="I50" s="160" t="s">
        <v>266</v>
      </c>
      <c r="J50" s="16"/>
      <c r="K50" s="16"/>
      <c r="L50" s="17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5">
    <mergeCell ref="A1:P1"/>
    <mergeCell ref="B2:P2"/>
    <mergeCell ref="C3:E3"/>
    <mergeCell ref="I3:J3"/>
    <mergeCell ref="K3:N3"/>
    <mergeCell ref="I4:J4"/>
    <mergeCell ref="B5:P5"/>
    <mergeCell ref="B11:C11"/>
    <mergeCell ref="B18:C18"/>
    <mergeCell ref="B20:C20"/>
    <mergeCell ref="B21:C21"/>
    <mergeCell ref="B25:C25"/>
    <mergeCell ref="B30:C30"/>
    <mergeCell ref="B36:C36"/>
    <mergeCell ref="B49:C49"/>
    <mergeCell ref="B50:C50"/>
    <mergeCell ref="D50:G50"/>
    <mergeCell ref="I50:L50"/>
    <mergeCell ref="B37:C37"/>
    <mergeCell ref="B38:C38"/>
    <mergeCell ref="B39:C39"/>
    <mergeCell ref="B40:C40"/>
    <mergeCell ref="B44:C44"/>
    <mergeCell ref="D49:G49"/>
    <mergeCell ref="I49:M49"/>
  </mergeCells>
  <conditionalFormatting sqref="D7:J45">
    <cfRule type="cellIs" dxfId="0" priority="1" operator="lessThan">
      <formula>7</formula>
    </cfRule>
  </conditionalFormatting>
  <conditionalFormatting sqref="D7:J45">
    <cfRule type="cellIs" dxfId="0" priority="2" operator="lessThan">
      <formula>6.29</formula>
    </cfRule>
  </conditionalFormatting>
  <conditionalFormatting sqref="N7:N45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80.71"/>
    <col customWidth="1" min="4" max="6" width="10.71"/>
  </cols>
  <sheetData>
    <row r="1" ht="14.25" customHeight="1"/>
    <row r="2" ht="14.25" customHeight="1">
      <c r="B2" s="13" t="s">
        <v>48</v>
      </c>
      <c r="C2" s="13" t="s">
        <v>300</v>
      </c>
    </row>
    <row r="3" ht="14.25" customHeight="1">
      <c r="B3" s="13" t="s">
        <v>52</v>
      </c>
      <c r="C3" s="13" t="s">
        <v>301</v>
      </c>
    </row>
    <row r="4" ht="14.25" customHeight="1">
      <c r="B4" s="13" t="s">
        <v>83</v>
      </c>
      <c r="C4" s="13" t="s">
        <v>303</v>
      </c>
    </row>
    <row r="5" ht="14.25" customHeight="1">
      <c r="B5" s="13" t="s">
        <v>208</v>
      </c>
      <c r="C5" s="13" t="s">
        <v>305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84.29"/>
    <col customWidth="1" min="6" max="6" width="10.71"/>
  </cols>
  <sheetData>
    <row r="1" ht="14.25" customHeight="1"/>
    <row r="2" ht="14.25" customHeight="1"/>
    <row r="3" ht="14.25" customHeight="1"/>
    <row r="4" ht="14.25" customHeight="1">
      <c r="D4" s="100" t="s">
        <v>47</v>
      </c>
      <c r="E4" s="236" t="s">
        <v>334</v>
      </c>
    </row>
    <row r="5" ht="17.25" customHeight="1">
      <c r="D5" s="100" t="s">
        <v>45</v>
      </c>
      <c r="E5" s="236" t="s">
        <v>335</v>
      </c>
    </row>
    <row r="6" ht="14.25" customHeight="1">
      <c r="D6" s="100" t="s">
        <v>50</v>
      </c>
      <c r="E6" s="13" t="s">
        <v>337</v>
      </c>
    </row>
    <row r="7" ht="30.75" customHeight="1">
      <c r="D7" s="100" t="s">
        <v>46</v>
      </c>
      <c r="E7" s="236" t="s">
        <v>338</v>
      </c>
    </row>
    <row r="8" ht="14.25" customHeight="1">
      <c r="D8" s="13" t="s">
        <v>123</v>
      </c>
      <c r="E8" s="236" t="s">
        <v>339</v>
      </c>
    </row>
    <row r="9" ht="14.25" customHeight="1">
      <c r="D9" s="13" t="s">
        <v>205</v>
      </c>
      <c r="E9" s="236" t="s">
        <v>340</v>
      </c>
    </row>
    <row r="10" ht="14.25" customHeight="1">
      <c r="D10" s="13" t="s">
        <v>341</v>
      </c>
      <c r="E10" s="236" t="s">
        <v>342</v>
      </c>
    </row>
    <row r="11" ht="14.25" customHeight="1">
      <c r="D11" s="13" t="s">
        <v>343</v>
      </c>
      <c r="E11" s="236" t="s">
        <v>345</v>
      </c>
    </row>
    <row r="12" ht="14.25" customHeight="1">
      <c r="D12" s="13" t="s">
        <v>346</v>
      </c>
      <c r="E12" s="236" t="s">
        <v>347</v>
      </c>
    </row>
    <row r="13" ht="14.25" customHeight="1">
      <c r="D13" s="13" t="s">
        <v>348</v>
      </c>
      <c r="E13" s="236" t="s">
        <v>349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