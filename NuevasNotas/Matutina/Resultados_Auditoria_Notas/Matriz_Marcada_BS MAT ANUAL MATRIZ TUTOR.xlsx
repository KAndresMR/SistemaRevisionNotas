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EN DISCREPANCIAS" sheetId="1" state="visible" r:id="rId1"/>
    <sheet name="octavo A" sheetId="2" state="visible" r:id="rId2"/>
    <sheet name="octavo B" sheetId="3" state="visible" r:id="rId3"/>
    <sheet name="noveno A" sheetId="4" state="visible" r:id="rId4"/>
    <sheet name="noveno B" sheetId="5" state="visible" r:id="rId5"/>
    <sheet name="décimo A" sheetId="6" state="visible" r:id="rId6"/>
    <sheet name="décimo B" sheetId="7" state="visible" r:id="rId7"/>
    <sheet name="ESCALA EVALUACION" sheetId="8" state="hidden" r:id="rId8"/>
    <sheet name="Hoja1" sheetId="9" state="hidden" r:id="rId9"/>
  </sheets>
  <definedNames>
    <definedName name="OCTAVO_A_VES">#REF!</definedName>
    <definedName name="MATRIZ_TUTOR_2">#REF!</definedName>
    <definedName name="OCTAVO_B_MATU">#REF!</definedName>
    <definedName name="DÉCIMO_B_MATU">#REF!</definedName>
    <definedName name="ESCALA_CUALITATIVA_SUPERIOR">#REF!</definedName>
    <definedName name="SEPTIMO_A_MATU">#REF!</definedName>
    <definedName name="QUINTO_B_MATU">#REF!</definedName>
    <definedName name="SEXTO_A_MATU">#REF!</definedName>
    <definedName name="SEXTO_B_MATU">#REF!</definedName>
    <definedName name="DESCRIPCION_OV_AL">Hoja1!$D$4:$E$13</definedName>
    <definedName name="QUINTO_B_VES">#REF!</definedName>
    <definedName name="DÉCIMO_B_VES">#REF!</definedName>
    <definedName name="QUINTO_A_MATU">#REF!</definedName>
    <definedName name="NOVENO_A_VES">#REF!</definedName>
    <definedName name="INFORME_2">#REF!</definedName>
    <definedName name="MATRIZ_COMPORTAMENTAL">'ESCALA EVALUACION'!$B$2:$C$11</definedName>
    <definedName name="OCTAVO_B_VES">#REF!</definedName>
    <definedName name="QUINTO_A_VES">#REF!</definedName>
    <definedName name="NOVENO_A_MATU">#REF!</definedName>
    <definedName name="MATRIZ_TUTOR_3">#REF!</definedName>
    <definedName name="CUALITATIVA_ECA">'noveno A'!$AD$6:$AE$15</definedName>
    <definedName name="SEXTO_B_VES">#REF!</definedName>
    <definedName name="DECIMO_A_VES">#REF!</definedName>
    <definedName name="NOVENO_B_VES">#REF!</definedName>
    <definedName name="NOVENO_B_MATU">#REF!</definedName>
    <definedName name="SEPTIMO_A_VES">#REF!</definedName>
    <definedName name="SEPTIMO_B_MATU">#REF!</definedName>
    <definedName name="MATRIZ_TUTOR_1">'décimo B'!$A$7:$O$41</definedName>
    <definedName name="INFORME_DE_PRENDIZAJES_DEL_SEGUNDO_TRIMESTRE">#REF!</definedName>
    <definedName name="SEPTIMO_B_VES">#REF!</definedName>
    <definedName name="SEXTO_A_VES">#REF!</definedName>
    <definedName name="DÉCIMO_A_MATU">#REF!</definedName>
    <definedName name="OCTAVO_A_MATU">#REF!</definedName>
    <definedName name="CAI">#REF!</definedName>
    <definedName name="MATRIZ_TUTOR_1" localSheetId="1">'octavo A'!$A$8:$O$52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"/>
  </numFmts>
  <fonts count="38">
    <font>
      <name val="Calibri"/>
      <color rgb="FF000000"/>
      <sz val="11"/>
      <scheme val="minor"/>
    </font>
    <font>
      <name val="Calibri"/>
      <b val="1"/>
      <color rgb="FF000000"/>
      <sz val="16"/>
    </font>
    <font>
      <name val="Calibri"/>
      <b val="1"/>
      <color rgb="FF000000"/>
      <sz val="12"/>
    </font>
    <font>
      <name val="Calibri"/>
      <b val="1"/>
      <color rgb="FF000000"/>
      <sz val="10"/>
    </font>
    <font>
      <name val="Calibri"/>
      <color rgb="FF000000"/>
      <sz val="12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theme="1"/>
      <sz val="11"/>
    </font>
    <font>
      <name val="Arial"/>
      <color rgb="FF000000"/>
      <sz val="10"/>
    </font>
    <font/>
    <font>
      <name val="Calibri"/>
      <color rgb="FF000000"/>
      <sz val="9"/>
    </font>
    <font>
      <name val="Calibri"/>
      <b val="1"/>
      <color rgb="FF000000"/>
      <sz val="9"/>
    </font>
    <font>
      <name val="Calibri"/>
      <b val="1"/>
      <color rgb="FF000000"/>
      <sz val="14"/>
    </font>
    <font>
      <name val="Calibri"/>
      <b val="1"/>
      <color rgb="FF000000"/>
      <sz val="8"/>
    </font>
    <font>
      <name val="SansSerif"/>
      <color rgb="FF000000"/>
      <sz val="10"/>
    </font>
    <font>
      <name val="Calibri"/>
      <color theme="1"/>
      <sz val="9"/>
    </font>
    <font>
      <name val="Calibri"/>
      <color rgb="FF000000"/>
      <sz val="10"/>
    </font>
    <font>
      <name val="Calibri"/>
      <color theme="1"/>
      <sz val="10"/>
    </font>
    <font>
      <name val="Calibri"/>
      <color rgb="FF000066"/>
      <sz val="10"/>
    </font>
    <font>
      <name val="Arial"/>
      <color rgb="FF000000"/>
      <sz val="12"/>
    </font>
    <font>
      <name val="Arial"/>
      <color rgb="FF000000"/>
      <sz val="11"/>
    </font>
    <font>
      <name val="Calibri"/>
      <color rgb="FF0000CC"/>
      <sz val="10"/>
    </font>
    <font>
      <name val="&quot;Aptos Narrow&quot;"/>
      <color rgb="FF000000"/>
      <sz val="11"/>
    </font>
    <font>
      <name val="Calibri"/>
      <color theme="1"/>
      <scheme val="minor"/>
    </font>
    <font>
      <name val="Arial"/>
      <color rgb="FF000000"/>
      <sz val="8"/>
    </font>
    <font>
      <name val="Arial"/>
      <color theme="1"/>
      <sz val="11"/>
    </font>
    <font>
      <name val="Calibri"/>
      <color rgb="FFFF0000"/>
      <sz val="10"/>
    </font>
    <font>
      <name val="Arial"/>
      <b val="1"/>
      <color rgb="FF000000"/>
      <sz val="11"/>
    </font>
    <font>
      <name val="Arial"/>
      <b val="1"/>
      <color rgb="FF000000"/>
      <sz val="9"/>
    </font>
    <font>
      <name val="SansSerif"/>
      <color rgb="FF000000"/>
      <sz val="7"/>
    </font>
    <font>
      <name val="Arial"/>
      <b val="1"/>
      <color rgb="FF000000"/>
      <sz val="10"/>
    </font>
    <font>
      <name val="Calibri"/>
      <color theme="1"/>
      <sz val="10"/>
      <scheme val="minor"/>
    </font>
    <font>
      <name val="Calibri"/>
      <color theme="1"/>
      <sz val="8"/>
    </font>
    <font>
      <name val="Calibri"/>
      <b val="1"/>
      <color rgb="FF000066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</font>
    <font>
      <b val="1"/>
      <color rgb="00065F46"/>
    </font>
  </fonts>
  <fills count="33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94DCF8"/>
        <bgColor rgb="FF94DCF8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theme="7"/>
        <bgColor theme="7"/>
      </patternFill>
    </fill>
    <fill>
      <patternFill patternType="solid">
        <fgColor rgb="FFA0FCF3"/>
        <bgColor rgb="FFA0FCF3"/>
      </patternFill>
    </fill>
    <fill>
      <patternFill patternType="solid">
        <fgColor rgb="FFF8FF9D"/>
        <bgColor rgb="FFF8FF9D"/>
      </patternFill>
    </fill>
    <fill>
      <patternFill patternType="solid">
        <fgColor rgb="FFB6D7A8"/>
        <bgColor rgb="FFB6D7A8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BFBFBF"/>
        <bgColor rgb="FFBFBFBF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99FFCC"/>
        <bgColor rgb="FF99FFCC"/>
      </patternFill>
    </fill>
    <fill>
      <patternFill patternType="solid">
        <fgColor rgb="FFCCCCCC"/>
        <bgColor rgb="FFCCCCCC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FFC000"/>
        <bgColor rgb="FFFFC000"/>
      </patternFill>
    </fill>
    <fill>
      <patternFill patternType="solid">
        <fgColor rgb="00FFF2CC"/>
        <bgColor rgb="00FFF2CC"/>
      </patternFill>
    </fill>
    <fill>
      <patternFill patternType="solid">
        <fgColor rgb="00F1948A"/>
        <bgColor rgb="00F1948A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5E7EB"/>
        <bgColor rgb="00E5E7EB"/>
      </patternFill>
    </fill>
    <fill>
      <patternFill patternType="solid">
        <fgColor rgb="00D1FAE5"/>
        <bgColor rgb="00D1FAE5"/>
      </patternFill>
    </fill>
  </fills>
  <borders count="60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104861"/>
      </left>
      <top style="thin">
        <color rgb="FF104861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104861"/>
      </right>
      <top style="thin">
        <color rgb="FF104861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104861"/>
      </left>
      <right style="thin">
        <color rgb="FF104861"/>
      </right>
      <top style="thin">
        <color rgb="FF104861"/>
      </top>
      <bottom style="thin">
        <color rgb="FF104861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top style="hair">
        <color rgb="FF000000"/>
      </top>
    </border>
    <border>
      <left style="hair">
        <color rgb="FF000000"/>
      </left>
      <right/>
      <top/>
      <bottom style="hair">
        <color rgb="FF000000"/>
      </bottom>
    </border>
    <border>
      <right/>
      <top/>
      <bottom style="hair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hair">
        <color rgb="FF000000"/>
      </left>
    </border>
    <border>
      <right style="thin">
        <color rgb="FF000000"/>
      </right>
      <top style="thin">
        <color rgb="FF000000"/>
      </top>
      <bottom/>
    </border>
    <border>
      <left style="hair">
        <color rgb="FF000000"/>
      </left>
      <right/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/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/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thin">
        <color rgb="FF104861"/>
      </left>
      <right style="thin">
        <color rgb="FF104861"/>
      </right>
      <top style="thin">
        <color rgb="FF104861"/>
      </top>
      <bottom style="hair">
        <color rgb="FF000000"/>
      </bottom>
    </border>
    <border>
      <top style="thin">
        <color rgb="FF104861"/>
      </top>
    </border>
    <border>
      <right style="thin">
        <color rgb="FF104861"/>
      </right>
      <top style="thin">
        <color rgb="FF104861"/>
      </top>
    </border>
    <border>
      <bottom style="thin">
        <color rgb="00CCCCCC"/>
      </bottom>
    </border>
  </borders>
  <cellStyleXfs count="1">
    <xf numFmtId="0" fontId="0" fillId="0" borderId="0"/>
  </cellStyleXfs>
  <cellXfs count="30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left" vertical="bottom" wrapText="1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bottom" wrapText="1"/>
    </xf>
    <xf numFmtId="2" fontId="8" fillId="2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2" fillId="3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9" fillId="0" borderId="6" applyAlignment="1" pivotButton="0" quotePrefix="0" xfId="0">
      <alignment vertical="center"/>
    </xf>
    <xf numFmtId="2" fontId="6" fillId="4" borderId="7" applyAlignment="1" pivotButton="0" quotePrefix="0" xfId="0">
      <alignment vertical="center"/>
    </xf>
    <xf numFmtId="2" fontId="6" fillId="4" borderId="8" applyAlignment="1" pivotButton="0" quotePrefix="0" xfId="0">
      <alignment vertical="center"/>
    </xf>
    <xf numFmtId="2" fontId="6" fillId="4" borderId="9" applyAlignment="1" pivotButton="0" quotePrefix="0" xfId="0">
      <alignment horizontal="center" vertical="center"/>
    </xf>
    <xf numFmtId="2" fontId="6" fillId="4" borderId="7" applyAlignment="1" pivotButton="0" quotePrefix="0" xfId="0">
      <alignment vertical="center"/>
    </xf>
    <xf numFmtId="2" fontId="6" fillId="4" borderId="10" applyAlignment="1" pivotButton="0" quotePrefix="0" xfId="0">
      <alignment horizontal="center" vertical="center"/>
    </xf>
    <xf numFmtId="2" fontId="6" fillId="4" borderId="11" applyAlignment="1" pivotButton="0" quotePrefix="0" xfId="0">
      <alignment horizontal="center" vertical="center"/>
    </xf>
    <xf numFmtId="2" fontId="10" fillId="5" borderId="12" applyAlignment="1" pivotButton="0" quotePrefix="0" xfId="0">
      <alignment horizontal="center" vertical="center" textRotation="90"/>
    </xf>
    <xf numFmtId="0" fontId="9" fillId="0" borderId="13" applyAlignment="1" pivotButton="0" quotePrefix="0" xfId="0">
      <alignment vertical="center"/>
    </xf>
    <xf numFmtId="2" fontId="11" fillId="5" borderId="12" applyAlignment="1" pivotButton="0" quotePrefix="0" xfId="0">
      <alignment horizontal="center" vertical="center" textRotation="90"/>
    </xf>
    <xf numFmtId="2" fontId="5" fillId="5" borderId="12" applyAlignment="1" pivotButton="0" quotePrefix="0" xfId="0">
      <alignment horizontal="center" vertical="center" textRotation="90"/>
    </xf>
    <xf numFmtId="2" fontId="11" fillId="6" borderId="8" applyAlignment="1" pivotButton="0" quotePrefix="0" xfId="0">
      <alignment horizontal="center" vertical="center" textRotation="90"/>
    </xf>
    <xf numFmtId="2" fontId="5" fillId="6" borderId="8" applyAlignment="1" pivotButton="0" quotePrefix="0" xfId="0">
      <alignment horizontal="center" vertical="center" textRotation="90"/>
    </xf>
    <xf numFmtId="2" fontId="11" fillId="7" borderId="14" applyAlignment="1" pivotButton="0" quotePrefix="0" xfId="0">
      <alignment horizontal="center" vertical="center" textRotation="90"/>
    </xf>
    <xf numFmtId="2" fontId="5" fillId="7" borderId="14" applyAlignment="1" pivotButton="0" quotePrefix="0" xfId="0">
      <alignment horizontal="center" vertical="center" textRotation="90"/>
    </xf>
    <xf numFmtId="2" fontId="11" fillId="8" borderId="14" applyAlignment="1" pivotButton="0" quotePrefix="0" xfId="0">
      <alignment horizontal="center" vertical="center" textRotation="90"/>
    </xf>
    <xf numFmtId="2" fontId="5" fillId="8" borderId="14" applyAlignment="1" pivotButton="0" quotePrefix="0" xfId="0">
      <alignment horizontal="center" vertical="center" textRotation="90"/>
    </xf>
    <xf numFmtId="2" fontId="11" fillId="9" borderId="14" applyAlignment="1" pivotButton="0" quotePrefix="0" xfId="0">
      <alignment horizontal="center" vertical="center" textRotation="90"/>
    </xf>
    <xf numFmtId="2" fontId="5" fillId="9" borderId="14" applyAlignment="1" pivotButton="0" quotePrefix="0" xfId="0">
      <alignment horizontal="center" vertical="center" textRotation="90"/>
    </xf>
    <xf numFmtId="2" fontId="11" fillId="10" borderId="14" applyAlignment="1" pivotButton="0" quotePrefix="0" xfId="0">
      <alignment horizontal="center" vertical="center" textRotation="90"/>
    </xf>
    <xf numFmtId="2" fontId="5" fillId="10" borderId="14" applyAlignment="1" pivotButton="0" quotePrefix="0" xfId="0">
      <alignment horizontal="center" vertical="center" textRotation="90"/>
    </xf>
    <xf numFmtId="2" fontId="6" fillId="4" borderId="15" applyAlignment="1" pivotButton="0" quotePrefix="0" xfId="0">
      <alignment vertical="center"/>
    </xf>
    <xf numFmtId="2" fontId="11" fillId="11" borderId="14" applyAlignment="1" pivotButton="0" quotePrefix="0" xfId="0">
      <alignment horizontal="center" vertical="center" textRotation="90"/>
    </xf>
    <xf numFmtId="2" fontId="5" fillId="11" borderId="14" applyAlignment="1" pivotButton="0" quotePrefix="0" xfId="0">
      <alignment horizontal="center" vertical="center" textRotation="90"/>
    </xf>
    <xf numFmtId="2" fontId="5" fillId="12" borderId="14" applyAlignment="1" pivotButton="0" quotePrefix="0" xfId="0">
      <alignment horizontal="center" vertical="center" textRotation="90"/>
    </xf>
    <xf numFmtId="2" fontId="11" fillId="12" borderId="14" applyAlignment="1" pivotButton="0" quotePrefix="0" xfId="0">
      <alignment horizontal="center" vertical="center" textRotation="90"/>
    </xf>
    <xf numFmtId="2" fontId="5" fillId="13" borderId="14" applyAlignment="1" pivotButton="0" quotePrefix="0" xfId="0">
      <alignment horizontal="center" vertical="center" textRotation="90"/>
    </xf>
    <xf numFmtId="2" fontId="11" fillId="13" borderId="14" applyAlignment="1" pivotButton="0" quotePrefix="0" xfId="0">
      <alignment horizontal="center" vertical="center" textRotation="90"/>
    </xf>
    <xf numFmtId="2" fontId="5" fillId="14" borderId="14" applyAlignment="1" pivotButton="0" quotePrefix="0" xfId="0">
      <alignment horizontal="center" vertical="center" textRotation="90"/>
    </xf>
    <xf numFmtId="2" fontId="11" fillId="14" borderId="14" applyAlignment="1" pivotButton="0" quotePrefix="0" xfId="0">
      <alignment horizontal="center" vertical="center" textRotation="90"/>
    </xf>
    <xf numFmtId="2" fontId="5" fillId="15" borderId="8" applyAlignment="1" pivotButton="0" quotePrefix="0" xfId="0">
      <alignment horizontal="center" vertical="center" textRotation="90"/>
    </xf>
    <xf numFmtId="2" fontId="11" fillId="15" borderId="8" applyAlignment="1" pivotButton="0" quotePrefix="0" xfId="0">
      <alignment horizontal="center" vertical="center" textRotation="90"/>
    </xf>
    <xf numFmtId="2" fontId="12" fillId="16" borderId="16" applyAlignment="1" pivotButton="0" quotePrefix="0" xfId="0">
      <alignment horizontal="center" vertical="center" textRotation="90"/>
    </xf>
    <xf numFmtId="2" fontId="11" fillId="16" borderId="16" applyAlignment="1" pivotButton="0" quotePrefix="0" xfId="0">
      <alignment horizontal="center" vertical="center" textRotation="90"/>
    </xf>
    <xf numFmtId="2" fontId="13" fillId="17" borderId="17" applyAlignment="1" pivotButton="0" quotePrefix="0" xfId="0">
      <alignment horizontal="center" vertical="center"/>
    </xf>
    <xf numFmtId="1" fontId="14" fillId="2" borderId="8" applyAlignment="1" pivotButton="0" quotePrefix="0" xfId="0">
      <alignment horizontal="center" vertical="center" wrapText="1"/>
    </xf>
    <xf numFmtId="1" fontId="14" fillId="2" borderId="18" applyAlignment="1" pivotButton="0" quotePrefix="0" xfId="0">
      <alignment horizontal="center" vertical="center" wrapText="1"/>
    </xf>
    <xf numFmtId="0" fontId="10" fillId="2" borderId="19" applyAlignment="1" pivotButton="0" quotePrefix="0" xfId="0">
      <alignment vertical="bottom"/>
    </xf>
    <xf numFmtId="0" fontId="15" fillId="0" borderId="20" applyAlignment="1" pivotButton="0" quotePrefix="0" xfId="0">
      <alignment vertical="bottom"/>
    </xf>
    <xf numFmtId="0" fontId="9" fillId="0" borderId="21" applyAlignment="1" pivotButton="0" quotePrefix="0" xfId="0">
      <alignment vertical="center"/>
    </xf>
    <xf numFmtId="0" fontId="15" fillId="0" borderId="8" applyAlignment="1" pivotButton="0" quotePrefix="0" xfId="0">
      <alignment vertical="bottom"/>
    </xf>
    <xf numFmtId="0" fontId="15" fillId="0" borderId="22" applyAlignment="1" pivotButton="0" quotePrefix="0" xfId="0">
      <alignment vertical="bottom"/>
    </xf>
    <xf numFmtId="2" fontId="16" fillId="5" borderId="8" applyAlignment="1" pivotButton="0" quotePrefix="0" xfId="0">
      <alignment horizontal="center" vertical="bottom"/>
    </xf>
    <xf numFmtId="0" fontId="15" fillId="0" borderId="1" applyAlignment="1" pivotButton="0" quotePrefix="0" xfId="0">
      <alignment vertical="bottom"/>
    </xf>
    <xf numFmtId="2" fontId="16" fillId="5" borderId="8" applyAlignment="1" pivotButton="0" quotePrefix="0" xfId="0">
      <alignment horizontal="center" vertical="center"/>
    </xf>
    <xf numFmtId="2" fontId="16" fillId="6" borderId="8" applyAlignment="1" pivotButton="0" quotePrefix="0" xfId="0">
      <alignment horizontal="center" vertical="center"/>
    </xf>
    <xf numFmtId="2" fontId="17" fillId="6" borderId="8" applyAlignment="1" pivotButton="0" quotePrefix="0" xfId="0">
      <alignment horizontal="center" vertical="center"/>
    </xf>
    <xf numFmtId="2" fontId="16" fillId="7" borderId="8" applyAlignment="1" pivotButton="0" quotePrefix="0" xfId="0">
      <alignment horizontal="center" vertical="center"/>
    </xf>
    <xf numFmtId="0" fontId="15" fillId="0" borderId="11" applyAlignment="1" pivotButton="0" quotePrefix="0" xfId="0">
      <alignment vertical="bottom"/>
    </xf>
    <xf numFmtId="2" fontId="16" fillId="8" borderId="8" applyAlignment="1" pivotButton="0" quotePrefix="0" xfId="0">
      <alignment horizontal="center" vertical="center"/>
    </xf>
    <xf numFmtId="2" fontId="16" fillId="18" borderId="8" applyAlignment="1" pivotButton="0" quotePrefix="0" xfId="0">
      <alignment horizontal="center" vertical="center"/>
    </xf>
    <xf numFmtId="2" fontId="16" fillId="9" borderId="8" applyAlignment="1" pivotButton="0" quotePrefix="0" xfId="0">
      <alignment horizontal="center" vertical="center"/>
    </xf>
    <xf numFmtId="2" fontId="16" fillId="9" borderId="8" applyAlignment="1" pivotButton="0" quotePrefix="0" xfId="0">
      <alignment horizontal="center" vertical="center"/>
    </xf>
    <xf numFmtId="2" fontId="16" fillId="19" borderId="8" applyAlignment="1" pivotButton="0" quotePrefix="0" xfId="0">
      <alignment horizontal="center" vertical="center"/>
    </xf>
    <xf numFmtId="2" fontId="16" fillId="10" borderId="8" applyAlignment="1" pivotButton="0" quotePrefix="0" xfId="0">
      <alignment horizontal="center" vertical="center"/>
    </xf>
    <xf numFmtId="2" fontId="16" fillId="11" borderId="8" applyAlignment="1" pivotButton="0" quotePrefix="0" xfId="0">
      <alignment horizontal="center" vertical="center"/>
    </xf>
    <xf numFmtId="2" fontId="16" fillId="6" borderId="8" applyAlignment="1" pivotButton="0" quotePrefix="0" xfId="0">
      <alignment horizontal="center" vertical="center"/>
    </xf>
    <xf numFmtId="2" fontId="16" fillId="12" borderId="8" applyAlignment="1" pivotButton="0" quotePrefix="0" xfId="0">
      <alignment horizontal="center" vertical="bottom"/>
    </xf>
    <xf numFmtId="2" fontId="16" fillId="20" borderId="8" applyAlignment="1" pivotButton="0" quotePrefix="0" xfId="0">
      <alignment horizontal="center" vertical="center"/>
    </xf>
    <xf numFmtId="2" fontId="16" fillId="13" borderId="23" applyAlignment="1" pivotButton="0" quotePrefix="0" xfId="0">
      <alignment horizontal="center" vertical="center"/>
    </xf>
    <xf numFmtId="2" fontId="16" fillId="13" borderId="8" applyAlignment="1" pivotButton="0" quotePrefix="0" xfId="0">
      <alignment horizontal="center" vertical="center" wrapText="1"/>
    </xf>
    <xf numFmtId="2" fontId="16" fillId="21" borderId="8" applyAlignment="1" pivotButton="0" quotePrefix="0" xfId="0">
      <alignment horizontal="center" vertical="center"/>
    </xf>
    <xf numFmtId="2" fontId="16" fillId="13" borderId="8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bottom"/>
    </xf>
    <xf numFmtId="2" fontId="18" fillId="14" borderId="8" applyAlignment="1" pivotButton="0" quotePrefix="0" xfId="0">
      <alignment horizontal="center" vertical="center"/>
    </xf>
    <xf numFmtId="2" fontId="16" fillId="15" borderId="8" applyAlignment="1" pivotButton="0" quotePrefix="0" xfId="0">
      <alignment horizontal="center" vertical="center" wrapText="1"/>
    </xf>
    <xf numFmtId="2" fontId="16" fillId="4" borderId="8" applyAlignment="1" pivotButton="0" quotePrefix="0" xfId="0">
      <alignment horizontal="center" vertical="center"/>
    </xf>
    <xf numFmtId="2" fontId="16" fillId="16" borderId="8" applyAlignment="1" pivotButton="0" quotePrefix="0" xfId="0">
      <alignment horizontal="center" vertical="center" wrapText="1"/>
    </xf>
    <xf numFmtId="2" fontId="8" fillId="2" borderId="24" applyAlignment="1" pivotButton="0" quotePrefix="0" xfId="0">
      <alignment vertical="center" wrapText="1"/>
    </xf>
    <xf numFmtId="2" fontId="16" fillId="12" borderId="8" applyAlignment="1" pivotButton="0" quotePrefix="0" xfId="0">
      <alignment horizontal="center" vertical="center"/>
    </xf>
    <xf numFmtId="2" fontId="16" fillId="13" borderId="8" applyAlignment="1" pivotButton="0" quotePrefix="0" xfId="0">
      <alignment horizontal="center" vertical="center"/>
    </xf>
    <xf numFmtId="0" fontId="15" fillId="0" borderId="25" applyAlignment="1" pivotButton="0" quotePrefix="0" xfId="0">
      <alignment vertical="bottom"/>
    </xf>
    <xf numFmtId="2" fontId="19" fillId="16" borderId="8" applyAlignment="1" pivotButton="0" quotePrefix="0" xfId="0">
      <alignment horizontal="center" vertical="center" wrapText="1"/>
    </xf>
    <xf numFmtId="0" fontId="9" fillId="0" borderId="26" applyAlignment="1" pivotButton="0" quotePrefix="0" xfId="0">
      <alignment vertical="center"/>
    </xf>
    <xf numFmtId="2" fontId="16" fillId="14" borderId="8" applyAlignment="1" pivotButton="0" quotePrefix="0" xfId="0">
      <alignment horizontal="center" vertical="center"/>
    </xf>
    <xf numFmtId="2" fontId="20" fillId="16" borderId="8" applyAlignment="1" pivotButton="0" quotePrefix="0" xfId="0">
      <alignment horizontal="center" vertical="bottom"/>
    </xf>
    <xf numFmtId="2" fontId="8" fillId="2" borderId="8" applyAlignment="1" pivotButton="0" quotePrefix="0" xfId="0">
      <alignment vertical="center" wrapText="1"/>
    </xf>
    <xf numFmtId="2" fontId="8" fillId="2" borderId="3" applyAlignment="1" pivotButton="0" quotePrefix="0" xfId="0">
      <alignment vertical="center" wrapText="1"/>
    </xf>
    <xf numFmtId="2" fontId="16" fillId="16" borderId="8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0" fillId="2" borderId="27" applyAlignment="1" pivotButton="0" quotePrefix="0" xfId="0">
      <alignment vertical="bottom"/>
    </xf>
    <xf numFmtId="0" fontId="15" fillId="2" borderId="28" applyAlignment="1" pivotButton="0" quotePrefix="0" xfId="0">
      <alignment vertical="bottom"/>
    </xf>
    <xf numFmtId="0" fontId="10" fillId="2" borderId="1" applyAlignment="1" pivotButton="0" quotePrefix="0" xfId="0">
      <alignment vertical="bottom"/>
    </xf>
    <xf numFmtId="2" fontId="18" fillId="8" borderId="8" applyAlignment="1" pivotButton="0" quotePrefix="0" xfId="0">
      <alignment horizontal="center" vertical="center"/>
    </xf>
    <xf numFmtId="2" fontId="16" fillId="9" borderId="8" applyAlignment="1" pivotButton="0" quotePrefix="0" xfId="0">
      <alignment horizontal="center" vertical="bottom"/>
    </xf>
    <xf numFmtId="0" fontId="9" fillId="0" borderId="29" applyAlignment="1" pivotButton="0" quotePrefix="0" xfId="0">
      <alignment vertical="center"/>
    </xf>
    <xf numFmtId="2" fontId="18" fillId="9" borderId="8" applyAlignment="1" pivotButton="0" quotePrefix="0" xfId="0">
      <alignment horizontal="center" vertical="center"/>
    </xf>
    <xf numFmtId="2" fontId="18" fillId="4" borderId="8" applyAlignment="1" pivotButton="0" quotePrefix="0" xfId="0">
      <alignment horizontal="center" vertical="center"/>
    </xf>
    <xf numFmtId="2" fontId="18" fillId="10" borderId="8" applyAlignment="1" pivotButton="0" quotePrefix="0" xfId="0">
      <alignment horizontal="center" vertical="center"/>
    </xf>
    <xf numFmtId="2" fontId="21" fillId="12" borderId="8" applyAlignment="1" pivotButton="0" quotePrefix="0" xfId="0">
      <alignment horizontal="center" vertical="center"/>
    </xf>
    <xf numFmtId="2" fontId="18" fillId="5" borderId="8" applyAlignment="1" pivotButton="0" quotePrefix="0" xfId="0">
      <alignment horizontal="center" vertical="center"/>
    </xf>
    <xf numFmtId="2" fontId="18" fillId="6" borderId="8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2" fontId="18" fillId="21" borderId="8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vertical="center"/>
    </xf>
    <xf numFmtId="1" fontId="8" fillId="2" borderId="8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right" vertical="bottom"/>
    </xf>
    <xf numFmtId="2" fontId="18" fillId="18" borderId="8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center"/>
    </xf>
    <xf numFmtId="2" fontId="18" fillId="19" borderId="8" applyAlignment="1" pivotButton="0" quotePrefix="0" xfId="0">
      <alignment horizontal="center" vertical="center"/>
    </xf>
    <xf numFmtId="2" fontId="18" fillId="11" borderId="8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1" fontId="8" fillId="2" borderId="8" applyAlignment="1" pivotButton="0" quotePrefix="0" xfId="0">
      <alignment horizontal="center" vertical="center" wrapText="1"/>
    </xf>
    <xf numFmtId="0" fontId="16" fillId="7" borderId="8" applyAlignment="1" pivotButton="0" quotePrefix="0" xfId="0">
      <alignment horizontal="center" vertical="center"/>
    </xf>
    <xf numFmtId="0" fontId="9" fillId="0" borderId="22" applyAlignment="1" pivotButton="0" quotePrefix="0" xfId="0">
      <alignment vertical="center"/>
    </xf>
    <xf numFmtId="164" fontId="23" fillId="0" borderId="0" applyAlignment="1" pivotButton="0" quotePrefix="0" xfId="0">
      <alignment vertical="center"/>
    </xf>
    <xf numFmtId="0" fontId="15" fillId="0" borderId="30" applyAlignment="1" pivotButton="0" quotePrefix="0" xfId="0">
      <alignment vertical="bottom"/>
    </xf>
    <xf numFmtId="0" fontId="9" fillId="0" borderId="31" applyAlignment="1" pivotButton="0" quotePrefix="0" xfId="0">
      <alignment vertical="center"/>
    </xf>
    <xf numFmtId="0" fontId="18" fillId="6" borderId="8" applyAlignment="1" pivotButton="0" quotePrefix="0" xfId="0">
      <alignment horizontal="center" vertical="center"/>
    </xf>
    <xf numFmtId="2" fontId="17" fillId="8" borderId="8" applyAlignment="1" pivotButton="0" quotePrefix="0" xfId="0">
      <alignment horizontal="center" vertical="center"/>
    </xf>
    <xf numFmtId="2" fontId="24" fillId="2" borderId="8" applyAlignment="1" pivotButton="0" quotePrefix="0" xfId="0">
      <alignment vertical="center" wrapText="1"/>
    </xf>
    <xf numFmtId="2" fontId="21" fillId="20" borderId="8" applyAlignment="1" pivotButton="0" quotePrefix="0" xfId="0">
      <alignment horizontal="center" vertical="center"/>
    </xf>
    <xf numFmtId="0" fontId="18" fillId="9" borderId="8" applyAlignment="1" pivotButton="0" quotePrefix="0" xfId="0">
      <alignment horizontal="center" vertical="center"/>
    </xf>
    <xf numFmtId="1" fontId="14" fillId="0" borderId="1" applyAlignment="1" pivotButton="0" quotePrefix="0" xfId="0">
      <alignment horizontal="center" vertical="center" wrapText="1"/>
    </xf>
    <xf numFmtId="2" fontId="16" fillId="4" borderId="8" applyAlignment="1" pivotButton="0" quotePrefix="0" xfId="0">
      <alignment horizontal="center" vertical="center" wrapText="1"/>
    </xf>
    <xf numFmtId="0" fontId="17" fillId="6" borderId="8" applyAlignment="1" pivotButton="0" quotePrefix="0" xfId="0">
      <alignment horizontal="center" vertical="center"/>
    </xf>
    <xf numFmtId="2" fontId="16" fillId="5" borderId="8" applyAlignment="1" pivotButton="0" quotePrefix="0" xfId="0">
      <alignment horizontal="center" vertical="center" wrapText="1"/>
    </xf>
    <xf numFmtId="0" fontId="16" fillId="11" borderId="8" applyAlignment="1" pivotButton="0" quotePrefix="0" xfId="0">
      <alignment horizontal="center" vertical="center"/>
    </xf>
    <xf numFmtId="2" fontId="16" fillId="22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bottom"/>
    </xf>
    <xf numFmtId="2" fontId="16" fillId="7" borderId="8" applyAlignment="1" pivotButton="0" quotePrefix="0" xfId="0">
      <alignment horizontal="center" vertical="center"/>
    </xf>
    <xf numFmtId="2" fontId="24" fillId="2" borderId="24" applyAlignment="1" pivotButton="0" quotePrefix="0" xfId="0">
      <alignment vertical="center" wrapText="1"/>
    </xf>
    <xf numFmtId="0" fontId="10" fillId="2" borderId="4" applyAlignment="1" pivotButton="0" quotePrefix="0" xfId="0">
      <alignment horizontal="left" vertical="bottom"/>
    </xf>
    <xf numFmtId="2" fontId="16" fillId="5" borderId="8" applyAlignment="1" pivotButton="0" quotePrefix="0" xfId="0">
      <alignment horizontal="center" vertical="center" wrapText="1"/>
    </xf>
    <xf numFmtId="2" fontId="16" fillId="6" borderId="8" applyAlignment="1" pivotButton="0" quotePrefix="0" xfId="0">
      <alignment horizontal="center" vertical="center" wrapText="1"/>
    </xf>
    <xf numFmtId="2" fontId="16" fillId="7" borderId="8" applyAlignment="1" pivotButton="0" quotePrefix="0" xfId="0">
      <alignment horizontal="center" vertical="center" wrapText="1"/>
    </xf>
    <xf numFmtId="2" fontId="16" fillId="8" borderId="8" applyAlignment="1" pivotButton="0" quotePrefix="0" xfId="0">
      <alignment horizontal="center" vertical="center" wrapText="1"/>
    </xf>
    <xf numFmtId="2" fontId="16" fillId="9" borderId="8" applyAlignment="1" pivotButton="0" quotePrefix="0" xfId="0">
      <alignment horizontal="center" vertical="center" wrapText="1"/>
    </xf>
    <xf numFmtId="2" fontId="16" fillId="10" borderId="8" applyAlignment="1" pivotButton="0" quotePrefix="0" xfId="0">
      <alignment horizontal="center" vertical="center" wrapText="1"/>
    </xf>
    <xf numFmtId="0" fontId="15" fillId="2" borderId="32" applyAlignment="1" pivotButton="0" quotePrefix="0" xfId="0">
      <alignment vertical="bottom"/>
    </xf>
    <xf numFmtId="2" fontId="16" fillId="11" borderId="8" applyAlignment="1" pivotButton="0" quotePrefix="0" xfId="0">
      <alignment horizontal="center" vertical="center" wrapText="1"/>
    </xf>
    <xf numFmtId="0" fontId="10" fillId="2" borderId="8" applyAlignment="1" pivotButton="0" quotePrefix="0" xfId="0">
      <alignment horizontal="left" vertical="bottom"/>
    </xf>
    <xf numFmtId="2" fontId="16" fillId="2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vertical="center"/>
    </xf>
    <xf numFmtId="0" fontId="6" fillId="0" borderId="33" applyAlignment="1" pivotButton="0" quotePrefix="0" xfId="0">
      <alignment vertical="bottom"/>
    </xf>
    <xf numFmtId="0" fontId="8" fillId="2" borderId="4" applyAlignment="1" pivotButton="0" quotePrefix="0" xfId="0">
      <alignment horizontal="left" vertical="bottom"/>
    </xf>
    <xf numFmtId="2" fontId="16" fillId="10" borderId="8" applyAlignment="1" pivotButton="0" quotePrefix="0" xfId="0">
      <alignment horizontal="center" vertical="center" wrapText="1"/>
    </xf>
    <xf numFmtId="2" fontId="25" fillId="2" borderId="1" applyAlignment="1" pivotButton="0" quotePrefix="0" xfId="0">
      <alignment vertical="center" wrapText="1"/>
    </xf>
    <xf numFmtId="2" fontId="16" fillId="12" borderId="8" applyAlignment="1" pivotButton="0" quotePrefix="0" xfId="0">
      <alignment horizontal="center" vertical="center" wrapText="1"/>
    </xf>
    <xf numFmtId="2" fontId="7" fillId="2" borderId="15" applyAlignment="1" pivotButton="0" quotePrefix="0" xfId="0">
      <alignment vertical="center"/>
    </xf>
    <xf numFmtId="2" fontId="26" fillId="8" borderId="8" applyAlignment="1" pivotButton="0" quotePrefix="0" xfId="0">
      <alignment horizontal="center" vertical="center"/>
    </xf>
    <xf numFmtId="1" fontId="14" fillId="2" borderId="34" applyAlignment="1" pivotButton="0" quotePrefix="0" xfId="0">
      <alignment horizontal="center" vertical="center" wrapText="1"/>
    </xf>
    <xf numFmtId="2" fontId="24" fillId="2" borderId="3" applyAlignment="1" pivotButton="0" quotePrefix="0" xfId="0">
      <alignment vertical="center" wrapText="1"/>
    </xf>
    <xf numFmtId="0" fontId="15" fillId="23" borderId="30" applyAlignment="1" pivotButton="0" quotePrefix="0" xfId="0">
      <alignment vertical="bottom"/>
    </xf>
    <xf numFmtId="2" fontId="16" fillId="24" borderId="8" applyAlignment="1" pivotButton="0" quotePrefix="0" xfId="0">
      <alignment horizontal="center" vertical="center" wrapText="1"/>
    </xf>
    <xf numFmtId="2" fontId="16" fillId="23" borderId="8" applyAlignment="1" pivotButton="0" quotePrefix="0" xfId="0">
      <alignment horizontal="center" vertical="center" wrapText="1"/>
    </xf>
    <xf numFmtId="2" fontId="16" fillId="23" borderId="8" applyAlignment="1" pivotButton="0" quotePrefix="0" xfId="0">
      <alignment horizontal="center" vertical="center" wrapText="1"/>
    </xf>
    <xf numFmtId="2" fontId="14" fillId="2" borderId="35" applyAlignment="1" pivotButton="0" quotePrefix="0" xfId="0">
      <alignment vertical="center" wrapText="1"/>
    </xf>
    <xf numFmtId="0" fontId="15" fillId="2" borderId="36" applyAlignment="1" pivotButton="0" quotePrefix="0" xfId="0">
      <alignment vertical="bottom"/>
    </xf>
    <xf numFmtId="0" fontId="6" fillId="0" borderId="37" applyAlignment="1" pivotButton="0" quotePrefix="0" xfId="0">
      <alignment vertical="bottom"/>
    </xf>
    <xf numFmtId="0" fontId="9" fillId="0" borderId="38" applyAlignment="1" pivotButton="0" quotePrefix="0" xfId="0">
      <alignment vertical="center"/>
    </xf>
    <xf numFmtId="1" fontId="14" fillId="2" borderId="39" applyAlignment="1" pivotButton="0" quotePrefix="0" xfId="0">
      <alignment horizontal="center" vertical="center" wrapText="1"/>
    </xf>
    <xf numFmtId="2" fontId="16" fillId="19" borderId="8" applyAlignment="1" pivotButton="0" quotePrefix="0" xfId="0">
      <alignment horizontal="center" vertical="bottom"/>
    </xf>
    <xf numFmtId="2" fontId="8" fillId="2" borderId="40" applyAlignment="1" pivotButton="0" quotePrefix="0" xfId="0">
      <alignment vertical="center" wrapText="1"/>
    </xf>
    <xf numFmtId="0" fontId="15" fillId="0" borderId="41" applyAlignment="1" pivotButton="0" quotePrefix="0" xfId="0">
      <alignment vertical="bottom"/>
    </xf>
    <xf numFmtId="0" fontId="9" fillId="0" borderId="42" applyAlignment="1" pivotButton="0" quotePrefix="0" xfId="0">
      <alignment vertical="center"/>
    </xf>
    <xf numFmtId="0" fontId="10" fillId="2" borderId="11" applyAlignment="1" pivotButton="0" quotePrefix="0" xfId="0">
      <alignment horizontal="left" vertical="bottom"/>
    </xf>
    <xf numFmtId="2" fontId="16" fillId="21" borderId="8" applyAlignment="1" pivotButton="0" quotePrefix="0" xfId="0">
      <alignment horizontal="center" vertical="center" wrapText="1"/>
    </xf>
    <xf numFmtId="2" fontId="3" fillId="2" borderId="43" applyAlignment="1" pivotButton="0" quotePrefix="0" xfId="0">
      <alignment horizontal="center" vertical="bottom"/>
    </xf>
    <xf numFmtId="2" fontId="16" fillId="18" borderId="8" applyAlignment="1" pivotButton="0" quotePrefix="0" xfId="0">
      <alignment horizontal="center" vertical="center" wrapText="1"/>
    </xf>
    <xf numFmtId="2" fontId="16" fillId="2" borderId="43" applyAlignment="1" pivotButton="0" quotePrefix="0" xfId="0">
      <alignment horizontal="center" vertical="center" wrapText="1"/>
    </xf>
    <xf numFmtId="2" fontId="16" fillId="19" borderId="8" applyAlignment="1" pivotButton="0" quotePrefix="0" xfId="0">
      <alignment horizontal="center" vertical="center" wrapText="1"/>
    </xf>
    <xf numFmtId="2" fontId="16" fillId="23" borderId="44" applyAlignment="1" pivotButton="0" quotePrefix="0" xfId="0">
      <alignment horizontal="center" vertical="center" wrapText="1"/>
    </xf>
    <xf numFmtId="2" fontId="27" fillId="2" borderId="43" applyAlignment="1" pivotButton="0" quotePrefix="0" xfId="0">
      <alignment horizontal="center" vertical="bottom"/>
    </xf>
    <xf numFmtId="2" fontId="16" fillId="23" borderId="15" applyAlignment="1" pivotButton="0" quotePrefix="0" xfId="0">
      <alignment horizontal="center" vertical="center" wrapText="1"/>
    </xf>
    <xf numFmtId="2" fontId="14" fillId="2" borderId="43" applyAlignment="1" pivotButton="0" quotePrefix="0" xfId="0">
      <alignment vertical="center" wrapText="1"/>
    </xf>
    <xf numFmtId="1" fontId="14" fillId="2" borderId="43" applyAlignment="1" pivotButton="0" quotePrefix="0" xfId="0">
      <alignment horizontal="center" vertical="center" wrapText="1"/>
    </xf>
    <xf numFmtId="0" fontId="10" fillId="2" borderId="43" applyAlignment="1" pivotButton="0" quotePrefix="0" xfId="0">
      <alignment horizontal="left" vertical="bottom"/>
    </xf>
    <xf numFmtId="2" fontId="14" fillId="2" borderId="10" applyAlignment="1" pivotButton="0" quotePrefix="0" xfId="0">
      <alignment vertical="center" wrapText="1"/>
    </xf>
    <xf numFmtId="2" fontId="16" fillId="23" borderId="45" applyAlignment="1" pivotButton="0" quotePrefix="0" xfId="0">
      <alignment horizontal="center" vertical="center" wrapText="1"/>
    </xf>
    <xf numFmtId="2" fontId="2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vertical="bottom"/>
    </xf>
    <xf numFmtId="2" fontId="28" fillId="2" borderId="10" applyAlignment="1" pivotButton="0" quotePrefix="0" xfId="0">
      <alignment horizontal="center" vertical="bottom"/>
    </xf>
    <xf numFmtId="1" fontId="14" fillId="2" borderId="45" applyAlignment="1" pivotButton="0" quotePrefix="0" xfId="0">
      <alignment horizontal="center" vertical="center" wrapText="1"/>
    </xf>
    <xf numFmtId="2" fontId="14" fillId="2" borderId="10" applyAlignment="1" pivotButton="0" quotePrefix="0" xfId="0">
      <alignment horizontal="center" vertical="center" wrapText="1"/>
    </xf>
    <xf numFmtId="0" fontId="29" fillId="2" borderId="37" applyAlignment="1" pivotButton="0" quotePrefix="0" xfId="0">
      <alignment horizontal="left" vertical="center" wrapText="1"/>
    </xf>
    <xf numFmtId="2" fontId="27" fillId="2" borderId="10" applyAlignment="1" pivotButton="0" quotePrefix="0" xfId="0">
      <alignment horizontal="center" vertical="bottom"/>
    </xf>
    <xf numFmtId="0" fontId="9" fillId="0" borderId="46" applyAlignment="1" pivotButton="0" quotePrefix="0" xfId="0">
      <alignment vertical="center"/>
    </xf>
    <xf numFmtId="2" fontId="8" fillId="2" borderId="10" applyAlignment="1" pivotButton="0" quotePrefix="0" xfId="0">
      <alignment horizontal="center" vertical="center" wrapText="1"/>
    </xf>
    <xf numFmtId="2" fontId="14" fillId="2" borderId="47" applyAlignment="1" pivotButton="0" quotePrefix="0" xfId="0">
      <alignment vertical="center" wrapText="1"/>
    </xf>
    <xf numFmtId="1" fontId="14" fillId="2" borderId="10" applyAlignment="1" pivotButton="0" quotePrefix="0" xfId="0">
      <alignment horizontal="center" vertical="center" wrapText="1"/>
    </xf>
    <xf numFmtId="2" fontId="28" fillId="2" borderId="48" applyAlignment="1" pivotButton="0" quotePrefix="0" xfId="0">
      <alignment horizontal="center" vertical="center"/>
    </xf>
    <xf numFmtId="2" fontId="14" fillId="2" borderId="47" applyAlignment="1" pivotButton="0" quotePrefix="0" xfId="0">
      <alignment horizontal="center" vertical="center" wrapText="1"/>
    </xf>
    <xf numFmtId="2" fontId="14" fillId="2" borderId="15" applyAlignment="1" pivotButton="0" quotePrefix="0" xfId="0">
      <alignment horizontal="center" vertical="center" wrapText="1"/>
    </xf>
    <xf numFmtId="2" fontId="14" fillId="2" borderId="49" applyAlignment="1" pivotButton="0" quotePrefix="0" xfId="0">
      <alignment vertical="center" wrapText="1"/>
    </xf>
    <xf numFmtId="2" fontId="14" fillId="2" borderId="18" applyAlignment="1" pivotButton="0" quotePrefix="0" xfId="0">
      <alignment horizontal="center" vertical="center" wrapText="1"/>
    </xf>
    <xf numFmtId="1" fontId="14" fillId="2" borderId="1" applyAlignment="1" pivotButton="0" quotePrefix="0" xfId="0">
      <alignment horizontal="center" vertical="center" wrapText="1"/>
    </xf>
    <xf numFmtId="2" fontId="8" fillId="2" borderId="2" applyAlignment="1" pivotButton="0" quotePrefix="0" xfId="0">
      <alignment vertical="center" wrapText="1"/>
    </xf>
    <xf numFmtId="2" fontId="14" fillId="2" borderId="15" applyAlignment="1" pivotButton="0" quotePrefix="0" xfId="0">
      <alignment vertical="center" wrapText="1"/>
    </xf>
    <xf numFmtId="0" fontId="29" fillId="2" borderId="1" applyAlignment="1" pivotButton="0" quotePrefix="0" xfId="0">
      <alignment horizontal="left" vertical="center" wrapText="1"/>
    </xf>
    <xf numFmtId="0" fontId="6" fillId="2" borderId="10" applyAlignment="1" pivotButton="0" quotePrefix="0" xfId="0">
      <alignment vertical="bottom"/>
    </xf>
    <xf numFmtId="2" fontId="14" fillId="23" borderId="47" applyAlignment="1" pivotButton="0" quotePrefix="0" xfId="0">
      <alignment vertical="center" wrapText="1"/>
    </xf>
    <xf numFmtId="2" fontId="14" fillId="23" borderId="47" applyAlignment="1" pivotButton="0" quotePrefix="0" xfId="0">
      <alignment horizontal="center" vertical="center" wrapText="1"/>
    </xf>
    <xf numFmtId="2" fontId="8" fillId="2" borderId="10" applyAlignment="1" pivotButton="0" quotePrefix="0" xfId="0">
      <alignment vertical="center" wrapText="1"/>
    </xf>
    <xf numFmtId="2" fontId="14" fillId="23" borderId="45" applyAlignment="1" pivotButton="0" quotePrefix="0" xfId="0">
      <alignment horizontal="center" vertical="center" wrapText="1"/>
    </xf>
    <xf numFmtId="2" fontId="14" fillId="23" borderId="15" applyAlignment="1" pivotButton="0" quotePrefix="0" xfId="0">
      <alignment vertical="center" wrapText="1"/>
    </xf>
    <xf numFmtId="2" fontId="14" fillId="23" borderId="15" applyAlignment="1" pivotButton="0" quotePrefix="0" xfId="0">
      <alignment horizontal="center" vertical="center" wrapText="1"/>
    </xf>
    <xf numFmtId="2" fontId="14" fillId="23" borderId="49" applyAlignment="1" pivotButton="0" quotePrefix="0" xfId="0">
      <alignment vertical="center" wrapText="1"/>
    </xf>
    <xf numFmtId="2" fontId="14" fillId="23" borderId="18" applyAlignment="1" pivotButton="0" quotePrefix="0" xfId="0">
      <alignment horizontal="center" vertical="center" wrapText="1"/>
    </xf>
    <xf numFmtId="0" fontId="29" fillId="2" borderId="4" applyAlignment="1" pivotButton="0" quotePrefix="0" xfId="0">
      <alignment horizontal="left" vertical="center" wrapText="1"/>
    </xf>
    <xf numFmtId="2" fontId="30" fillId="2" borderId="4" applyAlignment="1" pivotButton="0" quotePrefix="0" xfId="0">
      <alignment horizontal="center" vertical="center" wrapText="1"/>
    </xf>
    <xf numFmtId="0" fontId="2" fillId="23" borderId="4" applyAlignment="1" pivotButton="0" quotePrefix="0" xfId="0">
      <alignment horizontal="center" vertical="center" wrapText="1"/>
    </xf>
    <xf numFmtId="0" fontId="10" fillId="2" borderId="8" applyAlignment="1" pivotButton="0" quotePrefix="0" xfId="0">
      <alignment vertical="bottom"/>
    </xf>
    <xf numFmtId="2" fontId="16" fillId="14" borderId="8" applyAlignment="1" pivotButton="0" quotePrefix="0" xfId="0">
      <alignment horizontal="center" vertical="center"/>
    </xf>
    <xf numFmtId="2" fontId="10" fillId="2" borderId="8" applyAlignment="1" pivotButton="0" quotePrefix="0" xfId="0">
      <alignment vertical="center" wrapText="1"/>
    </xf>
    <xf numFmtId="2" fontId="18" fillId="14" borderId="8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31" fillId="0" borderId="0" applyAlignment="1" pivotButton="0" quotePrefix="0" xfId="0">
      <alignment vertical="center"/>
    </xf>
    <xf numFmtId="0" fontId="32" fillId="2" borderId="8" applyAlignment="1" pivotButton="0" quotePrefix="0" xfId="0">
      <alignment vertical="bottom"/>
    </xf>
    <xf numFmtId="1" fontId="14" fillId="0" borderId="8" applyAlignment="1" pivotButton="0" quotePrefix="0" xfId="0">
      <alignment horizontal="center" vertical="center" wrapText="1"/>
    </xf>
    <xf numFmtId="2" fontId="16" fillId="20" borderId="8" applyAlignment="1" pivotButton="0" quotePrefix="0" xfId="0">
      <alignment horizontal="center" vertical="bottom"/>
    </xf>
    <xf numFmtId="2" fontId="16" fillId="25" borderId="8" applyAlignment="1" pivotButton="0" quotePrefix="0" xfId="0">
      <alignment horizontal="center" vertical="bottom"/>
    </xf>
    <xf numFmtId="0" fontId="32" fillId="2" borderId="11" applyAlignment="1" pivotButton="0" quotePrefix="0" xfId="0">
      <alignment vertical="bottom"/>
    </xf>
    <xf numFmtId="0" fontId="6" fillId="0" borderId="0" applyAlignment="1" pivotButton="0" quotePrefix="0" xfId="0">
      <alignment vertical="bottom" wrapText="1"/>
    </xf>
    <xf numFmtId="2" fontId="10" fillId="5" borderId="8" applyAlignment="1" pivotButton="0" quotePrefix="0" xfId="0">
      <alignment horizontal="center" vertical="center" wrapText="1"/>
    </xf>
    <xf numFmtId="2" fontId="10" fillId="6" borderId="8" applyAlignment="1" pivotButton="0" quotePrefix="0" xfId="0">
      <alignment horizontal="center" vertical="center" wrapText="1"/>
    </xf>
    <xf numFmtId="2" fontId="10" fillId="7" borderId="8" applyAlignment="1" pivotButton="0" quotePrefix="0" xfId="0">
      <alignment horizontal="center" vertical="center" wrapText="1"/>
    </xf>
    <xf numFmtId="2" fontId="10" fillId="8" borderId="8" applyAlignment="1" pivotButton="0" quotePrefix="0" xfId="0">
      <alignment horizontal="center" vertical="center" wrapText="1"/>
    </xf>
    <xf numFmtId="2" fontId="10" fillId="9" borderId="8" applyAlignment="1" pivotButton="0" quotePrefix="0" xfId="0">
      <alignment horizontal="center" vertical="center" wrapText="1"/>
    </xf>
    <xf numFmtId="2" fontId="10" fillId="10" borderId="8" applyAlignment="1" pivotButton="0" quotePrefix="0" xfId="0">
      <alignment horizontal="center" vertical="center" wrapText="1"/>
    </xf>
    <xf numFmtId="0" fontId="32" fillId="23" borderId="11" applyAlignment="1" pivotButton="0" quotePrefix="0" xfId="0">
      <alignment vertical="bottom"/>
    </xf>
    <xf numFmtId="2" fontId="10" fillId="26" borderId="8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2" fontId="10" fillId="15" borderId="8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0" fontId="10" fillId="0" borderId="33" applyAlignment="1" pivotButton="0" quotePrefix="0" xfId="0">
      <alignment vertical="bottom"/>
    </xf>
    <xf numFmtId="0" fontId="10" fillId="0" borderId="8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2" fontId="33" fillId="23" borderId="48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2" fontId="25" fillId="2" borderId="1" applyAlignment="1" pivotButton="0" quotePrefix="0" xfId="0">
      <alignment vertical="center" wrapText="1"/>
    </xf>
    <xf numFmtId="0" fontId="0" fillId="0" borderId="0" pivotButton="0" quotePrefix="0" xfId="0"/>
    <xf numFmtId="0" fontId="2" fillId="3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5" fillId="2" borderId="51" applyAlignment="1" pivotButton="0" quotePrefix="0" xfId="0">
      <alignment vertical="bottom"/>
    </xf>
    <xf numFmtId="0" fontId="0" fillId="0" borderId="31" pivotButton="0" quotePrefix="0" xfId="0"/>
    <xf numFmtId="0" fontId="15" fillId="0" borderId="48" applyAlignment="1" pivotButton="0" quotePrefix="0" xfId="0">
      <alignment vertical="bottom"/>
    </xf>
    <xf numFmtId="0" fontId="15" fillId="23" borderId="48" applyAlignment="1" pivotButton="0" quotePrefix="0" xfId="0">
      <alignment vertical="bottom"/>
    </xf>
    <xf numFmtId="0" fontId="10" fillId="2" borderId="10" applyAlignment="1" pivotButton="0" quotePrefix="0" xfId="0">
      <alignment horizontal="left" vertical="bottom"/>
    </xf>
    <xf numFmtId="0" fontId="8" fillId="2" borderId="10" applyAlignment="1" pivotButton="0" quotePrefix="0" xfId="0">
      <alignment horizontal="left" vertical="bottom"/>
    </xf>
    <xf numFmtId="2" fontId="8" fillId="2" borderId="15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29" fillId="2" borderId="10" applyAlignment="1" pivotButton="0" quotePrefix="0" xfId="0">
      <alignment horizontal="left" vertical="center" wrapText="1"/>
    </xf>
    <xf numFmtId="2" fontId="30" fillId="2" borderId="10" applyAlignment="1" pivotButton="0" quotePrefix="0" xfId="0">
      <alignment horizontal="center" vertical="center" wrapText="1"/>
    </xf>
    <xf numFmtId="0" fontId="15" fillId="0" borderId="53" applyAlignment="1" pivotButton="0" quotePrefix="0" xfId="0">
      <alignment vertical="bottom"/>
    </xf>
    <xf numFmtId="0" fontId="0" fillId="0" borderId="26" pivotButton="0" quotePrefix="0" xfId="0"/>
    <xf numFmtId="0" fontId="15" fillId="0" borderId="54" applyAlignment="1" pivotButton="0" quotePrefix="0" xfId="0">
      <alignment vertical="bottom"/>
    </xf>
    <xf numFmtId="0" fontId="0" fillId="0" borderId="22" pivotButton="0" quotePrefix="0" xfId="0"/>
    <xf numFmtId="0" fontId="15" fillId="2" borderId="17" applyAlignment="1" pivotButton="0" quotePrefix="0" xfId="0">
      <alignment vertical="bottom"/>
    </xf>
    <xf numFmtId="0" fontId="0" fillId="0" borderId="42" pivotButton="0" quotePrefix="0" xfId="0"/>
    <xf numFmtId="0" fontId="15" fillId="0" borderId="12" applyAlignment="1" pivotButton="0" quotePrefix="0" xfId="0">
      <alignment vertical="bottom"/>
    </xf>
    <xf numFmtId="0" fontId="29" fillId="2" borderId="55" applyAlignment="1" pivotButton="0" quotePrefix="0" xfId="0">
      <alignment horizontal="left" vertical="center" wrapText="1"/>
    </xf>
    <xf numFmtId="0" fontId="0" fillId="0" borderId="46" pivotButton="0" quotePrefix="0" xfId="0"/>
    <xf numFmtId="0" fontId="29" fillId="2" borderId="15" applyAlignment="1" pivotButton="0" quotePrefix="0" xfId="0">
      <alignment horizontal="left" vertical="center" wrapText="1"/>
    </xf>
    <xf numFmtId="2" fontId="6" fillId="4" borderId="8" applyAlignment="1" pivotButton="0" quotePrefix="0" xfId="0">
      <alignment horizontal="center" vertical="center"/>
    </xf>
    <xf numFmtId="0" fontId="10" fillId="2" borderId="56" applyAlignment="1" pivotButton="0" quotePrefix="0" xfId="0">
      <alignment vertical="bottom"/>
    </xf>
    <xf numFmtId="0" fontId="0" fillId="0" borderId="21" pivotButton="0" quotePrefix="0" xfId="0"/>
    <xf numFmtId="2" fontId="25" fillId="2" borderId="15" applyAlignment="1" pivotButton="0" quotePrefix="0" xfId="0">
      <alignment vertical="center" wrapText="1"/>
    </xf>
    <xf numFmtId="0" fontId="2" fillId="23" borderId="10" applyAlignment="1" pivotButton="0" quotePrefix="0" xfId="0">
      <alignment horizontal="center" vertical="center" wrapText="1"/>
    </xf>
    <xf numFmtId="0" fontId="32" fillId="23" borderId="8" applyAlignment="1" pivotButton="0" quotePrefix="0" xfId="0">
      <alignment vertical="bottom"/>
    </xf>
    <xf numFmtId="0" fontId="15" fillId="27" borderId="20" applyAlignment="1" pivotButton="0" quotePrefix="0" xfId="0">
      <alignment vertical="bottom"/>
    </xf>
    <xf numFmtId="2" fontId="16" fillId="28" borderId="8" applyAlignment="1" pivotButton="0" quotePrefix="0" xfId="0">
      <alignment horizontal="center" vertical="center" wrapText="1"/>
    </xf>
    <xf numFmtId="0" fontId="15" fillId="27" borderId="53" applyAlignment="1" pivotButton="0" quotePrefix="0" xfId="0">
      <alignment vertical="bottom"/>
    </xf>
    <xf numFmtId="0" fontId="15" fillId="27" borderId="54" applyAlignment="1" pivotButton="0" quotePrefix="0" xfId="0">
      <alignment vertical="bottom"/>
    </xf>
    <xf numFmtId="2" fontId="16" fillId="28" borderId="8" applyAlignment="1" pivotButton="0" quotePrefix="0" xfId="0">
      <alignment horizontal="center" vertical="center"/>
    </xf>
    <xf numFmtId="2" fontId="18" fillId="28" borderId="8" applyAlignment="1" pivotButton="0" quotePrefix="0" xfId="0">
      <alignment horizontal="center" vertical="center"/>
    </xf>
    <xf numFmtId="0" fontId="15" fillId="27" borderId="8" applyAlignment="1" pivotButton="0" quotePrefix="0" xfId="0">
      <alignment vertical="bottom"/>
    </xf>
    <xf numFmtId="0" fontId="10" fillId="27" borderId="27" applyAlignment="1" pivotButton="0" quotePrefix="0" xfId="0">
      <alignment vertical="bottom"/>
    </xf>
    <xf numFmtId="0" fontId="10" fillId="27" borderId="8" applyAlignment="1" pivotButton="0" quotePrefix="0" xfId="0">
      <alignment vertical="bottom"/>
    </xf>
    <xf numFmtId="0" fontId="32" fillId="27" borderId="8" applyAlignment="1" pivotButton="0" quotePrefix="0" xfId="0">
      <alignment vertical="bottom"/>
    </xf>
    <xf numFmtId="0" fontId="34" fillId="29" borderId="0" applyAlignment="1" pivotButton="0" quotePrefix="0" xfId="0">
      <alignment horizontal="center" vertical="center" wrapText="1"/>
    </xf>
    <xf numFmtId="0" fontId="35" fillId="30" borderId="0" applyAlignment="1" pivotButton="0" quotePrefix="0" xfId="0">
      <alignment horizontal="left" vertical="center" wrapText="1"/>
    </xf>
    <xf numFmtId="0" fontId="36" fillId="3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59" pivotButton="0" quotePrefix="0" xfId="0"/>
    <xf numFmtId="0" fontId="0" fillId="0" borderId="59" applyAlignment="1" pivotButton="0" quotePrefix="0" xfId="0">
      <alignment horizontal="left" vertical="center" wrapText="1"/>
    </xf>
    <xf numFmtId="0" fontId="0" fillId="0" borderId="59" applyAlignment="1" pivotButton="0" quotePrefix="0" xfId="0">
      <alignment horizontal="center" vertical="center" wrapText="1"/>
    </xf>
    <xf numFmtId="0" fontId="37" fillId="32" borderId="0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b val="1"/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0066"/>
      </font>
      <fill>
        <patternFill patternType="solid">
          <fgColor rgb="FFF8FF9D"/>
          <bgColor rgb="FFF8FF9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None</author>
  </authors>
  <commentList>
    <comment ref="N7" authorId="0" shapeId="0">
      <text>
        <t>Sistema: 8.44
Diferencia: 0.08</t>
      </text>
    </comment>
    <comment ref="N8" authorId="0" shapeId="0">
      <text>
        <t>Sistema: 8.84
Diferencia: 0.04</t>
      </text>
    </comment>
    <comment ref="N9" authorId="0" shapeId="0">
      <text>
        <t>Sistema: 9.56
Diferencia: 0.06</t>
      </text>
    </comment>
    <comment ref="N10" authorId="0" shapeId="0">
      <text>
        <t>Sistema: 9.38
Diferencia: 0.06</t>
      </text>
    </comment>
    <comment ref="N13" authorId="0" shapeId="0">
      <text>
        <t>Sistema: 8.71
Diferencia: 0.05</t>
      </text>
    </comment>
    <comment ref="N14" authorId="0" shapeId="0">
      <text>
        <t>Sistema: 8.26
Diferencia: 0.07</t>
      </text>
    </comment>
    <comment ref="N15" authorId="0" shapeId="0">
      <text>
        <t>Sistema: 9.11
Diferencia: 0.06</t>
      </text>
    </comment>
    <comment ref="N16" authorId="0" shapeId="0">
      <text>
        <t>Sistema: 8.06
Diferencia: 0.04</t>
      </text>
    </comment>
    <comment ref="N18" authorId="0" shapeId="0">
      <text>
        <t>Sistema: 9.03
Diferencia: 0.09</t>
      </text>
    </comment>
    <comment ref="J19" authorId="0" shapeId="0">
      <text>
        <t>Sistema: 7.50
Diferencia: 0.07</t>
      </text>
    </comment>
    <comment ref="N19" authorId="0" shapeId="0">
      <text>
        <t>Sistema: 7.34
Diferencia: 0.10</t>
      </text>
    </comment>
    <comment ref="N20" authorId="0" shapeId="0">
      <text>
        <t>Sistema: 8.17
Diferencia: 0.15</t>
      </text>
    </comment>
    <comment ref="N23" authorId="0" shapeId="0">
      <text>
        <t>Sistema: 7.34
Diferencia: 0.03</t>
      </text>
    </comment>
    <comment ref="N25" authorId="0" shapeId="0">
      <text>
        <t>Sistema: 7.94
Diferencia: 0.07</t>
      </text>
    </comment>
    <comment ref="G26" authorId="0" shapeId="0">
      <text>
        <t>Sistema: 8.12
Diferencia: 0.03</t>
      </text>
    </comment>
    <comment ref="N26" authorId="0" shapeId="0">
      <text>
        <t>Sistema: 8.70
Diferencia: 0.06</t>
      </text>
    </comment>
    <comment ref="G29" authorId="0" shapeId="0">
      <text>
        <t>Sistema: 4.00
Diferencia: 0.32</t>
      </text>
    </comment>
    <comment ref="H29" authorId="0" shapeId="0">
      <text>
        <t>Sistema: 3.48
Diferencia: 1.27</t>
      </text>
    </comment>
    <comment ref="J29" authorId="0" shapeId="0">
      <text>
        <t>Sistema: 4.83
Diferencia: 0.33</t>
      </text>
    </comment>
    <comment ref="N29" authorId="0" shapeId="0">
      <text>
        <t>Sistema: 4.59
Diferencia: 0.09</t>
      </text>
    </comment>
    <comment ref="N30" authorId="0" shapeId="0">
      <text>
        <t>Sistema: 8.32
Diferencia: 0.06</t>
      </text>
    </comment>
    <comment ref="H31" authorId="0" shapeId="0">
      <text>
        <t>Sistema: 9.91
Diferencia: 0.09</t>
      </text>
    </comment>
    <comment ref="N34" authorId="0" shapeId="0">
      <text>
        <t>Sistema: 8.36
Diferencia: 0.10</t>
      </text>
    </comment>
    <comment ref="N35" authorId="0" shapeId="0">
      <text>
        <t>Sistema: 9.74
Diferencia: 0.03</t>
      </text>
    </comment>
    <comment ref="J36" authorId="0" shapeId="0">
      <text>
        <t>Sistema: 7.69
Diferencia: 0.08</t>
      </text>
    </comment>
    <comment ref="N36" authorId="0" shapeId="0">
      <text>
        <t>Sistema: 7.46
Diferencia: 0.03</t>
      </text>
    </comment>
    <comment ref="N37" authorId="0" shapeId="0">
      <text>
        <t>Sistema: 8.00
Diferencia: 0.03</t>
      </text>
    </comment>
    <comment ref="H38" authorId="0" shapeId="0">
      <text>
        <t>Sistema: 7.39
Diferencia: 0.47</t>
      </text>
    </comment>
    <comment ref="J38" authorId="0" shapeId="0">
      <text>
        <t>Sistema: 7.39
Diferencia: 0.08</t>
      </text>
    </comment>
    <comment ref="N38" authorId="0" shapeId="0">
      <text>
        <t>Sistema: 5.57
Diferencia: 1.00</t>
      </text>
    </comment>
    <comment ref="N39" authorId="0" shapeId="0">
      <text>
        <t>Sistema: 9.30
Diferencia: 0.04</t>
      </text>
    </comment>
    <comment ref="N40" authorId="0" shapeId="0">
      <text>
        <t>Sistema: 7.96
Diferencia: 0.07</t>
      </text>
    </comment>
    <comment ref="N41" authorId="0" shapeId="0">
      <text>
        <t>Sistema: 9.55
Diferencia: 0.05</t>
      </text>
    </comment>
    <comment ref="N46" authorId="0" shapeId="0">
      <text>
        <t>Sistema: 8.35
Diferencia: 0.08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I12" authorId="0" shapeId="0">
      <text>
        <t>Sistema: 8.70
Diferencia: 0.27</t>
      </text>
    </comment>
    <comment ref="N12" authorId="0" shapeId="0">
      <text>
        <t>Sistema: 7.54
Diferencia: 0.04</t>
      </text>
    </comment>
    <comment ref="I29" authorId="0" shapeId="0">
      <text>
        <t>Sistema: 9.41
Diferencia: 0.18</t>
      </text>
    </comment>
    <comment ref="J41" authorId="0" shapeId="0">
      <text>
        <t>Sistema: 8.43
Diferencia: 0.03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I13" authorId="0" shapeId="0">
      <text>
        <t>Sistema: 8.77
Diferencia: 0.38</t>
      </text>
    </comment>
    <comment ref="N13" authorId="0" shapeId="0">
      <text>
        <t>Sistema: 8.03
Diferencia: 0.06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I7" authorId="0" shapeId="0">
      <text>
        <t>Sistema: 9.75
Diferencia: 0.08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361950</colOff>
      <row>0</row>
      <rowOff>28575</rowOff>
    </from>
    <ext cx="800100" cy="800100"/>
    <pic>
      <nvPicPr>
        <cNvPr id="0" name="image1.jpg" descr=" 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35" customWidth="1" style="254" min="1" max="1"/>
    <col width="25" customWidth="1" style="254" min="2" max="2"/>
    <col width="30" customWidth="1" style="254" min="3" max="3"/>
    <col width="12" customWidth="1" style="254" min="4" max="4"/>
    <col width="12" customWidth="1" style="254" min="5" max="5"/>
  </cols>
  <sheetData>
    <row r="1" ht="30" customHeight="1" s="254">
      <c r="A1" s="294" t="inlineStr">
        <is>
          <t>RESUMEN DE AUDITORÍA (DISCREPANCIAS ENCONTRADAS)</t>
        </is>
      </c>
      <c r="B1" s="294" t="n"/>
      <c r="C1" s="294" t="n"/>
      <c r="D1" s="294" t="n"/>
      <c r="E1" s="294" t="n"/>
    </row>
    <row r="3" ht="20" customHeight="1" s="254">
      <c r="A3" s="295" t="inlineStr">
        <is>
          <t>▶ CURSO: 10AM</t>
        </is>
      </c>
    </row>
    <row r="4" ht="20" customHeight="1" s="254">
      <c r="A4" s="296" t="inlineStr">
        <is>
          <t>Estudiante</t>
        </is>
      </c>
      <c r="B4" s="296" t="inlineStr">
        <is>
          <t>Tipo de Problema</t>
        </is>
      </c>
      <c r="C4" s="296" t="inlineStr">
        <is>
          <t>Materia</t>
        </is>
      </c>
      <c r="D4" s="296" t="inlineStr">
        <is>
          <t>Docente</t>
        </is>
      </c>
      <c r="E4" s="296" t="inlineStr">
        <is>
          <t>Sistema</t>
        </is>
      </c>
    </row>
    <row r="5" ht="20" customHeight="1" s="254">
      <c r="A5" s="297" t="inlineStr">
        <is>
          <t>BARROS VELESACA EMILIO NICOLAS</t>
        </is>
      </c>
      <c r="B5" s="297" t="inlineStr">
        <is>
          <t>❌ ERROR DE NOTA</t>
        </is>
      </c>
      <c r="C5" s="298" t="inlineStr">
        <is>
          <t>Educación Cultural y Artística</t>
        </is>
      </c>
      <c r="D5" s="297" t="n">
        <v>8.390000000000001</v>
      </c>
      <c r="E5" s="297" t="n">
        <v>8.77</v>
      </c>
    </row>
    <row r="6" ht="20" customHeight="1" s="254">
      <c r="A6" s="299" t="n"/>
      <c r="B6" s="299" t="n"/>
      <c r="C6" s="300" t="inlineStr">
        <is>
          <t>Promedio Final / P. General</t>
        </is>
      </c>
      <c r="D6" s="301" t="n">
        <v>7.97</v>
      </c>
      <c r="E6" s="301" t="n">
        <v>8.029999999999999</v>
      </c>
    </row>
    <row r="8" ht="20" customHeight="1" s="254">
      <c r="A8" s="295" t="inlineStr">
        <is>
          <t>▶ CURSO: 10BM</t>
        </is>
      </c>
    </row>
    <row r="9" ht="20" customHeight="1" s="254">
      <c r="A9" s="296" t="inlineStr">
        <is>
          <t>Estudiante</t>
        </is>
      </c>
      <c r="B9" s="296" t="inlineStr">
        <is>
          <t>Tipo de Problema</t>
        </is>
      </c>
      <c r="C9" s="296" t="inlineStr">
        <is>
          <t>Materia</t>
        </is>
      </c>
      <c r="D9" s="296" t="inlineStr">
        <is>
          <t>Docente</t>
        </is>
      </c>
      <c r="E9" s="296" t="inlineStr">
        <is>
          <t>Sistema</t>
        </is>
      </c>
    </row>
    <row r="10" ht="20" customHeight="1" s="254">
      <c r="A10" s="301" t="inlineStr">
        <is>
          <t>APOLO GUZMAN ANTHONY IVAN</t>
        </is>
      </c>
      <c r="B10" s="301" t="inlineStr">
        <is>
          <t>❌ ERROR DE NOTA</t>
        </is>
      </c>
      <c r="C10" s="300" t="inlineStr">
        <is>
          <t>Educación Cultural y Artística</t>
        </is>
      </c>
      <c r="D10" s="301" t="n">
        <v>9.67</v>
      </c>
      <c r="E10" s="301" t="n">
        <v>9.75</v>
      </c>
    </row>
    <row r="12" ht="20" customHeight="1" s="254">
      <c r="A12" s="295" t="inlineStr">
        <is>
          <t>▶ CURSO: 8AM</t>
        </is>
      </c>
    </row>
    <row r="13" ht="25" customHeight="1" s="254">
      <c r="A13" s="302" t="inlineStr">
        <is>
          <t>✅ Todo el curso está perfectamente cuadrado. No hay discrepancias.</t>
        </is>
      </c>
    </row>
    <row r="15" ht="20" customHeight="1" s="254">
      <c r="A15" s="295" t="inlineStr">
        <is>
          <t>▶ CURSO: 8BM</t>
        </is>
      </c>
    </row>
    <row r="16" ht="20" customHeight="1" s="254">
      <c r="A16" s="296" t="inlineStr">
        <is>
          <t>Estudiante</t>
        </is>
      </c>
      <c r="B16" s="296" t="inlineStr">
        <is>
          <t>Tipo de Problema</t>
        </is>
      </c>
      <c r="C16" s="296" t="inlineStr">
        <is>
          <t>Materia</t>
        </is>
      </c>
      <c r="D16" s="296" t="inlineStr">
        <is>
          <t>Docente</t>
        </is>
      </c>
      <c r="E16" s="296" t="inlineStr">
        <is>
          <t>Sistema</t>
        </is>
      </c>
    </row>
    <row r="17" ht="20" customHeight="1" s="254">
      <c r="A17" s="301" t="inlineStr">
        <is>
          <t>ARIAS CUZCO JOSUE DAVID</t>
        </is>
      </c>
      <c r="B17" s="301" t="inlineStr">
        <is>
          <t>❌ ERROR DE NOTA</t>
        </is>
      </c>
      <c r="C17" s="300" t="inlineStr">
        <is>
          <t>Promedio Final / P. General</t>
        </is>
      </c>
      <c r="D17" s="301" t="n">
        <v>8.359999999999999</v>
      </c>
      <c r="E17" s="301" t="n">
        <v>8.44</v>
      </c>
    </row>
    <row r="18" ht="20" customHeight="1" s="254">
      <c r="A18" s="301" t="inlineStr">
        <is>
          <t>ATANCURI LALVAY JOEL MATIAS</t>
        </is>
      </c>
      <c r="B18" s="301" t="inlineStr">
        <is>
          <t>❌ ERROR DE NOTA</t>
        </is>
      </c>
      <c r="C18" s="300" t="inlineStr">
        <is>
          <t>Promedio Final / P. General</t>
        </is>
      </c>
      <c r="D18" s="301" t="n">
        <v>8.800000000000001</v>
      </c>
      <c r="E18" s="301" t="n">
        <v>8.84</v>
      </c>
    </row>
    <row r="19" ht="20" customHeight="1" s="254">
      <c r="A19" s="301" t="inlineStr">
        <is>
          <t>BARBECHO TELLO EMILY BRIGITTE</t>
        </is>
      </c>
      <c r="B19" s="301" t="inlineStr">
        <is>
          <t>❌ ERROR DE NOTA</t>
        </is>
      </c>
      <c r="C19" s="300" t="inlineStr">
        <is>
          <t>Promedio Final / P. General</t>
        </is>
      </c>
      <c r="D19" s="301" t="n">
        <v>9.5</v>
      </c>
      <c r="E19" s="301" t="n">
        <v>9.56</v>
      </c>
    </row>
    <row r="20" ht="20" customHeight="1" s="254">
      <c r="A20" s="301" t="inlineStr">
        <is>
          <t>BELTRAN CARDENAS CRISTEL ALEJANDRA</t>
        </is>
      </c>
      <c r="B20" s="301" t="inlineStr">
        <is>
          <t>❌ ERROR DE NOTA</t>
        </is>
      </c>
      <c r="C20" s="300" t="inlineStr">
        <is>
          <t>Promedio Final / P. General</t>
        </is>
      </c>
      <c r="D20" s="301" t="n">
        <v>9.32</v>
      </c>
      <c r="E20" s="301" t="n">
        <v>9.380000000000001</v>
      </c>
    </row>
    <row r="21" ht="20" customHeight="1" s="254">
      <c r="A21" s="301" t="inlineStr">
        <is>
          <t>CHIMBOLEMA AREVALO WILLIAM ELIAS</t>
        </is>
      </c>
      <c r="B21" s="301" t="inlineStr">
        <is>
          <t>❌ ERROR DE NOTA</t>
        </is>
      </c>
      <c r="C21" s="300" t="inlineStr">
        <is>
          <t>Promedio Final / P. General</t>
        </is>
      </c>
      <c r="D21" s="301" t="n">
        <v>8.66</v>
      </c>
      <c r="E21" s="301" t="n">
        <v>8.710000000000001</v>
      </c>
    </row>
    <row r="22" ht="20" customHeight="1" s="254">
      <c r="A22" s="301" t="inlineStr">
        <is>
          <t>CRESPO BARROS DAVID SEBASTIAN</t>
        </is>
      </c>
      <c r="B22" s="301" t="inlineStr">
        <is>
          <t>❌ ERROR DE NOTA</t>
        </is>
      </c>
      <c r="C22" s="300" t="inlineStr">
        <is>
          <t>Promedio Final / P. General</t>
        </is>
      </c>
      <c r="D22" s="301" t="n">
        <v>8.19</v>
      </c>
      <c r="E22" s="301" t="n">
        <v>8.26</v>
      </c>
    </row>
    <row r="23" ht="20" customHeight="1" s="254">
      <c r="A23" s="301" t="inlineStr">
        <is>
          <t>FARFAN ALVARADO MAYKEL YAHIR</t>
        </is>
      </c>
      <c r="B23" s="301" t="inlineStr">
        <is>
          <t>❌ ERROR DE NOTA</t>
        </is>
      </c>
      <c r="C23" s="300" t="inlineStr">
        <is>
          <t>Promedio Final / P. General</t>
        </is>
      </c>
      <c r="D23" s="301" t="n">
        <v>9.050000000000001</v>
      </c>
      <c r="E23" s="301" t="n">
        <v>9.109999999999999</v>
      </c>
    </row>
    <row r="24" ht="20" customHeight="1" s="254">
      <c r="A24" s="301" t="inlineStr">
        <is>
          <t>GUALLPA JARA NATHALY GABRIELA</t>
        </is>
      </c>
      <c r="B24" s="301" t="inlineStr">
        <is>
          <t>❌ ERROR DE NOTA</t>
        </is>
      </c>
      <c r="C24" s="300" t="inlineStr">
        <is>
          <t>Promedio Final / P. General</t>
        </is>
      </c>
      <c r="D24" s="301" t="n">
        <v>8.02</v>
      </c>
      <c r="E24" s="301" t="n">
        <v>8.06</v>
      </c>
    </row>
    <row r="25" ht="20" customHeight="1" s="254">
      <c r="A25" s="301" t="inlineStr">
        <is>
          <t>JUELA GOMEZ DOMENICA VALENTINA</t>
        </is>
      </c>
      <c r="B25" s="301" t="inlineStr">
        <is>
          <t>❌ ERROR DE NOTA</t>
        </is>
      </c>
      <c r="C25" s="300" t="inlineStr">
        <is>
          <t>Promedio Final / P. General</t>
        </is>
      </c>
      <c r="D25" s="301" t="n">
        <v>8.94</v>
      </c>
      <c r="E25" s="301" t="n">
        <v>9.029999999999999</v>
      </c>
    </row>
    <row r="26" ht="20" customHeight="1" s="254">
      <c r="A26" s="297" t="inlineStr">
        <is>
          <t>LONDA ASMAL ANDERSON JULIAN</t>
        </is>
      </c>
      <c r="B26" s="297" t="inlineStr">
        <is>
          <t>❌ ERROR DE NOTA</t>
        </is>
      </c>
      <c r="C26" s="298" t="inlineStr">
        <is>
          <t>Educación Física</t>
        </is>
      </c>
      <c r="D26" s="297" t="n">
        <v>7.57</v>
      </c>
      <c r="E26" s="297" t="n">
        <v>7.5</v>
      </c>
    </row>
    <row r="27" ht="20" customHeight="1" s="254">
      <c r="A27" s="299" t="n"/>
      <c r="B27" s="299" t="n"/>
      <c r="C27" s="300" t="inlineStr">
        <is>
          <t>Promedio Final / P. General</t>
        </is>
      </c>
      <c r="D27" s="301" t="n">
        <v>7.24</v>
      </c>
      <c r="E27" s="301" t="n">
        <v>7.34</v>
      </c>
    </row>
    <row r="28" ht="20" customHeight="1" s="254">
      <c r="A28" s="301" t="inlineStr">
        <is>
          <t>LONDA PASTUIZACA ANTONY MATEO</t>
        </is>
      </c>
      <c r="B28" s="301" t="inlineStr">
        <is>
          <t>❌ ERROR DE NOTA</t>
        </is>
      </c>
      <c r="C28" s="300" t="inlineStr">
        <is>
          <t>Promedio Final / P. General</t>
        </is>
      </c>
      <c r="D28" s="301" t="n">
        <v>8.02</v>
      </c>
      <c r="E28" s="301" t="n">
        <v>8.17</v>
      </c>
    </row>
    <row r="29" ht="20" customHeight="1" s="254">
      <c r="A29" s="301" t="inlineStr">
        <is>
          <t>MAYORGA JIMBO CHRISTOFER STALIN</t>
        </is>
      </c>
      <c r="B29" s="301" t="inlineStr">
        <is>
          <t>❌ ERROR DE NOTA</t>
        </is>
      </c>
      <c r="C29" s="300" t="inlineStr">
        <is>
          <t>Promedio Final / P. General</t>
        </is>
      </c>
      <c r="D29" s="301" t="n">
        <v>7.37</v>
      </c>
      <c r="E29" s="301" t="n">
        <v>7.34</v>
      </c>
    </row>
    <row r="30" ht="20" customHeight="1" s="254">
      <c r="A30" s="301" t="inlineStr">
        <is>
          <t>MOROCHO HERNANDEZ KIMBERLY IVANA</t>
        </is>
      </c>
      <c r="B30" s="301" t="inlineStr">
        <is>
          <t>❌ ERROR DE NOTA</t>
        </is>
      </c>
      <c r="C30" s="300" t="inlineStr">
        <is>
          <t>Promedio Final / P. General</t>
        </is>
      </c>
      <c r="D30" s="301" t="n">
        <v>7.87</v>
      </c>
      <c r="E30" s="301" t="n">
        <v>7.94</v>
      </c>
    </row>
    <row r="31" ht="20" customHeight="1" s="254">
      <c r="A31" s="297" t="inlineStr">
        <is>
          <t>NACIPUCHA NACIPUCHA EDWIN ANDRES</t>
        </is>
      </c>
      <c r="B31" s="297" t="inlineStr">
        <is>
          <t>❌ ERROR DE NOTA</t>
        </is>
      </c>
      <c r="C31" s="298" t="inlineStr">
        <is>
          <t>Estudios Sociales</t>
        </is>
      </c>
      <c r="D31" s="297" t="n">
        <v>8.15</v>
      </c>
      <c r="E31" s="297" t="n">
        <v>8.119999999999999</v>
      </c>
    </row>
    <row r="32" ht="20" customHeight="1" s="254">
      <c r="A32" s="299" t="n"/>
      <c r="B32" s="299" t="n"/>
      <c r="C32" s="300" t="inlineStr">
        <is>
          <t>Promedio Final / P. General</t>
        </is>
      </c>
      <c r="D32" s="301" t="n">
        <v>8.640000000000001</v>
      </c>
      <c r="E32" s="301" t="n">
        <v>8.699999999999999</v>
      </c>
    </row>
    <row r="33" ht="20" customHeight="1" s="254">
      <c r="A33" s="297" t="inlineStr">
        <is>
          <t>PERALTA PUCHA JORDAN EDUARDO</t>
        </is>
      </c>
      <c r="B33" s="297" t="inlineStr">
        <is>
          <t>❌ ERROR DE NOTA</t>
        </is>
      </c>
      <c r="C33" s="298" t="inlineStr">
        <is>
          <t>Estudios Sociales</t>
        </is>
      </c>
      <c r="D33" s="297" t="n">
        <v>3.68</v>
      </c>
      <c r="E33" s="297" t="n">
        <v>4</v>
      </c>
    </row>
    <row r="34" ht="20" customHeight="1" s="254">
      <c r="C34" s="298" t="inlineStr">
        <is>
          <t>Inglés</t>
        </is>
      </c>
      <c r="D34" s="297" t="n">
        <v>4.75</v>
      </c>
      <c r="E34" s="297" t="n">
        <v>3.48</v>
      </c>
    </row>
    <row r="35" ht="20" customHeight="1" s="254">
      <c r="C35" s="298" t="inlineStr">
        <is>
          <t>Educación Física</t>
        </is>
      </c>
      <c r="D35" s="297" t="n">
        <v>4.5</v>
      </c>
      <c r="E35" s="297" t="n">
        <v>4.83</v>
      </c>
    </row>
    <row r="36" ht="20" customHeight="1" s="254">
      <c r="A36" s="299" t="n"/>
      <c r="B36" s="299" t="n"/>
      <c r="C36" s="300" t="inlineStr">
        <is>
          <t>Promedio Final / P. General</t>
        </is>
      </c>
      <c r="D36" s="301" t="n">
        <v>4.68</v>
      </c>
      <c r="E36" s="301" t="n">
        <v>4.59</v>
      </c>
    </row>
    <row r="37" ht="20" customHeight="1" s="254">
      <c r="A37" s="301" t="inlineStr">
        <is>
          <t>PIÑA LLANGARI NICOLE DOMENICA</t>
        </is>
      </c>
      <c r="B37" s="301" t="inlineStr">
        <is>
          <t>❌ ERROR DE NOTA</t>
        </is>
      </c>
      <c r="C37" s="300" t="inlineStr">
        <is>
          <t>Promedio Final / P. General</t>
        </is>
      </c>
      <c r="D37" s="301" t="n">
        <v>8.26</v>
      </c>
      <c r="E37" s="301" t="n">
        <v>8.32</v>
      </c>
    </row>
    <row r="38" ht="20" customHeight="1" s="254">
      <c r="A38" s="301" t="inlineStr">
        <is>
          <t>QUINDE ZUMBA DANIEL ANDRES</t>
        </is>
      </c>
      <c r="B38" s="301" t="inlineStr">
        <is>
          <t>❌ ERROR DE NOTA</t>
        </is>
      </c>
      <c r="C38" s="300" t="inlineStr">
        <is>
          <t>Inglés</t>
        </is>
      </c>
      <c r="D38" s="301" t="n">
        <v>10</v>
      </c>
      <c r="E38" s="301" t="n">
        <v>9.91</v>
      </c>
    </row>
    <row r="39" ht="20" customHeight="1" s="254">
      <c r="A39" s="301" t="inlineStr">
        <is>
          <t>SONGOR MUZHA ASHLEY NICOLE</t>
        </is>
      </c>
      <c r="B39" s="301" t="inlineStr">
        <is>
          <t>❌ ERROR DE NOTA</t>
        </is>
      </c>
      <c r="C39" s="300" t="inlineStr">
        <is>
          <t>Promedio Final / P. General</t>
        </is>
      </c>
      <c r="D39" s="301" t="n">
        <v>8.26</v>
      </c>
      <c r="E39" s="301" t="n">
        <v>8.359999999999999</v>
      </c>
    </row>
    <row r="40" ht="20" customHeight="1" s="254">
      <c r="A40" s="301" t="inlineStr">
        <is>
          <t>SUCUZHAÑAY FERNANDEZ JENNIFER MISHELL</t>
        </is>
      </c>
      <c r="B40" s="301" t="inlineStr">
        <is>
          <t>❌ ERROR DE NOTA</t>
        </is>
      </c>
      <c r="C40" s="300" t="inlineStr">
        <is>
          <t>Promedio Final / P. General</t>
        </is>
      </c>
      <c r="D40" s="301" t="n">
        <v>9.710000000000001</v>
      </c>
      <c r="E40" s="301" t="n">
        <v>9.74</v>
      </c>
    </row>
    <row r="41" ht="20" customHeight="1" s="254">
      <c r="A41" s="297" t="inlineStr">
        <is>
          <t>SUIN PERALTA DIEGO EMILIO</t>
        </is>
      </c>
      <c r="B41" s="297" t="inlineStr">
        <is>
          <t>❌ ERROR DE NOTA</t>
        </is>
      </c>
      <c r="C41" s="298" t="inlineStr">
        <is>
          <t>Educación Física</t>
        </is>
      </c>
      <c r="D41" s="297" t="n">
        <v>7.77</v>
      </c>
      <c r="E41" s="297" t="n">
        <v>7.69</v>
      </c>
    </row>
    <row r="42" ht="20" customHeight="1" s="254">
      <c r="A42" s="299" t="n"/>
      <c r="B42" s="299" t="n"/>
      <c r="C42" s="300" t="inlineStr">
        <is>
          <t>Promedio Final / P. General</t>
        </is>
      </c>
      <c r="D42" s="301" t="n">
        <v>7.43</v>
      </c>
      <c r="E42" s="301" t="n">
        <v>7.46</v>
      </c>
    </row>
    <row r="43" ht="20" customHeight="1" s="254">
      <c r="A43" s="301" t="inlineStr">
        <is>
          <t>TACURI NAVARRO AMANDA PAOLA</t>
        </is>
      </c>
      <c r="B43" s="301" t="inlineStr">
        <is>
          <t>❌ ERROR DE NOTA</t>
        </is>
      </c>
      <c r="C43" s="300" t="inlineStr">
        <is>
          <t>Promedio Final / P. General</t>
        </is>
      </c>
      <c r="D43" s="301" t="n">
        <v>7.97</v>
      </c>
      <c r="E43" s="301" t="n">
        <v>8</v>
      </c>
    </row>
    <row r="44" ht="20" customHeight="1" s="254">
      <c r="A44" s="297" t="inlineStr">
        <is>
          <t>TACURI PINTADO RIHANNA TIFFANNY</t>
        </is>
      </c>
      <c r="B44" s="297" t="inlineStr">
        <is>
          <t>❌ ERROR DE NOTA</t>
        </is>
      </c>
      <c r="C44" s="298" t="inlineStr">
        <is>
          <t>Inglés</t>
        </is>
      </c>
      <c r="D44" s="297" t="n">
        <v>6.92</v>
      </c>
      <c r="E44" s="297" t="n">
        <v>7.39</v>
      </c>
    </row>
    <row r="45" ht="20" customHeight="1" s="254">
      <c r="C45" s="298" t="inlineStr">
        <is>
          <t>Educación Física</t>
        </is>
      </c>
      <c r="D45" s="297" t="n">
        <v>7.47</v>
      </c>
      <c r="E45" s="297" t="n">
        <v>7.39</v>
      </c>
    </row>
    <row r="46" ht="20" customHeight="1" s="254">
      <c r="A46" s="299" t="n"/>
      <c r="B46" s="299" t="n"/>
      <c r="C46" s="300" t="inlineStr">
        <is>
          <t>Promedio Final / P. General</t>
        </is>
      </c>
      <c r="D46" s="301" t="n">
        <v>6.57</v>
      </c>
      <c r="E46" s="301" t="n">
        <v>5.57</v>
      </c>
    </row>
    <row r="47" ht="20" customHeight="1" s="254">
      <c r="A47" s="301" t="inlineStr">
        <is>
          <t>TENEMAZA LEMA VERONICA LIZBETH</t>
        </is>
      </c>
      <c r="B47" s="301" t="inlineStr">
        <is>
          <t>❌ ERROR DE NOTA</t>
        </is>
      </c>
      <c r="C47" s="300" t="inlineStr">
        <is>
          <t>Promedio Final / P. General</t>
        </is>
      </c>
      <c r="D47" s="301" t="n">
        <v>9.26</v>
      </c>
      <c r="E47" s="301" t="n">
        <v>9.300000000000001</v>
      </c>
    </row>
    <row r="48" ht="20" customHeight="1" s="254">
      <c r="A48" s="301" t="inlineStr">
        <is>
          <t>TOCTE CORRALES SHIRLE LISETH</t>
        </is>
      </c>
      <c r="B48" s="301" t="inlineStr">
        <is>
          <t>❌ ERROR DE NOTA</t>
        </is>
      </c>
      <c r="C48" s="300" t="inlineStr">
        <is>
          <t>Promedio Final / P. General</t>
        </is>
      </c>
      <c r="D48" s="301" t="n">
        <v>7.89</v>
      </c>
      <c r="E48" s="301" t="n">
        <v>7.96</v>
      </c>
    </row>
    <row r="49" ht="20" customHeight="1" s="254">
      <c r="A49" s="301" t="inlineStr">
        <is>
          <t>UZHCA BANEGAS DANIELA ESTEFANIA</t>
        </is>
      </c>
      <c r="B49" s="301" t="inlineStr">
        <is>
          <t>❌ ERROR DE NOTA</t>
        </is>
      </c>
      <c r="C49" s="300" t="inlineStr">
        <is>
          <t>Promedio Final / P. General</t>
        </is>
      </c>
      <c r="D49" s="301" t="n">
        <v>9.5</v>
      </c>
      <c r="E49" s="301" t="n">
        <v>9.550000000000001</v>
      </c>
    </row>
    <row r="50" ht="20" customHeight="1" s="254">
      <c r="A50" s="301" t="inlineStr">
        <is>
          <t>ZHANGALLIMBAY VEGA KAREN DOMENICA</t>
        </is>
      </c>
      <c r="B50" s="301" t="inlineStr">
        <is>
          <t>❌ ERROR DE NOTA</t>
        </is>
      </c>
      <c r="C50" s="300" t="inlineStr">
        <is>
          <t>Promedio Final / P. General</t>
        </is>
      </c>
      <c r="D50" s="301" t="n">
        <v>8.27</v>
      </c>
      <c r="E50" s="301" t="n">
        <v>8.35</v>
      </c>
    </row>
    <row r="52" ht="20" customHeight="1" s="254">
      <c r="A52" s="295" t="inlineStr">
        <is>
          <t>▶ CURSO: 9AM</t>
        </is>
      </c>
    </row>
    <row r="53" ht="20" customHeight="1" s="254">
      <c r="A53" s="296" t="inlineStr">
        <is>
          <t>Estudiante</t>
        </is>
      </c>
      <c r="B53" s="296" t="inlineStr">
        <is>
          <t>Tipo de Problema</t>
        </is>
      </c>
      <c r="C53" s="296" t="inlineStr">
        <is>
          <t>Materia</t>
        </is>
      </c>
      <c r="D53" s="296" t="inlineStr">
        <is>
          <t>Docente</t>
        </is>
      </c>
      <c r="E53" s="296" t="inlineStr">
        <is>
          <t>Sistema</t>
        </is>
      </c>
    </row>
    <row r="54" ht="20" customHeight="1" s="254">
      <c r="A54" s="301" t="inlineStr">
        <is>
          <t>LOPEZ DELGADO DANNY LEONEL</t>
        </is>
      </c>
      <c r="B54" s="301" t="inlineStr">
        <is>
          <t>⚠️ FALTA EN SISTEMA</t>
        </is>
      </c>
      <c r="C54" s="300" t="inlineStr">
        <is>
          <t>(Nómina)</t>
        </is>
      </c>
      <c r="D54" s="301" t="inlineStr">
        <is>
          <t>-</t>
        </is>
      </c>
      <c r="E54" s="301" t="inlineStr">
        <is>
          <t>Falta</t>
        </is>
      </c>
    </row>
    <row r="55" ht="20" customHeight="1" s="254">
      <c r="A55" s="301" t="inlineStr">
        <is>
          <t>VILLAVICENCIO NAVARRO DARWIN ADRIAN</t>
        </is>
      </c>
      <c r="B55" s="301" t="inlineStr">
        <is>
          <t>⚠️ FALTA EN DOCENTE</t>
        </is>
      </c>
      <c r="C55" s="300" t="inlineStr">
        <is>
          <t>(Nómina)</t>
        </is>
      </c>
      <c r="D55" s="301" t="inlineStr">
        <is>
          <t>Falta</t>
        </is>
      </c>
      <c r="E55" s="301" t="inlineStr">
        <is>
          <t>-</t>
        </is>
      </c>
    </row>
    <row r="57" ht="20" customHeight="1" s="254">
      <c r="A57" s="295" t="inlineStr">
        <is>
          <t>▶ CURSO: 9BM</t>
        </is>
      </c>
    </row>
    <row r="58" ht="20" customHeight="1" s="254">
      <c r="A58" s="296" t="inlineStr">
        <is>
          <t>Estudiante</t>
        </is>
      </c>
      <c r="B58" s="296" t="inlineStr">
        <is>
          <t>Tipo de Problema</t>
        </is>
      </c>
      <c r="C58" s="296" t="inlineStr">
        <is>
          <t>Materia</t>
        </is>
      </c>
      <c r="D58" s="296" t="inlineStr">
        <is>
          <t>Docente</t>
        </is>
      </c>
      <c r="E58" s="296" t="inlineStr">
        <is>
          <t>Sistema</t>
        </is>
      </c>
    </row>
    <row r="59" ht="20" customHeight="1" s="254">
      <c r="A59" s="297" t="inlineStr">
        <is>
          <t>CABRERA CANDO LIZBETH CAROLINA</t>
        </is>
      </c>
      <c r="B59" s="297" t="inlineStr">
        <is>
          <t>❌ ERROR DE NOTA</t>
        </is>
      </c>
      <c r="C59" s="298" t="inlineStr">
        <is>
          <t>Educación Cultural y Artística</t>
        </is>
      </c>
      <c r="D59" s="297" t="n">
        <v>8.43</v>
      </c>
      <c r="E59" s="297" t="n">
        <v>8.699999999999999</v>
      </c>
    </row>
    <row r="60" ht="20" customHeight="1" s="254">
      <c r="A60" s="299" t="n"/>
      <c r="B60" s="299" t="n"/>
      <c r="C60" s="300" t="inlineStr">
        <is>
          <t>Promedio Final / P. General</t>
        </is>
      </c>
      <c r="D60" s="301" t="n">
        <v>7.5</v>
      </c>
      <c r="E60" s="301" t="n">
        <v>7.54</v>
      </c>
    </row>
    <row r="61" ht="20" customHeight="1" s="254">
      <c r="A61" s="301" t="inlineStr">
        <is>
          <t>LONDA VIÑANZACA NATHALY DANIELA</t>
        </is>
      </c>
      <c r="B61" s="301" t="inlineStr">
        <is>
          <t>❌ ERROR DE NOTA</t>
        </is>
      </c>
      <c r="C61" s="300" t="inlineStr">
        <is>
          <t>Educación Cultural y Artística</t>
        </is>
      </c>
      <c r="D61" s="301" t="n">
        <v>9.23</v>
      </c>
      <c r="E61" s="301" t="n">
        <v>9.41</v>
      </c>
    </row>
    <row r="62" ht="20" customHeight="1" s="254">
      <c r="A62" s="301" t="inlineStr">
        <is>
          <t>LOPEZ DELGADO DANNY LEONEL</t>
        </is>
      </c>
      <c r="B62" s="301" t="inlineStr">
        <is>
          <t>⚠️ FALTA EN DOCENTE</t>
        </is>
      </c>
      <c r="C62" s="300" t="inlineStr">
        <is>
          <t>(Nómina)</t>
        </is>
      </c>
      <c r="D62" s="301" t="inlineStr">
        <is>
          <t>Falta</t>
        </is>
      </c>
      <c r="E62" s="301" t="inlineStr">
        <is>
          <t>-</t>
        </is>
      </c>
    </row>
    <row r="63" ht="20" customHeight="1" s="254">
      <c r="A63" s="301" t="inlineStr">
        <is>
          <t>SOLIZ GUZHÑAY MATEO ISMAEL</t>
        </is>
      </c>
      <c r="B63" s="301" t="inlineStr">
        <is>
          <t>❌ ERROR DE NOTA</t>
        </is>
      </c>
      <c r="C63" s="300" t="inlineStr">
        <is>
          <t>Educación Física</t>
        </is>
      </c>
      <c r="D63" s="301" t="n">
        <v>8.4</v>
      </c>
      <c r="E63" s="301" t="n">
        <v>8.43</v>
      </c>
    </row>
    <row r="64" ht="20" customHeight="1" s="254">
      <c r="A64" s="301" t="inlineStr">
        <is>
          <t>VILLAVICENCIO NAVARRO DARWIN ADRIAN</t>
        </is>
      </c>
      <c r="B64" s="301" t="inlineStr">
        <is>
          <t>⚠️ FALTA EN SISTEMA</t>
        </is>
      </c>
      <c r="C64" s="300" t="inlineStr">
        <is>
          <t>(Nómina)</t>
        </is>
      </c>
      <c r="D64" s="301" t="inlineStr">
        <is>
          <t>-</t>
        </is>
      </c>
      <c r="E64" s="301" t="inlineStr">
        <is>
          <t>Falta</t>
        </is>
      </c>
    </row>
  </sheetData>
  <mergeCells count="22">
    <mergeCell ref="A15:E15"/>
    <mergeCell ref="A1:E1"/>
    <mergeCell ref="A41:A42"/>
    <mergeCell ref="A44:A46"/>
    <mergeCell ref="A26:A27"/>
    <mergeCell ref="A33:A36"/>
    <mergeCell ref="A3:E3"/>
    <mergeCell ref="A5:A6"/>
    <mergeCell ref="A12:E12"/>
    <mergeCell ref="A57:E57"/>
    <mergeCell ref="B33:B36"/>
    <mergeCell ref="A8:E8"/>
    <mergeCell ref="B5:B6"/>
    <mergeCell ref="A52:E52"/>
    <mergeCell ref="B44:B46"/>
    <mergeCell ref="A59:A60"/>
    <mergeCell ref="B41:B42"/>
    <mergeCell ref="A31:A32"/>
    <mergeCell ref="A13:E13"/>
    <mergeCell ref="B26:B27"/>
    <mergeCell ref="B59:B60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ColWidth="14.43" defaultRowHeight="15" customHeight="1"/>
  <cols>
    <col width="4.71" customWidth="1" style="254" min="1" max="1"/>
    <col width="31.29" customWidth="1" style="254" min="2" max="2"/>
    <col width="13.86" customWidth="1" style="254" min="3" max="3"/>
    <col width="6.29" customWidth="1" style="254" min="4" max="13"/>
    <col width="10.71" customWidth="1" style="254" min="14" max="14"/>
    <col width="7.57" customWidth="1" style="254" min="15" max="15"/>
    <col width="13.71" customWidth="1" style="254" min="16" max="16"/>
    <col width="19.29" customWidth="1" style="254" min="17" max="17"/>
    <col width="10.71" customWidth="1" style="254" min="18" max="21"/>
  </cols>
  <sheetData>
    <row r="1" ht="72.75" customHeight="1" s="254">
      <c r="A1" s="2" t="inlineStr">
        <is>
          <t>UNIDAD EDUCATIVA "ESTADOS UNIDOS DE NORTE AMÉRICA" 
Correo electrónico: eeuuescuela@gmail.com  eeuuvicerrectorado@gmail.com
Teléfono: (07)289-0677 Distrito: 01D01  Zona:6</t>
        </is>
      </c>
    </row>
    <row r="2" ht="14.25" customHeight="1" s="254">
      <c r="A2" s="3" t="n"/>
      <c r="B2" s="4" t="inlineStr">
        <is>
          <t>AÑO LECTIVO: 2025-2026</t>
        </is>
      </c>
    </row>
    <row r="3" ht="14.25" customHeight="1" s="254">
      <c r="B3" s="5" t="inlineStr">
        <is>
          <t>Docente: Lcda. Marcia Siavichay</t>
        </is>
      </c>
      <c r="C3" s="6" t="n"/>
      <c r="F3" s="7" t="n"/>
      <c r="G3" s="7" t="n"/>
      <c r="H3" s="7" t="n"/>
      <c r="I3" s="8" t="inlineStr">
        <is>
          <t xml:space="preserve">JORNADA: </t>
        </is>
      </c>
      <c r="K3" s="9" t="inlineStr">
        <is>
          <t>MATUTINA</t>
        </is>
      </c>
    </row>
    <row r="4" ht="14.25" customHeight="1" s="254">
      <c r="B4" s="10" t="inlineStr">
        <is>
          <t xml:space="preserve">AÑO DE EGB:        </t>
        </is>
      </c>
      <c r="C4" s="11" t="inlineStr">
        <is>
          <t>OCTAVO A</t>
        </is>
      </c>
      <c r="D4" s="12" t="n"/>
      <c r="E4" s="7" t="n"/>
      <c r="F4" s="7" t="n"/>
      <c r="G4" s="7" t="n"/>
      <c r="H4" s="7" t="n"/>
      <c r="I4" s="8" t="n"/>
      <c r="K4" s="13" t="n"/>
      <c r="M4" s="7" t="n"/>
    </row>
    <row r="5" ht="6" customHeight="1" s="254">
      <c r="B5" s="14" t="n"/>
      <c r="C5" s="14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U5" s="20" t="n"/>
    </row>
    <row r="6" ht="14.25" customHeight="1" s="254">
      <c r="B6" s="255" t="inlineStr">
        <is>
          <t>CONSOLIDADO FINAL</t>
        </is>
      </c>
    </row>
    <row r="7" ht="157.5" customHeight="1" s="254">
      <c r="A7" s="42" t="inlineStr">
        <is>
          <t>No</t>
        </is>
      </c>
      <c r="B7" s="24" t="inlineStr">
        <is>
          <t>NOMINA</t>
        </is>
      </c>
      <c r="C7" s="26" t="n"/>
      <c r="D7" s="30" t="inlineStr">
        <is>
          <t>LENGUA Y LITERATURA</t>
        </is>
      </c>
      <c r="E7" s="32" t="inlineStr">
        <is>
          <t>MATEMÁTICA</t>
        </is>
      </c>
      <c r="F7" s="34" t="inlineStr">
        <is>
          <t>CIENCIAS NATURALES</t>
        </is>
      </c>
      <c r="G7" s="36" t="inlineStr">
        <is>
          <t>ESTUDIOS SOCIALES</t>
        </is>
      </c>
      <c r="H7" s="38" t="inlineStr">
        <is>
          <t>INGLÉS</t>
        </is>
      </c>
      <c r="I7" s="40" t="inlineStr">
        <is>
          <t>EDUCACIÓN CULTURAL Y ARTISTICA</t>
        </is>
      </c>
      <c r="J7" s="43" t="inlineStr">
        <is>
          <t>EDUCACIÓN FÍSICA</t>
        </is>
      </c>
      <c r="K7" s="46" t="inlineStr">
        <is>
          <t>ANIMACIÓN A LA LECTURA</t>
        </is>
      </c>
      <c r="L7" s="48" t="inlineStr">
        <is>
          <t>ACOMPAÑAMIENTO INTEGRAL EN EL AULA</t>
        </is>
      </c>
      <c r="M7" s="50" t="inlineStr">
        <is>
          <t>ORIENTACIÓN VOCACIONAL</t>
        </is>
      </c>
      <c r="N7" s="52" t="inlineStr">
        <is>
          <t>PROMEDIO FINAL</t>
        </is>
      </c>
      <c r="O7" s="54" t="inlineStr">
        <is>
          <t>CCOMPORTAMIENTO</t>
        </is>
      </c>
      <c r="P7" s="55" t="inlineStr">
        <is>
          <t>OBSERVACIONES</t>
        </is>
      </c>
      <c r="U7" s="13" t="inlineStr">
        <is>
          <t>-</t>
        </is>
      </c>
    </row>
    <row r="8" ht="14.25" customHeight="1" s="254">
      <c r="A8" s="57" t="n">
        <v>1</v>
      </c>
      <c r="B8" s="61" t="inlineStr">
        <is>
          <t>APOLO CACAY EMILY ANALIA</t>
        </is>
      </c>
      <c r="C8" s="256" t="n"/>
      <c r="D8" s="65" t="n">
        <v>7.97</v>
      </c>
      <c r="E8" s="77" t="n">
        <v>7.45</v>
      </c>
      <c r="F8" s="142" t="n">
        <v>7.01</v>
      </c>
      <c r="G8" s="70" t="n">
        <v>7.67</v>
      </c>
      <c r="H8" s="73" t="n">
        <v>7.57</v>
      </c>
      <c r="I8" s="82" t="n">
        <v>7.38</v>
      </c>
      <c r="J8" s="76" t="n">
        <v>8.449999999999999</v>
      </c>
      <c r="K8" s="78" t="inlineStr">
        <is>
          <t>A-</t>
        </is>
      </c>
      <c r="L8" s="91" t="inlineStr">
        <is>
          <t>A+</t>
        </is>
      </c>
      <c r="M8" s="228" t="inlineStr">
        <is>
          <t>A+</t>
        </is>
      </c>
      <c r="N8" s="86">
        <f>TRUNC(AVERAGE(D8:J8),2)</f>
        <v/>
      </c>
      <c r="O8" s="96" t="inlineStr">
        <is>
          <t>S</t>
        </is>
      </c>
      <c r="P8" s="98" t="inlineStr">
        <is>
          <t>PROMOVIDO</t>
        </is>
      </c>
    </row>
    <row r="9" ht="15" customHeight="1" s="254">
      <c r="A9" s="57" t="n">
        <v>2</v>
      </c>
      <c r="B9" s="257" t="inlineStr">
        <is>
          <t>ARCE ORELLANA DARWIN FERNANDO</t>
        </is>
      </c>
      <c r="C9" s="258" t="n"/>
      <c r="D9" s="111" t="n">
        <v>9.779999999999999</v>
      </c>
      <c r="E9" s="112" t="n">
        <v>9.94</v>
      </c>
      <c r="F9" s="142" t="n">
        <v>9.84</v>
      </c>
      <c r="G9" s="104" t="n">
        <v>9.949999999999999</v>
      </c>
      <c r="H9" s="73" t="n">
        <v>9.98</v>
      </c>
      <c r="I9" s="114" t="n">
        <v>9.779999999999999</v>
      </c>
      <c r="J9" s="76" t="n">
        <v>10</v>
      </c>
      <c r="K9" s="78" t="inlineStr">
        <is>
          <t>A+</t>
        </is>
      </c>
      <c r="L9" s="91" t="inlineStr">
        <is>
          <t>A+</t>
        </is>
      </c>
      <c r="M9" s="228" t="inlineStr">
        <is>
          <t>A+</t>
        </is>
      </c>
      <c r="N9" s="86">
        <f>TRUNC(AVERAGE(D9:J9),2)</f>
        <v/>
      </c>
      <c r="O9" s="96" t="inlineStr">
        <is>
          <t>S</t>
        </is>
      </c>
      <c r="P9" s="98" t="inlineStr">
        <is>
          <t>PROMOVIDO</t>
        </is>
      </c>
      <c r="Q9" s="113" t="inlineStr">
        <is>
          <t>PRIMER LUGAR</t>
        </is>
      </c>
      <c r="R9" s="115">
        <f>LARGE(N8:N45,1)</f>
        <v/>
      </c>
      <c r="S9" s="123" t="inlineStr">
        <is>
          <t>ARCE</t>
        </is>
      </c>
    </row>
    <row r="10" ht="15" customHeight="1" s="254">
      <c r="A10" s="57" t="n">
        <v>3</v>
      </c>
      <c r="B10" s="257" t="inlineStr">
        <is>
          <t>ARIAS CALLE ANTHONY ALEXANDER</t>
        </is>
      </c>
      <c r="C10" s="258" t="n"/>
      <c r="D10" s="111" t="n">
        <v>7.37</v>
      </c>
      <c r="E10" s="112" t="n">
        <v>7.1</v>
      </c>
      <c r="F10" s="142" t="n">
        <v>7</v>
      </c>
      <c r="G10" s="70" t="n">
        <v>7</v>
      </c>
      <c r="H10" s="73" t="n">
        <v>7</v>
      </c>
      <c r="I10" s="114" t="n">
        <v>7.67</v>
      </c>
      <c r="J10" s="76" t="n">
        <v>8.119999999999999</v>
      </c>
      <c r="K10" s="78" t="inlineStr">
        <is>
          <t>B-</t>
        </is>
      </c>
      <c r="L10" s="91" t="inlineStr">
        <is>
          <t>A-</t>
        </is>
      </c>
      <c r="M10" s="228" t="inlineStr">
        <is>
          <t>A+</t>
        </is>
      </c>
      <c r="N10" s="86">
        <f>TRUNC(AVERAGE(D10:J10),2)</f>
        <v/>
      </c>
      <c r="O10" s="96" t="inlineStr">
        <is>
          <t>F</t>
        </is>
      </c>
      <c r="P10" s="98" t="inlineStr">
        <is>
          <t>PROMOVIDO</t>
        </is>
      </c>
      <c r="Q10" s="113" t="inlineStr">
        <is>
          <t>SEGUNDO LUGAR</t>
        </is>
      </c>
      <c r="R10" s="118">
        <f>LARGE(N8:N45,2)</f>
        <v/>
      </c>
      <c r="S10" s="123" t="inlineStr">
        <is>
          <t>PIÑA</t>
        </is>
      </c>
    </row>
    <row r="11" ht="15" customHeight="1" s="254">
      <c r="A11" s="57" t="n">
        <v>4</v>
      </c>
      <c r="B11" s="257" t="inlineStr">
        <is>
          <t>ATANCURI LOPEZ CHELSEA ABIGAIL</t>
        </is>
      </c>
      <c r="C11" s="258" t="n"/>
      <c r="D11" s="111" t="n">
        <v>9.949999999999999</v>
      </c>
      <c r="E11" s="112" t="n">
        <v>9.6</v>
      </c>
      <c r="F11" s="142" t="n">
        <v>9.5</v>
      </c>
      <c r="G11" s="104" t="n">
        <v>9.59</v>
      </c>
      <c r="H11" s="73" t="n">
        <v>9.68</v>
      </c>
      <c r="I11" s="114" t="n">
        <v>9.74</v>
      </c>
      <c r="J11" s="76" t="n">
        <v>9.76</v>
      </c>
      <c r="K11" s="78" t="inlineStr">
        <is>
          <t>A+</t>
        </is>
      </c>
      <c r="L11" s="91" t="inlineStr">
        <is>
          <t>A+</t>
        </is>
      </c>
      <c r="M11" s="228" t="inlineStr">
        <is>
          <t>A+</t>
        </is>
      </c>
      <c r="N11" s="86">
        <f>TRUNC(AVERAGE(D11:J11),2)</f>
        <v/>
      </c>
      <c r="O11" s="96" t="inlineStr">
        <is>
          <t>S</t>
        </is>
      </c>
      <c r="P11" s="98" t="inlineStr">
        <is>
          <t>PROMOVIDO</t>
        </is>
      </c>
      <c r="Q11" s="113" t="inlineStr">
        <is>
          <t>TERCER LUGAR</t>
        </is>
      </c>
      <c r="R11" s="118">
        <f>LARGE(N8:N45,3)</f>
        <v/>
      </c>
      <c r="S11" s="123" t="inlineStr">
        <is>
          <t>CASTRO</t>
        </is>
      </c>
    </row>
    <row r="12" ht="15" customHeight="1" s="254">
      <c r="A12" s="57" t="n">
        <v>5</v>
      </c>
      <c r="B12" s="259" t="inlineStr">
        <is>
          <t>AVILA CORTE MARIA GRACIA</t>
        </is>
      </c>
      <c r="C12" s="258" t="n"/>
      <c r="D12" s="111" t="n">
        <v>9.789999999999999</v>
      </c>
      <c r="E12" s="112" t="n">
        <v>9.35</v>
      </c>
      <c r="F12" s="142" t="n">
        <v>9.5</v>
      </c>
      <c r="G12" s="104" t="n">
        <v>9.76</v>
      </c>
      <c r="H12" s="73" t="n">
        <v>9.5</v>
      </c>
      <c r="I12" s="114" t="n">
        <v>9.76</v>
      </c>
      <c r="J12" s="76" t="n">
        <v>9.77</v>
      </c>
      <c r="K12" s="78" t="inlineStr">
        <is>
          <t>A-</t>
        </is>
      </c>
      <c r="L12" s="91" t="inlineStr">
        <is>
          <t>A+</t>
        </is>
      </c>
      <c r="M12" s="228" t="inlineStr">
        <is>
          <t>A+</t>
        </is>
      </c>
      <c r="N12" s="86">
        <f>TRUNC(AVERAGE(D12:J12),2)</f>
        <v/>
      </c>
      <c r="O12" s="96" t="inlineStr">
        <is>
          <t>S</t>
        </is>
      </c>
      <c r="P12" s="98" t="inlineStr">
        <is>
          <t>PROMOVIDO</t>
        </is>
      </c>
      <c r="Q12" s="123" t="inlineStr">
        <is>
          <t>TERCER LUGAR</t>
        </is>
      </c>
      <c r="R12" s="123">
        <f>LARGE(N8:N45,4)</f>
        <v/>
      </c>
    </row>
    <row r="13" ht="15" customHeight="1" s="254">
      <c r="A13" s="57" t="n">
        <v>6</v>
      </c>
      <c r="B13" s="257" t="inlineStr">
        <is>
          <t>AVILA NAREA MELISA GISSELLE</t>
        </is>
      </c>
      <c r="C13" s="258" t="n"/>
      <c r="D13" s="111" t="n">
        <v>9.77</v>
      </c>
      <c r="E13" s="130" t="n">
        <v>8.84</v>
      </c>
      <c r="F13" s="142" t="n">
        <v>9.67</v>
      </c>
      <c r="G13" s="104" t="n">
        <v>9.720000000000001</v>
      </c>
      <c r="H13" s="73" t="n">
        <v>9.470000000000001</v>
      </c>
      <c r="I13" s="114" t="n">
        <v>9.27</v>
      </c>
      <c r="J13" s="76" t="n">
        <v>9.01</v>
      </c>
      <c r="K13" s="78" t="inlineStr">
        <is>
          <t>A+</t>
        </is>
      </c>
      <c r="L13" s="91" t="inlineStr">
        <is>
          <t>A+</t>
        </is>
      </c>
      <c r="M13" s="228" t="inlineStr">
        <is>
          <t>A+</t>
        </is>
      </c>
      <c r="N13" s="86">
        <f>TRUNC(AVERAGE(D13:J13),2)</f>
        <v/>
      </c>
      <c r="O13" s="96" t="inlineStr">
        <is>
          <t>S</t>
        </is>
      </c>
      <c r="P13" s="98" t="inlineStr">
        <is>
          <t>PROMOVIDO</t>
        </is>
      </c>
    </row>
    <row r="14" ht="15" customHeight="1" s="254">
      <c r="A14" s="57" t="n">
        <v>7</v>
      </c>
      <c r="B14" s="257" t="inlineStr">
        <is>
          <t>BARROS CARDENAS DAVID ALEXANDER</t>
        </is>
      </c>
      <c r="C14" s="258" t="n"/>
      <c r="D14" s="111" t="n">
        <v>8.99</v>
      </c>
      <c r="E14" s="112" t="n">
        <v>9.07</v>
      </c>
      <c r="F14" s="142" t="n">
        <v>8.130000000000001</v>
      </c>
      <c r="G14" s="104" t="n">
        <v>8.56</v>
      </c>
      <c r="H14" s="73" t="n">
        <v>8.9</v>
      </c>
      <c r="I14" s="114" t="n">
        <v>9.109999999999999</v>
      </c>
      <c r="J14" s="76" t="n">
        <v>8.539999999999999</v>
      </c>
      <c r="K14" s="78" t="inlineStr">
        <is>
          <t>A-</t>
        </is>
      </c>
      <c r="L14" s="91" t="inlineStr">
        <is>
          <t>A+</t>
        </is>
      </c>
      <c r="M14" s="226" t="inlineStr">
        <is>
          <t>A+</t>
        </is>
      </c>
      <c r="N14" s="86">
        <f>TRUNC(AVERAGE(D14:J14),2)</f>
        <v/>
      </c>
      <c r="O14" s="96" t="inlineStr">
        <is>
          <t>S</t>
        </is>
      </c>
      <c r="P14" s="98" t="inlineStr">
        <is>
          <t>PROMOVIDO</t>
        </is>
      </c>
    </row>
    <row r="15" ht="15" customHeight="1" s="254">
      <c r="A15" s="57" t="n">
        <v>8</v>
      </c>
      <c r="B15" s="257" t="inlineStr">
        <is>
          <t>BARROS VELESACA JUANA DANIELA</t>
        </is>
      </c>
      <c r="C15" s="258" t="n"/>
      <c r="D15" s="111" t="n">
        <v>9.52</v>
      </c>
      <c r="E15" s="112" t="n">
        <v>9.050000000000001</v>
      </c>
      <c r="F15" s="142" t="n">
        <v>9.279999999999999</v>
      </c>
      <c r="G15" s="104" t="n">
        <v>9.85</v>
      </c>
      <c r="H15" s="73" t="n">
        <v>9.390000000000001</v>
      </c>
      <c r="I15" s="114" t="n">
        <v>9.19</v>
      </c>
      <c r="J15" s="76" t="n">
        <v>9.279999999999999</v>
      </c>
      <c r="K15" s="78" t="inlineStr">
        <is>
          <t>A+</t>
        </is>
      </c>
      <c r="L15" s="91" t="inlineStr">
        <is>
          <t>A+</t>
        </is>
      </c>
      <c r="M15" s="228" t="inlineStr">
        <is>
          <t>A+</t>
        </is>
      </c>
      <c r="N15" s="86">
        <f>TRUNC(AVERAGE(D15:J15),2)</f>
        <v/>
      </c>
      <c r="O15" s="96" t="inlineStr">
        <is>
          <t>S</t>
        </is>
      </c>
      <c r="P15" s="98" t="inlineStr">
        <is>
          <t>PROMOVIDO</t>
        </is>
      </c>
    </row>
    <row r="16" ht="15" customHeight="1" s="254">
      <c r="A16" s="57" t="n">
        <v>9</v>
      </c>
      <c r="B16" s="257" t="inlineStr">
        <is>
          <t>BARSALLO CORAISACA FRANKLIN JESUS</t>
        </is>
      </c>
      <c r="C16" s="258" t="n"/>
      <c r="D16" s="111" t="n">
        <v>7.89</v>
      </c>
      <c r="E16" s="112" t="n">
        <v>7</v>
      </c>
      <c r="F16" s="142" t="n">
        <v>7.21</v>
      </c>
      <c r="G16" s="131" t="n">
        <v>7.13</v>
      </c>
      <c r="H16" s="73" t="n">
        <v>7</v>
      </c>
      <c r="I16" s="114" t="n">
        <v>7.58</v>
      </c>
      <c r="J16" s="76" t="n">
        <v>8.800000000000001</v>
      </c>
      <c r="K16" s="78" t="inlineStr">
        <is>
          <t>A-</t>
        </is>
      </c>
      <c r="L16" s="91" t="inlineStr">
        <is>
          <t>A+</t>
        </is>
      </c>
      <c r="M16" s="228" t="inlineStr">
        <is>
          <t>A+</t>
        </is>
      </c>
      <c r="N16" s="86">
        <f>TRUNC(AVERAGE(D16:J16),2)</f>
        <v/>
      </c>
      <c r="O16" s="96" t="inlineStr">
        <is>
          <t>S</t>
        </is>
      </c>
      <c r="P16" s="98" t="inlineStr">
        <is>
          <t>PROMOVIDO</t>
        </is>
      </c>
      <c r="U16" s="13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-+++++++</t>
        </is>
      </c>
    </row>
    <row r="17" ht="15" customHeight="1" s="254">
      <c r="A17" s="57" t="n">
        <v>10</v>
      </c>
      <c r="B17" s="257" t="inlineStr">
        <is>
          <t>CABRERA SOTO ANDERSON PAUL</t>
        </is>
      </c>
      <c r="C17" s="258" t="n"/>
      <c r="D17" s="111" t="n">
        <v>9.77</v>
      </c>
      <c r="E17" s="112" t="n">
        <v>9.300000000000001</v>
      </c>
      <c r="F17" s="142" t="n">
        <v>9.609999999999999</v>
      </c>
      <c r="G17" s="104" t="n">
        <v>9.880000000000001</v>
      </c>
      <c r="H17" s="73" t="n">
        <v>9.41</v>
      </c>
      <c r="I17" s="114" t="n">
        <v>9.640000000000001</v>
      </c>
      <c r="J17" s="76" t="n">
        <v>9.460000000000001</v>
      </c>
      <c r="K17" s="78" t="inlineStr">
        <is>
          <t>A+</t>
        </is>
      </c>
      <c r="L17" s="91" t="inlineStr">
        <is>
          <t>A+</t>
        </is>
      </c>
      <c r="M17" s="228" t="inlineStr">
        <is>
          <t>A+</t>
        </is>
      </c>
      <c r="N17" s="86">
        <f>TRUNC(AVERAGE(D17:J17),2)</f>
        <v/>
      </c>
      <c r="O17" s="96" t="inlineStr">
        <is>
          <t>S</t>
        </is>
      </c>
      <c r="P17" s="98" t="inlineStr">
        <is>
          <t>PROMOVIDO</t>
        </is>
      </c>
    </row>
    <row r="18" ht="15" customHeight="1" s="254">
      <c r="A18" s="57" t="n">
        <v>11</v>
      </c>
      <c r="B18" s="259" t="inlineStr">
        <is>
          <t>CABRERA VIÑANSACA ARIEL SEBASTIAN</t>
        </is>
      </c>
      <c r="C18" s="258" t="n"/>
      <c r="D18" s="111" t="n">
        <v>9.76</v>
      </c>
      <c r="E18" s="112" t="n">
        <v>9.58</v>
      </c>
      <c r="F18" s="142" t="n">
        <v>9.470000000000001</v>
      </c>
      <c r="G18" s="104" t="n">
        <v>9.300000000000001</v>
      </c>
      <c r="H18" s="73" t="n">
        <v>9.300000000000001</v>
      </c>
      <c r="I18" s="114" t="n">
        <v>9.08</v>
      </c>
      <c r="J18" s="76" t="n">
        <v>9.859999999999999</v>
      </c>
      <c r="K18" s="78" t="inlineStr">
        <is>
          <t>A-</t>
        </is>
      </c>
      <c r="L18" s="91" t="inlineStr">
        <is>
          <t>A+</t>
        </is>
      </c>
      <c r="M18" s="228" t="inlineStr">
        <is>
          <t>A+</t>
        </is>
      </c>
      <c r="N18" s="86">
        <f>TRUNC(AVERAGE(D18:J18),2)</f>
        <v/>
      </c>
      <c r="O18" s="96" t="inlineStr">
        <is>
          <t>S</t>
        </is>
      </c>
      <c r="P18" s="98" t="inlineStr">
        <is>
          <t>PROMOVIDO</t>
        </is>
      </c>
    </row>
    <row r="19" ht="15" customHeight="1" s="254">
      <c r="A19" s="57" t="n">
        <v>12</v>
      </c>
      <c r="B19" s="257" t="inlineStr">
        <is>
          <t>CAGUANA UZHCA ELIANA VALENTINA</t>
        </is>
      </c>
      <c r="C19" s="258" t="n"/>
      <c r="D19" s="111" t="n">
        <v>9.26</v>
      </c>
      <c r="E19" s="112" t="n">
        <v>8.529999999999999</v>
      </c>
      <c r="F19" s="142" t="n">
        <v>8.890000000000001</v>
      </c>
      <c r="G19" s="104" t="n">
        <v>8.470000000000001</v>
      </c>
      <c r="H19" s="73" t="n">
        <v>8.359999999999999</v>
      </c>
      <c r="I19" s="114" t="n">
        <v>8.73</v>
      </c>
      <c r="J19" s="76" t="n">
        <v>9.470000000000001</v>
      </c>
      <c r="K19" s="78" t="inlineStr">
        <is>
          <t>A+</t>
        </is>
      </c>
      <c r="L19" s="91" t="inlineStr">
        <is>
          <t>A+</t>
        </is>
      </c>
      <c r="M19" s="228" t="inlineStr">
        <is>
          <t>A+</t>
        </is>
      </c>
      <c r="N19" s="86">
        <f>TRUNC(AVERAGE(D19:J19),2)</f>
        <v/>
      </c>
      <c r="O19" s="96" t="inlineStr">
        <is>
          <t>S</t>
        </is>
      </c>
      <c r="P19" s="98" t="inlineStr">
        <is>
          <t>PROMOVIDO</t>
        </is>
      </c>
    </row>
    <row r="20" ht="15" customHeight="1" s="254">
      <c r="A20" s="57" t="n">
        <v>13</v>
      </c>
      <c r="B20" s="259" t="inlineStr">
        <is>
          <t>CALLE SIMBAÑA DOMENICA GUADALUPE</t>
        </is>
      </c>
      <c r="C20" s="258" t="n"/>
      <c r="D20" s="111" t="n">
        <v>9.800000000000001</v>
      </c>
      <c r="E20" s="112" t="n">
        <v>9.279999999999999</v>
      </c>
      <c r="F20" s="142" t="n">
        <v>9.369999999999999</v>
      </c>
      <c r="G20" s="104" t="n">
        <v>9.699999999999999</v>
      </c>
      <c r="H20" s="73" t="n">
        <v>9.44</v>
      </c>
      <c r="I20" s="114" t="n">
        <v>9.4</v>
      </c>
      <c r="J20" s="76" t="n">
        <v>9.19</v>
      </c>
      <c r="K20" s="78" t="inlineStr">
        <is>
          <t>A+</t>
        </is>
      </c>
      <c r="L20" s="91" t="inlineStr">
        <is>
          <t>A+</t>
        </is>
      </c>
      <c r="M20" s="228" t="inlineStr">
        <is>
          <t>A+</t>
        </is>
      </c>
      <c r="N20" s="86">
        <f>TRUNC(AVERAGE(D20:J20),2)</f>
        <v/>
      </c>
      <c r="O20" s="96" t="inlineStr">
        <is>
          <t>S</t>
        </is>
      </c>
      <c r="P20" s="98" t="inlineStr">
        <is>
          <t>PROMOVIDO</t>
        </is>
      </c>
    </row>
    <row r="21" ht="15" customHeight="1" s="254">
      <c r="A21" s="57" t="n">
        <v>14</v>
      </c>
      <c r="B21" s="259" t="inlineStr">
        <is>
          <t>CASTRO USHCA LESLY SAMANTA</t>
        </is>
      </c>
      <c r="C21" s="258" t="n"/>
      <c r="D21" s="111" t="n">
        <v>9.94</v>
      </c>
      <c r="E21" s="112" t="n">
        <v>9.550000000000001</v>
      </c>
      <c r="F21" s="142" t="n">
        <v>9.85</v>
      </c>
      <c r="G21" s="104" t="n">
        <v>9.77</v>
      </c>
      <c r="H21" s="73" t="n">
        <v>9.960000000000001</v>
      </c>
      <c r="I21" s="114" t="n">
        <v>9.67</v>
      </c>
      <c r="J21" s="76" t="n">
        <v>9.9</v>
      </c>
      <c r="K21" s="78" t="inlineStr">
        <is>
          <t>A+</t>
        </is>
      </c>
      <c r="L21" s="91" t="inlineStr">
        <is>
          <t>A+</t>
        </is>
      </c>
      <c r="M21" s="228" t="inlineStr">
        <is>
          <t>A+</t>
        </is>
      </c>
      <c r="N21" s="86">
        <f>TRUNC(AVERAGE(D21:J21),2)</f>
        <v/>
      </c>
      <c r="O21" s="96" t="inlineStr">
        <is>
          <t>S</t>
        </is>
      </c>
      <c r="P21" s="98" t="inlineStr">
        <is>
          <t>PROMOVIDO</t>
        </is>
      </c>
    </row>
    <row r="22" ht="15" customHeight="1" s="254">
      <c r="A22" s="57" t="n">
        <v>15</v>
      </c>
      <c r="B22" s="259" t="inlineStr">
        <is>
          <t>CORONEL ROMERO HERNAN MATEO</t>
        </is>
      </c>
      <c r="C22" s="258" t="n"/>
      <c r="D22" s="111" t="n">
        <v>8.02</v>
      </c>
      <c r="E22" s="112" t="n">
        <v>7.65</v>
      </c>
      <c r="F22" s="142" t="n">
        <v>7.51</v>
      </c>
      <c r="G22" s="104" t="n">
        <v>7.75</v>
      </c>
      <c r="H22" s="73" t="n">
        <v>7.44</v>
      </c>
      <c r="I22" s="82" t="n">
        <v>8.07</v>
      </c>
      <c r="J22" s="76" t="n">
        <v>8.109999999999999</v>
      </c>
      <c r="K22" s="78" t="inlineStr">
        <is>
          <t>B+</t>
        </is>
      </c>
      <c r="L22" s="91" t="inlineStr">
        <is>
          <t>A+</t>
        </is>
      </c>
      <c r="M22" s="228" t="inlineStr">
        <is>
          <t>A+</t>
        </is>
      </c>
      <c r="N22" s="86">
        <f>TRUNC(AVERAGE(D22:J22),2)</f>
        <v/>
      </c>
      <c r="O22" s="96" t="inlineStr">
        <is>
          <t>S</t>
        </is>
      </c>
      <c r="P22" s="98" t="inlineStr">
        <is>
          <t>PROMOVIDO</t>
        </is>
      </c>
    </row>
    <row r="23" ht="15" customHeight="1" s="254">
      <c r="A23" s="135" t="n">
        <v>16</v>
      </c>
      <c r="B23" s="257" t="inlineStr">
        <is>
          <t>CORREA SUMBA ALISSON KARELIS</t>
        </is>
      </c>
      <c r="C23" s="258" t="n"/>
      <c r="D23" s="111" t="n">
        <v>9.01</v>
      </c>
      <c r="E23" s="112" t="n">
        <v>8</v>
      </c>
      <c r="F23" s="142" t="n">
        <v>8.99</v>
      </c>
      <c r="G23" s="104" t="n">
        <v>8.220000000000001</v>
      </c>
      <c r="H23" s="73" t="n">
        <v>8.039999999999999</v>
      </c>
      <c r="I23" s="114" t="n">
        <v>8.99</v>
      </c>
      <c r="J23" s="76" t="n">
        <v>8.800000000000001</v>
      </c>
      <c r="K23" s="78" t="inlineStr">
        <is>
          <t>A+</t>
        </is>
      </c>
      <c r="L23" s="91" t="inlineStr">
        <is>
          <t>A+</t>
        </is>
      </c>
      <c r="M23" s="226" t="inlineStr">
        <is>
          <t>A+</t>
        </is>
      </c>
      <c r="N23" s="86">
        <f>TRUNC(AVERAGE(D23:J23),2)</f>
        <v/>
      </c>
      <c r="O23" s="96" t="inlineStr">
        <is>
          <t>S</t>
        </is>
      </c>
      <c r="P23" s="98" t="inlineStr">
        <is>
          <t>PROMOVIDO</t>
        </is>
      </c>
    </row>
    <row r="24" ht="15" customHeight="1" s="254">
      <c r="A24" s="57" t="n">
        <v>17</v>
      </c>
      <c r="B24" s="257" t="inlineStr">
        <is>
          <t>CORTE PAREDES ALEX FERNANDO</t>
        </is>
      </c>
      <c r="C24" s="258" t="n"/>
      <c r="D24" s="111" t="n">
        <v>9.31</v>
      </c>
      <c r="E24" s="112" t="n">
        <v>8.66</v>
      </c>
      <c r="F24" s="142" t="n">
        <v>9.33</v>
      </c>
      <c r="G24" s="104" t="n">
        <v>9.220000000000001</v>
      </c>
      <c r="H24" s="73" t="n">
        <v>7.86</v>
      </c>
      <c r="I24" s="114" t="n">
        <v>8.75</v>
      </c>
      <c r="J24" s="76" t="n">
        <v>9.619999999999999</v>
      </c>
      <c r="K24" s="78" t="inlineStr">
        <is>
          <t>A+</t>
        </is>
      </c>
      <c r="L24" s="91" t="inlineStr">
        <is>
          <t>A+</t>
        </is>
      </c>
      <c r="M24" s="228" t="inlineStr">
        <is>
          <t>A+</t>
        </is>
      </c>
      <c r="N24" s="86">
        <f>TRUNC(AVERAGE(D24:J24),2)</f>
        <v/>
      </c>
      <c r="O24" s="96" t="inlineStr">
        <is>
          <t>S</t>
        </is>
      </c>
      <c r="P24" s="98" t="inlineStr">
        <is>
          <t>PROMOVIDO</t>
        </is>
      </c>
    </row>
    <row r="25" ht="15" customHeight="1" s="254">
      <c r="A25" s="57" t="n">
        <v>18</v>
      </c>
      <c r="B25" s="257" t="inlineStr">
        <is>
          <t>DOMINGUEZ LANDI VANESA NICOL</t>
        </is>
      </c>
      <c r="C25" s="258" t="n"/>
      <c r="D25" s="111" t="n">
        <v>9.81</v>
      </c>
      <c r="E25" s="112" t="n">
        <v>8.99</v>
      </c>
      <c r="F25" s="142" t="n">
        <v>9.49</v>
      </c>
      <c r="G25" s="104" t="n">
        <v>9.65</v>
      </c>
      <c r="H25" s="73" t="n">
        <v>9.6</v>
      </c>
      <c r="I25" s="114" t="n">
        <v>9.220000000000001</v>
      </c>
      <c r="J25" s="76" t="n">
        <v>9.640000000000001</v>
      </c>
      <c r="K25" s="78" t="inlineStr">
        <is>
          <t>A+</t>
        </is>
      </c>
      <c r="L25" s="91" t="inlineStr">
        <is>
          <t>A+</t>
        </is>
      </c>
      <c r="M25" s="226" t="inlineStr">
        <is>
          <t>A+</t>
        </is>
      </c>
      <c r="N25" s="86">
        <f>TRUNC(AVERAGE(D25:J25),2)</f>
        <v/>
      </c>
      <c r="O25" s="96" t="inlineStr">
        <is>
          <t>S</t>
        </is>
      </c>
      <c r="P25" s="98" t="inlineStr">
        <is>
          <t>PROMOVIDO</t>
        </is>
      </c>
    </row>
    <row r="26" ht="15" customHeight="1" s="254">
      <c r="A26" s="57" t="n">
        <v>19</v>
      </c>
      <c r="B26" s="257" t="inlineStr">
        <is>
          <t>FERNANDEZ PATIÑO BRYAN ALEXIS</t>
        </is>
      </c>
      <c r="C26" s="258" t="n"/>
      <c r="D26" s="111" t="n">
        <v>9.26</v>
      </c>
      <c r="E26" s="112" t="n">
        <v>8.99</v>
      </c>
      <c r="F26" s="142" t="n">
        <v>8.859999999999999</v>
      </c>
      <c r="G26" s="104" t="n">
        <v>9.109999999999999</v>
      </c>
      <c r="H26" s="73" t="n">
        <v>8.6</v>
      </c>
      <c r="I26" s="114" t="n">
        <v>9.09</v>
      </c>
      <c r="J26" s="76" t="n">
        <v>9.76</v>
      </c>
      <c r="K26" s="78" t="inlineStr">
        <is>
          <t>A+</t>
        </is>
      </c>
      <c r="L26" s="91" t="inlineStr">
        <is>
          <t>A+</t>
        </is>
      </c>
      <c r="M26" s="228" t="inlineStr">
        <is>
          <t>A+</t>
        </is>
      </c>
      <c r="N26" s="86">
        <f>TRUNC(AVERAGE(D26:J26),2)</f>
        <v/>
      </c>
      <c r="O26" s="96" t="inlineStr">
        <is>
          <t>S</t>
        </is>
      </c>
      <c r="P26" s="98" t="inlineStr">
        <is>
          <t>PROMOVIDO</t>
        </is>
      </c>
    </row>
    <row r="27" ht="15" customHeight="1" s="254">
      <c r="A27" s="57" t="n">
        <v>20</v>
      </c>
      <c r="B27" s="257" t="inlineStr">
        <is>
          <t>GOMEZ JUELA BIANCA CAMILA</t>
        </is>
      </c>
      <c r="C27" s="258" t="n"/>
      <c r="D27" s="111" t="n">
        <v>8.73</v>
      </c>
      <c r="E27" s="130" t="n">
        <v>7.41</v>
      </c>
      <c r="F27" s="142" t="n">
        <v>8.630000000000001</v>
      </c>
      <c r="G27" s="104" t="n">
        <v>8.279999999999999</v>
      </c>
      <c r="H27" s="73" t="n">
        <v>8.380000000000001</v>
      </c>
      <c r="I27" s="114" t="n">
        <v>9.02</v>
      </c>
      <c r="J27" s="76" t="n">
        <v>8.869999999999999</v>
      </c>
      <c r="K27" s="78" t="inlineStr">
        <is>
          <t>A-</t>
        </is>
      </c>
      <c r="L27" s="91" t="inlineStr">
        <is>
          <t>A+</t>
        </is>
      </c>
      <c r="M27" s="228" t="inlineStr">
        <is>
          <t>A+</t>
        </is>
      </c>
      <c r="N27" s="86">
        <f>TRUNC(AVERAGE(D27:J27),2)</f>
        <v/>
      </c>
      <c r="O27" s="96" t="inlineStr">
        <is>
          <t>S</t>
        </is>
      </c>
      <c r="P27" s="98" t="inlineStr">
        <is>
          <t>PROMOVIDO</t>
        </is>
      </c>
    </row>
    <row r="28" ht="15" customHeight="1" s="254">
      <c r="A28" s="57" t="n">
        <v>21</v>
      </c>
      <c r="B28" s="257" t="inlineStr">
        <is>
          <t>GUERRA ROMÁN DYLAN ALEXANDER</t>
        </is>
      </c>
      <c r="C28" s="258" t="n"/>
      <c r="D28" s="111" t="n">
        <v>8.51</v>
      </c>
      <c r="E28" s="112" t="n">
        <v>7.75</v>
      </c>
      <c r="F28" s="142" t="n">
        <v>8.02</v>
      </c>
      <c r="G28" s="104" t="n">
        <v>7.98</v>
      </c>
      <c r="H28" s="73" t="n">
        <v>7.67</v>
      </c>
      <c r="I28" s="114" t="n">
        <v>8.449999999999999</v>
      </c>
      <c r="J28" s="76" t="n">
        <v>9.42</v>
      </c>
      <c r="K28" s="78" t="inlineStr">
        <is>
          <t>B+</t>
        </is>
      </c>
      <c r="L28" s="91" t="inlineStr">
        <is>
          <t>A+</t>
        </is>
      </c>
      <c r="M28" s="226" t="inlineStr">
        <is>
          <t>A+</t>
        </is>
      </c>
      <c r="N28" s="86">
        <f>TRUNC(AVERAGE(D28:J28),2)</f>
        <v/>
      </c>
      <c r="O28" s="96" t="inlineStr">
        <is>
          <t>F</t>
        </is>
      </c>
      <c r="P28" s="98" t="inlineStr">
        <is>
          <t>PROMOVIDO</t>
        </is>
      </c>
    </row>
    <row r="29" ht="18" customHeight="1" s="254">
      <c r="A29" s="57" t="n">
        <v>22</v>
      </c>
      <c r="B29" s="257" t="inlineStr">
        <is>
          <t>GUZHÑAY OLAYA IKER ARIEL</t>
        </is>
      </c>
      <c r="C29" s="258" t="n"/>
      <c r="D29" s="111" t="n">
        <v>8.52</v>
      </c>
      <c r="E29" s="112" t="n">
        <v>7.31</v>
      </c>
      <c r="F29" s="142" t="n">
        <v>7.81</v>
      </c>
      <c r="G29" s="104" t="n">
        <v>7.81</v>
      </c>
      <c r="H29" s="73" t="n">
        <v>8.130000000000001</v>
      </c>
      <c r="I29" s="114" t="n">
        <v>8.51</v>
      </c>
      <c r="J29" s="76" t="n">
        <v>8.34</v>
      </c>
      <c r="K29" s="78" t="inlineStr">
        <is>
          <t>B+</t>
        </is>
      </c>
      <c r="L29" s="91" t="inlineStr">
        <is>
          <t>A+</t>
        </is>
      </c>
      <c r="M29" s="228" t="inlineStr">
        <is>
          <t>A+</t>
        </is>
      </c>
      <c r="N29" s="86">
        <f>TRUNC(AVERAGE(D29:J29),2)</f>
        <v/>
      </c>
      <c r="O29" s="96" t="inlineStr">
        <is>
          <t>S</t>
        </is>
      </c>
      <c r="P29" s="98" t="inlineStr">
        <is>
          <t>PROMOVIDO</t>
        </is>
      </c>
    </row>
    <row r="30" ht="15" customHeight="1" s="254">
      <c r="A30" s="57" t="n">
        <v>23</v>
      </c>
      <c r="B30" s="257" t="inlineStr">
        <is>
          <t>LALVAY PALTA SHIRLEY VALENTINA</t>
        </is>
      </c>
      <c r="C30" s="258" t="n"/>
      <c r="D30" s="111" t="n">
        <v>9.869999999999999</v>
      </c>
      <c r="E30" s="112" t="n">
        <v>9.49</v>
      </c>
      <c r="F30" s="142" t="n">
        <v>9.81</v>
      </c>
      <c r="G30" s="104" t="n">
        <v>9.92</v>
      </c>
      <c r="H30" s="73" t="n">
        <v>9.640000000000001</v>
      </c>
      <c r="I30" s="114" t="n">
        <v>9.779999999999999</v>
      </c>
      <c r="J30" s="76" t="n">
        <v>9.93</v>
      </c>
      <c r="K30" s="78" t="inlineStr">
        <is>
          <t>A+</t>
        </is>
      </c>
      <c r="L30" s="91" t="inlineStr">
        <is>
          <t>A+</t>
        </is>
      </c>
      <c r="M30" s="228" t="inlineStr">
        <is>
          <t>A+</t>
        </is>
      </c>
      <c r="N30" s="140">
        <f>TRUNC(AVERAGE(D30:J30),2)</f>
        <v/>
      </c>
      <c r="O30" s="96" t="inlineStr">
        <is>
          <t>S</t>
        </is>
      </c>
      <c r="P30" s="98" t="inlineStr">
        <is>
          <t>PROMOVIDO</t>
        </is>
      </c>
    </row>
    <row r="31" ht="18" customHeight="1" s="254">
      <c r="A31" s="57" t="n">
        <v>24</v>
      </c>
      <c r="B31" s="257" t="inlineStr">
        <is>
          <t>MAILA CUZCO JOSUE DAVID</t>
        </is>
      </c>
      <c r="C31" s="258" t="n"/>
      <c r="D31" s="111" t="n">
        <v>9.18</v>
      </c>
      <c r="E31" s="112" t="n">
        <v>9.130000000000001</v>
      </c>
      <c r="F31" s="142" t="n">
        <v>9.35</v>
      </c>
      <c r="G31" s="104" t="n">
        <v>9.09</v>
      </c>
      <c r="H31" s="73" t="n">
        <v>8.359999999999999</v>
      </c>
      <c r="I31" s="114" t="n">
        <v>9.050000000000001</v>
      </c>
      <c r="J31" s="76" t="n">
        <v>9.73</v>
      </c>
      <c r="K31" s="78" t="inlineStr">
        <is>
          <t>A+</t>
        </is>
      </c>
      <c r="L31" s="91" t="inlineStr">
        <is>
          <t>A+</t>
        </is>
      </c>
      <c r="M31" s="226" t="inlineStr">
        <is>
          <t>A+</t>
        </is>
      </c>
      <c r="N31" s="86">
        <f>TRUNC(AVERAGE(D31:J31),2)</f>
        <v/>
      </c>
      <c r="O31" s="96" t="inlineStr">
        <is>
          <t>S</t>
        </is>
      </c>
      <c r="P31" s="98" t="inlineStr">
        <is>
          <t>PROMOVIDO</t>
        </is>
      </c>
    </row>
    <row r="32" ht="15" customHeight="1" s="254">
      <c r="A32" s="57" t="n">
        <v>25</v>
      </c>
      <c r="B32" s="257" t="inlineStr">
        <is>
          <t>MALLA CHIMBO ERIKA TATIANA</t>
        </is>
      </c>
      <c r="C32" s="258" t="n"/>
      <c r="D32" s="111" t="n">
        <v>8.960000000000001</v>
      </c>
      <c r="E32" s="130" t="n">
        <v>8.460000000000001</v>
      </c>
      <c r="F32" s="142" t="n">
        <v>9.24</v>
      </c>
      <c r="G32" s="104" t="n">
        <v>9.25</v>
      </c>
      <c r="H32" s="73" t="n">
        <v>8.66</v>
      </c>
      <c r="I32" s="114" t="n">
        <v>8.99</v>
      </c>
      <c r="J32" s="76" t="n">
        <v>8.93</v>
      </c>
      <c r="K32" s="78" t="inlineStr">
        <is>
          <t>A+</t>
        </is>
      </c>
      <c r="L32" s="91" t="inlineStr">
        <is>
          <t>A+</t>
        </is>
      </c>
      <c r="M32" s="228" t="inlineStr">
        <is>
          <t>A+</t>
        </is>
      </c>
      <c r="N32" s="86">
        <f>TRUNC(AVERAGE(D32:J32),2)</f>
        <v/>
      </c>
      <c r="O32" s="96" t="inlineStr">
        <is>
          <t>S</t>
        </is>
      </c>
      <c r="P32" s="98" t="inlineStr">
        <is>
          <t>PROMOVIDO</t>
        </is>
      </c>
    </row>
    <row r="33" ht="15" customHeight="1" s="254">
      <c r="A33" s="57" t="n">
        <v>26</v>
      </c>
      <c r="B33" s="257" t="inlineStr">
        <is>
          <t>MARTINEZ ORELLANA JEYMI ISAAC</t>
        </is>
      </c>
      <c r="C33" s="258" t="n"/>
      <c r="D33" s="111" t="n">
        <v>9.210000000000001</v>
      </c>
      <c r="E33" s="112" t="n">
        <v>9.09</v>
      </c>
      <c r="F33" s="142" t="n">
        <v>9.19</v>
      </c>
      <c r="G33" s="104" t="n">
        <v>8.970000000000001</v>
      </c>
      <c r="H33" s="73" t="n">
        <v>9.6</v>
      </c>
      <c r="I33" s="114" t="n">
        <v>8.83</v>
      </c>
      <c r="J33" s="76" t="n">
        <v>9.02</v>
      </c>
      <c r="K33" s="78" t="inlineStr">
        <is>
          <t>A-</t>
        </is>
      </c>
      <c r="L33" s="91" t="inlineStr">
        <is>
          <t>A+</t>
        </is>
      </c>
      <c r="M33" s="228" t="inlineStr">
        <is>
          <t>A+</t>
        </is>
      </c>
      <c r="N33" s="86">
        <f>TRUNC(AVERAGE(D33:J33),2)</f>
        <v/>
      </c>
      <c r="O33" s="96" t="inlineStr">
        <is>
          <t>S</t>
        </is>
      </c>
      <c r="P33" s="98" t="inlineStr">
        <is>
          <t>PROMOVIDO</t>
        </is>
      </c>
    </row>
    <row r="34" ht="15" customHeight="1" s="254">
      <c r="A34" s="57" t="n">
        <v>27</v>
      </c>
      <c r="B34" s="257" t="inlineStr">
        <is>
          <t>MENDEZ CALLE CHRISTOPHER SEBASTIAN</t>
        </is>
      </c>
      <c r="C34" s="258" t="n"/>
      <c r="D34" s="111" t="n">
        <v>9.67</v>
      </c>
      <c r="E34" s="130" t="n">
        <v>9.539999999999999</v>
      </c>
      <c r="F34" s="142" t="n">
        <v>9.58</v>
      </c>
      <c r="G34" s="104" t="n">
        <v>9.35</v>
      </c>
      <c r="H34" s="73" t="n">
        <v>8.880000000000001</v>
      </c>
      <c r="I34" s="114" t="n">
        <v>9.34</v>
      </c>
      <c r="J34" s="76" t="n">
        <v>9.390000000000001</v>
      </c>
      <c r="K34" s="78" t="inlineStr">
        <is>
          <t>A+</t>
        </is>
      </c>
      <c r="L34" s="91" t="inlineStr">
        <is>
          <t>A+</t>
        </is>
      </c>
      <c r="M34" s="228" t="inlineStr">
        <is>
          <t>A+</t>
        </is>
      </c>
      <c r="N34" s="86">
        <f>TRUNC(AVERAGE(D34:J34),2)</f>
        <v/>
      </c>
      <c r="O34" s="96" t="inlineStr">
        <is>
          <t>S</t>
        </is>
      </c>
      <c r="P34" s="98" t="inlineStr">
        <is>
          <t>PROMOVIDO</t>
        </is>
      </c>
    </row>
    <row r="35" ht="15" customHeight="1" s="254">
      <c r="A35" s="135" t="n">
        <v>28</v>
      </c>
      <c r="B35" s="151" t="inlineStr">
        <is>
          <t>MOROCHO CHILLOGALLI DENISSE ALEJANDRA</t>
        </is>
      </c>
      <c r="C35" s="153" t="n"/>
      <c r="D35" s="111" t="n">
        <v>8.92</v>
      </c>
      <c r="E35" s="112" t="n">
        <v>7.8</v>
      </c>
      <c r="F35" s="142" t="n">
        <v>8.789999999999999</v>
      </c>
      <c r="G35" s="104" t="n">
        <v>8.5</v>
      </c>
      <c r="H35" s="73" t="n">
        <v>7.88</v>
      </c>
      <c r="I35" s="114" t="n">
        <v>8.289999999999999</v>
      </c>
      <c r="J35" s="76" t="n">
        <v>8.609999999999999</v>
      </c>
      <c r="K35" s="78" t="inlineStr">
        <is>
          <t>A+</t>
        </is>
      </c>
      <c r="L35" s="91" t="inlineStr">
        <is>
          <t>A+</t>
        </is>
      </c>
      <c r="M35" s="228" t="inlineStr">
        <is>
          <t>A+</t>
        </is>
      </c>
      <c r="N35" s="86">
        <f>TRUNC(AVERAGE(D35:J35),2)</f>
        <v/>
      </c>
      <c r="O35" s="96" t="inlineStr">
        <is>
          <t>S</t>
        </is>
      </c>
      <c r="P35" s="98" t="inlineStr">
        <is>
          <t>PROMOVIDO</t>
        </is>
      </c>
    </row>
    <row r="36" ht="15" customHeight="1" s="254">
      <c r="A36" s="57" t="n">
        <v>29</v>
      </c>
      <c r="B36" s="259" t="inlineStr">
        <is>
          <t>NAULA GARZON ANDERSON JHOSUE</t>
        </is>
      </c>
      <c r="C36" s="258" t="n"/>
      <c r="D36" s="111" t="n">
        <v>8.41</v>
      </c>
      <c r="E36" s="112" t="n">
        <v>8.06</v>
      </c>
      <c r="F36" s="142" t="n">
        <v>8.460000000000001</v>
      </c>
      <c r="G36" s="70" t="n">
        <v>8.109999999999999</v>
      </c>
      <c r="H36" s="73" t="n">
        <v>7.96</v>
      </c>
      <c r="I36" s="114" t="n">
        <v>7.86</v>
      </c>
      <c r="J36" s="76" t="n">
        <v>8.699999999999999</v>
      </c>
      <c r="K36" s="78" t="inlineStr">
        <is>
          <t>A-</t>
        </is>
      </c>
      <c r="L36" s="91" t="inlineStr">
        <is>
          <t>A+</t>
        </is>
      </c>
      <c r="M36" s="228" t="inlineStr">
        <is>
          <t>A+</t>
        </is>
      </c>
      <c r="N36" s="86">
        <f>TRUNC(AVERAGE(D36:J36),2)</f>
        <v/>
      </c>
      <c r="O36" s="96" t="inlineStr">
        <is>
          <t>S</t>
        </is>
      </c>
      <c r="P36" s="98" t="inlineStr">
        <is>
          <t>PROMOVIDO</t>
        </is>
      </c>
    </row>
    <row r="37" ht="15" customHeight="1" s="254">
      <c r="A37" s="57" t="n">
        <v>30</v>
      </c>
      <c r="B37" s="259" t="inlineStr">
        <is>
          <t>PANDO CARVAJAL JUAN FRANCISCO</t>
        </is>
      </c>
      <c r="C37" s="258" t="n"/>
      <c r="D37" s="111" t="n">
        <v>7.53</v>
      </c>
      <c r="E37" s="130" t="n">
        <v>7.2</v>
      </c>
      <c r="F37" s="142" t="n">
        <v>7</v>
      </c>
      <c r="G37" s="104" t="n">
        <v>7.1</v>
      </c>
      <c r="H37" s="73" t="n">
        <v>7.14</v>
      </c>
      <c r="I37" s="114" t="n">
        <v>7.48</v>
      </c>
      <c r="J37" s="76" t="n">
        <v>8.02</v>
      </c>
      <c r="K37" s="78" t="inlineStr">
        <is>
          <t>B+</t>
        </is>
      </c>
      <c r="L37" s="91" t="inlineStr">
        <is>
          <t>A+</t>
        </is>
      </c>
      <c r="M37" s="226" t="inlineStr">
        <is>
          <t>A+</t>
        </is>
      </c>
      <c r="N37" s="86">
        <f>TRUNC(AVERAGE(D37:J37),2)</f>
        <v/>
      </c>
      <c r="O37" s="96" t="inlineStr">
        <is>
          <t>S</t>
        </is>
      </c>
      <c r="P37" s="98" t="inlineStr">
        <is>
          <t>PROMOVIDO</t>
        </is>
      </c>
    </row>
    <row r="38" ht="15" customHeight="1" s="254">
      <c r="A38" s="57" t="n">
        <v>31</v>
      </c>
      <c r="B38" s="259" t="inlineStr">
        <is>
          <t>PERALTA DELGADO ALIXON JAIR</t>
        </is>
      </c>
      <c r="C38" s="258" t="n"/>
      <c r="D38" s="111" t="n">
        <v>6.96</v>
      </c>
      <c r="E38" s="112" t="n">
        <v>7.26</v>
      </c>
      <c r="F38" s="142" t="n">
        <v>5.98</v>
      </c>
      <c r="G38" s="163" t="n">
        <v>6.52</v>
      </c>
      <c r="H38" s="73" t="n">
        <v>6.48</v>
      </c>
      <c r="I38" s="114" t="n">
        <v>7.56</v>
      </c>
      <c r="J38" s="76" t="n">
        <v>8.26</v>
      </c>
      <c r="K38" s="78" t="inlineStr">
        <is>
          <t>B+</t>
        </is>
      </c>
      <c r="L38" s="91" t="inlineStr">
        <is>
          <t>A-</t>
        </is>
      </c>
      <c r="M38" s="228" t="inlineStr">
        <is>
          <t>A+</t>
        </is>
      </c>
      <c r="N38" s="86">
        <f>TRUNC(AVERAGE(D38:J38),2)</f>
        <v/>
      </c>
      <c r="O38" s="96" t="inlineStr">
        <is>
          <t>O</t>
        </is>
      </c>
      <c r="P38" s="165" t="inlineStr">
        <is>
          <t>NO PROMOVIDO</t>
        </is>
      </c>
    </row>
    <row r="39" ht="15" customHeight="1" s="254">
      <c r="A39" s="57" t="n">
        <v>32</v>
      </c>
      <c r="B39" s="260" t="inlineStr">
        <is>
          <t>PIÑA GUARQUILA JARED ISMAEL</t>
        </is>
      </c>
      <c r="C39" s="258" t="n"/>
      <c r="D39" s="111" t="n">
        <v>9.94</v>
      </c>
      <c r="E39" s="112" t="n">
        <v>9.859999999999999</v>
      </c>
      <c r="F39" s="142" t="n">
        <v>9.75</v>
      </c>
      <c r="G39" s="104" t="n">
        <v>9.970000000000001</v>
      </c>
      <c r="H39" s="73" t="n">
        <v>9.880000000000001</v>
      </c>
      <c r="I39" s="114" t="n">
        <v>9.49</v>
      </c>
      <c r="J39" s="76" t="n">
        <v>9.880000000000001</v>
      </c>
      <c r="K39" s="78" t="inlineStr">
        <is>
          <t>A+</t>
        </is>
      </c>
      <c r="L39" s="91" t="inlineStr">
        <is>
          <t>A+</t>
        </is>
      </c>
      <c r="M39" s="228" t="inlineStr">
        <is>
          <t>A+</t>
        </is>
      </c>
      <c r="N39" s="167">
        <f>TRUNC(AVERAGE(D39:J39),2)</f>
        <v/>
      </c>
      <c r="O39" s="96" t="inlineStr">
        <is>
          <t>S</t>
        </is>
      </c>
      <c r="P39" s="98" t="inlineStr">
        <is>
          <t>PROMOVIDO</t>
        </is>
      </c>
    </row>
    <row r="40" ht="15" customHeight="1" s="254">
      <c r="A40" s="57" t="n">
        <v>33</v>
      </c>
      <c r="B40" s="257" t="inlineStr">
        <is>
          <t>POZO ZHAÑAY MILENA ANAHI</t>
        </is>
      </c>
      <c r="C40" s="258" t="n"/>
      <c r="D40" s="111" t="n">
        <v>7.83</v>
      </c>
      <c r="E40" s="130" t="n">
        <v>7.7</v>
      </c>
      <c r="F40" s="142" t="n">
        <v>7.33</v>
      </c>
      <c r="G40" s="131" t="n">
        <v>7.22</v>
      </c>
      <c r="H40" s="73" t="n">
        <v>7.38</v>
      </c>
      <c r="I40" s="114" t="n">
        <v>7.59</v>
      </c>
      <c r="J40" s="76" t="n">
        <v>7.99</v>
      </c>
      <c r="K40" s="78" t="inlineStr">
        <is>
          <t>A-</t>
        </is>
      </c>
      <c r="L40" s="91" t="inlineStr">
        <is>
          <t>A+</t>
        </is>
      </c>
      <c r="M40" s="228" t="inlineStr">
        <is>
          <t>A+</t>
        </is>
      </c>
      <c r="N40" s="86">
        <f>TRUNC(AVERAGE(D40:J40),2)</f>
        <v/>
      </c>
      <c r="O40" s="96" t="inlineStr">
        <is>
          <t>S</t>
        </is>
      </c>
      <c r="P40" s="98" t="inlineStr">
        <is>
          <t>PROMOVIDO</t>
        </is>
      </c>
    </row>
    <row r="41" ht="14.25" customHeight="1" s="254">
      <c r="A41" s="57" t="n">
        <v>34</v>
      </c>
      <c r="B41" s="257" t="inlineStr">
        <is>
          <t>PULGARIN CUENCA CAMILA ELIZABETH</t>
        </is>
      </c>
      <c r="C41" s="258" t="n"/>
      <c r="D41" s="111" t="n">
        <v>9.539999999999999</v>
      </c>
      <c r="E41" s="130" t="n">
        <v>9.09</v>
      </c>
      <c r="F41" s="142" t="n">
        <v>9.119999999999999</v>
      </c>
      <c r="G41" s="104" t="n">
        <v>9.039999999999999</v>
      </c>
      <c r="H41" s="73" t="n">
        <v>9</v>
      </c>
      <c r="I41" s="114" t="n">
        <v>9.35</v>
      </c>
      <c r="J41" s="76" t="n">
        <v>9.16</v>
      </c>
      <c r="K41" s="78" t="inlineStr">
        <is>
          <t>A+</t>
        </is>
      </c>
      <c r="L41" s="91" t="inlineStr">
        <is>
          <t>A+</t>
        </is>
      </c>
      <c r="M41" s="228" t="inlineStr">
        <is>
          <t>A+</t>
        </is>
      </c>
      <c r="N41" s="86">
        <f>TRUNC(AVERAGE(D41:J41),2)</f>
        <v/>
      </c>
      <c r="O41" s="96" t="inlineStr">
        <is>
          <t>S</t>
        </is>
      </c>
      <c r="P41" s="98" t="inlineStr">
        <is>
          <t>PROMOVIDO</t>
        </is>
      </c>
    </row>
    <row r="42" ht="15" customHeight="1" s="254">
      <c r="A42" s="57" t="n">
        <v>35</v>
      </c>
      <c r="B42" s="259" t="inlineStr">
        <is>
          <t>ROMAN BELDUMA DAYRON JAEL</t>
        </is>
      </c>
      <c r="C42" s="258" t="n"/>
      <c r="D42" s="111" t="n">
        <v>9.5</v>
      </c>
      <c r="E42" s="112" t="n">
        <v>9.31</v>
      </c>
      <c r="F42" s="142" t="n">
        <v>9.26</v>
      </c>
      <c r="G42" s="104" t="n">
        <v>9.35</v>
      </c>
      <c r="H42" s="73" t="n">
        <v>9.09</v>
      </c>
      <c r="I42" s="114" t="n">
        <v>9.140000000000001</v>
      </c>
      <c r="J42" s="76" t="n">
        <v>9.640000000000001</v>
      </c>
      <c r="K42" s="78" t="inlineStr">
        <is>
          <t>A+</t>
        </is>
      </c>
      <c r="L42" s="91" t="inlineStr">
        <is>
          <t>A+</t>
        </is>
      </c>
      <c r="M42" s="228" t="inlineStr">
        <is>
          <t>A+</t>
        </is>
      </c>
      <c r="N42" s="86">
        <f>TRUNC(AVERAGE(D42:J42),2)</f>
        <v/>
      </c>
      <c r="O42" s="96" t="inlineStr">
        <is>
          <t>S</t>
        </is>
      </c>
      <c r="P42" s="98" t="inlineStr">
        <is>
          <t>PROMOVIDO</t>
        </is>
      </c>
    </row>
    <row r="43" ht="14.25" customHeight="1" s="254">
      <c r="A43" s="174" t="n">
        <v>36</v>
      </c>
      <c r="B43" s="259" t="inlineStr">
        <is>
          <t>ROMERO NARVAEZ PAOLA FERNANDA</t>
        </is>
      </c>
      <c r="C43" s="258" t="n"/>
      <c r="D43" s="111" t="n">
        <v>8.94</v>
      </c>
      <c r="E43" s="112" t="n">
        <v>7.11</v>
      </c>
      <c r="F43" s="142" t="n">
        <v>7.04</v>
      </c>
      <c r="G43" s="104" t="n">
        <v>7</v>
      </c>
      <c r="H43" s="73" t="n">
        <v>7.98</v>
      </c>
      <c r="I43" s="114" t="n">
        <v>7.27</v>
      </c>
      <c r="J43" s="76" t="n">
        <v>7.92</v>
      </c>
      <c r="K43" s="78" t="inlineStr">
        <is>
          <t>B+</t>
        </is>
      </c>
      <c r="L43" s="91" t="inlineStr">
        <is>
          <t>A+</t>
        </is>
      </c>
      <c r="M43" s="228" t="inlineStr">
        <is>
          <t>A+</t>
        </is>
      </c>
      <c r="N43" s="86">
        <f>TRUNC(AVERAGE(D43:J43),2)</f>
        <v/>
      </c>
      <c r="O43" s="96" t="inlineStr">
        <is>
          <t>F</t>
        </is>
      </c>
      <c r="P43" s="98" t="inlineStr">
        <is>
          <t>PROMOVIDO</t>
        </is>
      </c>
    </row>
    <row r="44" ht="15" customHeight="1" s="254">
      <c r="A44" s="56" t="n">
        <v>37</v>
      </c>
      <c r="B44" s="61" t="inlineStr">
        <is>
          <t>SEGARRA GUERRERO JORDY NICOLAS</t>
        </is>
      </c>
      <c r="C44" s="256" t="n"/>
      <c r="D44" s="111" t="n">
        <v>7</v>
      </c>
      <c r="E44" s="112" t="n">
        <v>7</v>
      </c>
      <c r="F44" s="142" t="n">
        <v>7</v>
      </c>
      <c r="G44" s="70" t="n">
        <v>7</v>
      </c>
      <c r="H44" s="73" t="n">
        <v>7.07</v>
      </c>
      <c r="I44" s="114" t="n">
        <v>7.42</v>
      </c>
      <c r="J44" s="76" t="n">
        <v>7.41</v>
      </c>
      <c r="K44" s="78" t="inlineStr">
        <is>
          <t>B+</t>
        </is>
      </c>
      <c r="L44" s="91" t="inlineStr">
        <is>
          <t>A+</t>
        </is>
      </c>
      <c r="M44" s="228" t="inlineStr">
        <is>
          <t>A+</t>
        </is>
      </c>
      <c r="N44" s="86">
        <f>TRUNC(AVERAGE(D44:J44),2)</f>
        <v/>
      </c>
      <c r="O44" s="96" t="inlineStr">
        <is>
          <t>F</t>
        </is>
      </c>
      <c r="P44" s="176" t="inlineStr">
        <is>
          <t>PROMOVIDO</t>
        </is>
      </c>
    </row>
    <row r="45" ht="15" customHeight="1" s="254">
      <c r="A45" s="56" t="n">
        <v>38</v>
      </c>
      <c r="B45" s="61" t="inlineStr">
        <is>
          <t>SIMBAÑA ESPADERO KEVIN ANDRÉS</t>
        </is>
      </c>
      <c r="C45" s="256" t="n"/>
      <c r="D45" s="111" t="n">
        <v>9.09</v>
      </c>
      <c r="E45" s="130" t="n">
        <v>8.65</v>
      </c>
      <c r="F45" s="142" t="n">
        <v>8.56</v>
      </c>
      <c r="G45" s="104" t="n">
        <v>8.41</v>
      </c>
      <c r="H45" s="73" t="n">
        <v>8.529999999999999</v>
      </c>
      <c r="I45" s="114" t="n">
        <v>8.640000000000001</v>
      </c>
      <c r="J45" s="76" t="n">
        <v>9.33</v>
      </c>
      <c r="K45" s="78" t="inlineStr">
        <is>
          <t>A-</t>
        </is>
      </c>
      <c r="L45" s="91" t="inlineStr">
        <is>
          <t>A+</t>
        </is>
      </c>
      <c r="M45" s="228" t="inlineStr">
        <is>
          <t>A+</t>
        </is>
      </c>
      <c r="N45" s="86">
        <f>TRUNC(AVERAGE(D45:J45),2)</f>
        <v/>
      </c>
      <c r="O45" s="96" t="inlineStr">
        <is>
          <t>S</t>
        </is>
      </c>
      <c r="P45" s="97" t="inlineStr">
        <is>
          <t>PROMOVIDO</t>
        </is>
      </c>
    </row>
    <row r="46" ht="15" customHeight="1" s="254">
      <c r="A46" s="56" t="n"/>
      <c r="B46" s="153" t="inlineStr">
        <is>
          <t>Promedio</t>
        </is>
      </c>
      <c r="C46" s="256" t="n"/>
      <c r="D46" s="145">
        <f>AVERAGE(D8:D45)</f>
        <v/>
      </c>
      <c r="E46" s="146">
        <f>AVERAGE(E8:E45)</f>
        <v/>
      </c>
      <c r="F46" s="147">
        <f>AVERAGE(F8:F45)</f>
        <v/>
      </c>
      <c r="G46" s="148">
        <f>AVERAGE(G8:G45)</f>
        <v/>
      </c>
      <c r="H46" s="149">
        <f>AVERAGE(H8:H45)</f>
        <v/>
      </c>
      <c r="I46" s="180">
        <f>AVERAGE(I8:I45)</f>
        <v/>
      </c>
      <c r="J46" s="152">
        <f>AVERAGE(J8:J45)</f>
        <v/>
      </c>
      <c r="K46" s="181" t="n"/>
      <c r="L46" s="181" t="n"/>
      <c r="M46" s="183" t="n"/>
      <c r="N46" s="86">
        <f>AVERAGE(N8:N45)</f>
        <v/>
      </c>
      <c r="O46" s="186" t="n"/>
      <c r="P46" s="188" t="n"/>
    </row>
    <row r="47" ht="15" customHeight="1" s="254">
      <c r="A47" s="189" t="n"/>
      <c r="B47" s="190" t="n"/>
      <c r="C47" s="190" t="n"/>
      <c r="D47" s="191" t="n"/>
      <c r="E47" s="191" t="n"/>
      <c r="F47" s="193" t="n"/>
      <c r="G47" s="191" t="n"/>
      <c r="H47" s="195" t="n"/>
      <c r="I47" s="195" t="n"/>
      <c r="J47" s="197" t="n"/>
      <c r="K47" s="195" t="n"/>
      <c r="L47" s="199" t="n"/>
      <c r="M47" s="201" t="n"/>
      <c r="N47" s="191" t="n"/>
      <c r="O47" s="199" t="n"/>
      <c r="P47" s="191" t="n"/>
      <c r="Q47" s="13" t="n"/>
    </row>
    <row r="48" ht="15" customHeight="1" s="254">
      <c r="A48" s="203" t="n"/>
      <c r="B48" s="261" t="n"/>
      <c r="D48" s="191" t="n"/>
      <c r="E48" s="191" t="n"/>
      <c r="F48" s="193" t="n"/>
      <c r="G48" s="191" t="n"/>
      <c r="H48" s="195" t="n"/>
      <c r="I48" s="195" t="n"/>
      <c r="J48" s="197" t="n"/>
      <c r="K48" s="195" t="n"/>
      <c r="L48" s="199" t="n"/>
      <c r="M48" s="201" t="n"/>
      <c r="N48" s="191" t="n"/>
      <c r="O48" s="199" t="n"/>
      <c r="P48" s="191" t="n"/>
      <c r="Q48" s="13" t="n"/>
    </row>
    <row r="49" ht="15" customHeight="1" s="254">
      <c r="A49" s="203" t="n"/>
      <c r="B49" s="262" t="inlineStr">
        <is>
          <t xml:space="preserve">Ing. Sonia Chicaiza Mgtr. </t>
        </is>
      </c>
      <c r="D49" s="263" t="inlineStr">
        <is>
          <t xml:space="preserve">Lcda. Isabel Carpio Mgtr. </t>
        </is>
      </c>
      <c r="E49" s="264" t="n"/>
      <c r="F49" s="264" t="n"/>
      <c r="G49" s="265" t="n"/>
      <c r="H49" s="211" t="n"/>
      <c r="I49" s="263" t="inlineStr">
        <is>
          <t>Lcda. Marcia Siavichay</t>
        </is>
      </c>
      <c r="J49" s="264" t="n"/>
      <c r="K49" s="264" t="n"/>
      <c r="L49" s="265" t="n"/>
      <c r="M49" s="193" t="n"/>
      <c r="N49" s="191" t="n"/>
      <c r="O49" s="199" t="n"/>
      <c r="P49" s="213" t="n"/>
      <c r="Q49" s="13" t="n"/>
    </row>
    <row r="50" ht="14.25" customHeight="1" s="254">
      <c r="A50" s="203" t="n"/>
      <c r="B50" s="262" t="inlineStr">
        <is>
          <t>Rectora (e)</t>
        </is>
      </c>
      <c r="D50" s="263" t="inlineStr">
        <is>
          <t>Vicerrectora (e)Matutina</t>
        </is>
      </c>
      <c r="E50" s="264" t="n"/>
      <c r="F50" s="264" t="n"/>
      <c r="G50" s="265" t="n"/>
      <c r="H50" s="211" t="n"/>
      <c r="I50" s="263" t="inlineStr">
        <is>
          <t>Docente Tutora</t>
        </is>
      </c>
      <c r="J50" s="264" t="n"/>
      <c r="K50" s="264" t="n"/>
      <c r="L50" s="265" t="n"/>
      <c r="M50" s="193" t="n"/>
      <c r="N50" s="216" t="n"/>
      <c r="O50" s="199" t="n"/>
      <c r="P50" s="213" t="n"/>
      <c r="Q50" s="13" t="n"/>
    </row>
    <row r="51" ht="14.25" customHeight="1" s="254">
      <c r="A51" s="203" t="n"/>
      <c r="B51" s="266">
        <f>IFERROR(IF(AND($C$4="OCTAVO A",$K$3="MATUTINA"),VLOOKUP(A51,OCTAVO_A_MAT,2,FALSE),IF(AND($C$4="OCTAVO B",$K$3="MATUTINA"),VLOOKUP(A51,OCTAVO_B_MAT,2,FALSE),IF(AND($C$4="NOVENO A",$K$3="MATUTINA"),VLOOKUP(A51,NOVENO_A_MAT,2,FALSE),IF(AND($C$4="NOVENO B",$K$3="MATUTINA"),VLOOKUP(A51,NOVENO_B_MAT,2,FALSE),IF(AND($C$4="DÉCIMO A",$K$3="MATUTINA"),VLOOKUP(A51,DECIMO_A_MAT,2,FALSE),IF(AND($C$4="DÉCIMO B",$K$3="MATUTINA"),VLOOKUP(A51,DECIMO_B_MAT,2,FALSE),IF(AND($C$4="OCTAVO A",$K$3="VESPERTINA"),VLOOKUP(A51,OCTAVO_A_VESP,2,FALSE),IF(AND($C$4="OCTAVO B",$K$3="VESPERTINA"),VLOOKUP(A51,OCTAVO_B_VESP,2,FALSE),IF(AND($C$4="NOVENO A",$K$3="VESPERTINA"),VLOOKUP(A51,NOVENO_A_VESP,2,FALSE),IF(AND($C$4="NOVENO B",$K$3="VESPERTINA"),VLOOKUP(A51,NOVENO_B_VESP,2,FALSE),IF(AND($C$4="DÉCIMO A",$K$3="VESPERTINA"),VLOOKUP(A51,DECIMO_A_VESP,2,FALSE),IF(AND($C$4="DÉCIMO B",$K$3="VESPERTINA"),VLOOKUP(A51,DECIMO_B_VESP,2,FALSE),IF(AND($C$4="QUINTO A",$K$3="MATUTINA"),VLOOKUP(A51,QUINTO_A_MAT,2,FALSE),IF(AND($C$4="QUINTO B",$K$3="MATUTINA"),VLOOKUP(A51,QUINTO_B_MAT,2,FALSE),IF(AND($C$4="SEXTO A",$K$3="MATUTINA"),VLOOKUP(A51,SEXTO_A_MAT,2,FALSE),IF(AND($C$4="SEXTO B",$K$3="MATUTINA"),VLOOKUP(A51,SEXTO_B_MAT,2,FALSE),IF(AND($C$4="SÉPTIMO A",$K$3="MATUTINA"),VLOOKUP(A51,SEPTIMO_A_MATU,2,FALSE),IF(AND($C$4="SÉPTIMO B",$K$3="MATUTINA"),VLOOKUP(A51,SEPTIMO_B_MAT,2,FALSE),IF(AND($C$4="QUINTO A",$K$3="VESPERTINA"),VLOOKUP(A51,QUINTO_A_VES,2,FALSE),IF(AND($C$4="QUINTO B",$K$3="VESPERTINA"),VLOOKUP(A51,QUINTO_B_VES,2,FALSE),IF(AND($C$4="SEXTO A",$K$3="VESPERTINA"),VLOOKUP(A51,SEXTO_A_VES,2,FALSE),IF(AND($C$4="SEXTO B",$K$3="VESPERTINA"),VLOOKUP(A51,SEXTO_B_VES,2,FALSE),IF(AND($C$4="SÉPTIMO A",$K$3="VESPERTINA"),VLOOKUP(A51,SEPTIMO_A_VES,2,FALSE),IF(AND($C$4="SÉPTIMO B",$K$3="VESPERTINA"),VLOOKUP(A51,SEPTIMO_B_VES,2,FALSE),"")))))))))))))))))))))))),"")</f>
        <v/>
      </c>
      <c r="D51" s="191" t="n"/>
      <c r="E51" s="191" t="n"/>
      <c r="F51" s="267" t="n"/>
      <c r="N51" s="216" t="n"/>
      <c r="O51" s="197" t="n"/>
      <c r="P51" s="213" t="n"/>
      <c r="Q51" s="13" t="n"/>
    </row>
    <row r="52" ht="14.25" customHeight="1" s="254">
      <c r="A52" s="203" t="n"/>
      <c r="B52" s="266">
        <f>IFERROR(IF(AND($C$4="OCTAVO A",$K$3="MATUTINA"),VLOOKUP(A52,OCTAVO_A_MAT,2,FALSE),IF(AND($C$4="OCTAVO B",$K$3="MATUTINA"),VLOOKUP(A52,OCTAVO_B_MAT,2,FALSE),IF(AND($C$4="NOVENO A",$K$3="MATUTINA"),VLOOKUP(A52,NOVENO_A_MAT,2,FALSE),IF(AND($C$4="NOVENO B",$K$3="MATUTINA"),VLOOKUP(A52,NOVENO_B_MAT,2,FALSE),IF(AND($C$4="DÉCIMO A",$K$3="MATUTINA"),VLOOKUP(A52,DECIMO_A_MAT,2,FALSE),IF(AND($C$4="DÉCIMO B",$K$3="MATUTINA"),VLOOKUP(A52,DECIMO_B_MAT,2,FALSE),IF(AND($C$4="OCTAVO A",$K$3="VESPERTINA"),VLOOKUP(A52,OCTAVO_A_VESP,2,FALSE),IF(AND($C$4="OCTAVO B",$K$3="VESPERTINA"),VLOOKUP(A52,OCTAVO_B_VESP,2,FALSE),IF(AND($C$4="NOVENO A",$K$3="VESPERTINA"),VLOOKUP(A52,NOVENO_A_VESP,2,FALSE),IF(AND($C$4="NOVENO B",$K$3="VESPERTINA"),VLOOKUP(A52,NOVENO_B_VESP,2,FALSE),IF(AND($C$4="DÉCIMO A",$K$3="VESPERTINA"),VLOOKUP(A52,DECIMO_A_VESP,2,FALSE),IF(AND($C$4="DÉCIMO B",$K$3="VESPERTINA"),VLOOKUP(A52,DECIMO_B_VESP,2,FALSE),IF(AND($C$4="QUINTO A",$K$3="MATUTINA"),VLOOKUP(A52,QUINTO_A_MAT,2,FALSE),IF(AND($C$4="QUINTO B",$K$3="MATUTINA"),VLOOKUP(A52,QUINTO_B_MAT,2,FALSE),IF(AND($C$4="SEXTO A",$K$3="MATUTINA"),VLOOKUP(A52,SEXTO_A_MAT,2,FALSE),IF(AND($C$4="SEXTO B",$K$3="MATUTINA"),VLOOKUP(A52,SEXTO_B_MAT,2,FALSE),IF(AND($C$4="SÉPTIMO A",$K$3="MATUTINA"),VLOOKUP(A52,SEPTIMO_A_MATU,2,FALSE),IF(AND($C$4="SÉPTIMO B",$K$3="MATUTINA"),VLOOKUP(A52,SEPTIMO_B_MAT,2,FALSE),IF(AND($C$4="QUINTO A",$K$3="VESPERTINA"),VLOOKUP(A52,QUINTO_A_VES,2,FALSE),IF(AND($C$4="QUINTO B",$K$3="VESPERTINA"),VLOOKUP(A52,QUINTO_B_VES,2,FALSE),IF(AND($C$4="SEXTO A",$K$3="VESPERTINA"),VLOOKUP(A52,SEXTO_A_VES,2,FALSE),IF(AND($C$4="SEXTO B",$K$3="VESPERTINA"),VLOOKUP(A52,SEXTO_B_VES,2,FALSE),IF(AND($C$4="SÉPTIMO A",$K$3="VESPERTINA"),VLOOKUP(A52,SEPTIMO_A_VES,2,FALSE),IF(AND($C$4="SÉPTIMO B",$K$3="VESPERTINA"),VLOOKUP(A52,SEPTIMO_B_VES,2,FALSE),"")))))))))))))))))))))))),"")</f>
        <v/>
      </c>
      <c r="D52" s="191" t="n"/>
      <c r="E52" s="191" t="n"/>
      <c r="F52" s="191" t="n"/>
      <c r="G52" s="191" t="n"/>
      <c r="H52" s="191" t="n"/>
      <c r="I52" s="191" t="n"/>
      <c r="J52" s="197" t="n"/>
      <c r="K52" s="197" t="n"/>
      <c r="L52" s="197" t="n"/>
      <c r="M52" s="197" t="n"/>
      <c r="N52" s="191" t="n"/>
      <c r="O52" s="197" t="n"/>
      <c r="P52" s="213" t="n"/>
      <c r="Q52" s="13" t="n"/>
    </row>
    <row r="53" ht="14.25" customHeight="1" s="254">
      <c r="P53" s="13" t="n"/>
    </row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4.25" customHeight="1" s="254"/>
    <row r="243" ht="14.25" customHeight="1" s="254"/>
    <row r="244" ht="14.25" customHeight="1" s="254"/>
    <row r="245" ht="14.25" customHeight="1" s="254"/>
    <row r="246" ht="14.25" customHeight="1" s="254"/>
    <row r="247" ht="14.25" customHeight="1" s="254"/>
    <row r="248" ht="14.25" customHeight="1" s="254"/>
    <row r="249" ht="14.25" customHeight="1" s="254"/>
    <row r="250" ht="14.25" customHeight="1" s="254"/>
    <row r="251" ht="14.25" customHeight="1" s="254"/>
    <row r="252" ht="14.2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  <row r="1000" ht="15.75" customHeight="1" s="254"/>
  </sheetData>
  <mergeCells count="55">
    <mergeCell ref="B16:C16"/>
    <mergeCell ref="B2:P2"/>
    <mergeCell ref="B25:C25"/>
    <mergeCell ref="B46:C46"/>
    <mergeCell ref="B22:C22"/>
    <mergeCell ref="B31:C31"/>
    <mergeCell ref="B27:C27"/>
    <mergeCell ref="B18:C18"/>
    <mergeCell ref="B43:C43"/>
    <mergeCell ref="B12:C12"/>
    <mergeCell ref="B39:C39"/>
    <mergeCell ref="I50:L50"/>
    <mergeCell ref="B52:C52"/>
    <mergeCell ref="B21:C21"/>
    <mergeCell ref="B48:C48"/>
    <mergeCell ref="B11:C11"/>
    <mergeCell ref="K3:N3"/>
    <mergeCell ref="D50:G50"/>
    <mergeCell ref="F51:M51"/>
    <mergeCell ref="B42:C42"/>
    <mergeCell ref="B23:C23"/>
    <mergeCell ref="B14:C14"/>
    <mergeCell ref="B17:C17"/>
    <mergeCell ref="B8:C8"/>
    <mergeCell ref="I49:L49"/>
    <mergeCell ref="I3:J3"/>
    <mergeCell ref="B13:C13"/>
    <mergeCell ref="B38:C38"/>
    <mergeCell ref="B6:P6"/>
    <mergeCell ref="B44:C44"/>
    <mergeCell ref="B29:C29"/>
    <mergeCell ref="A1:P1"/>
    <mergeCell ref="B19:C19"/>
    <mergeCell ref="B34:C34"/>
    <mergeCell ref="B37:C37"/>
    <mergeCell ref="B10:C10"/>
    <mergeCell ref="B28:C28"/>
    <mergeCell ref="C3:E3"/>
    <mergeCell ref="D49:G49"/>
    <mergeCell ref="B40:C40"/>
    <mergeCell ref="B9:C9"/>
    <mergeCell ref="B49:C49"/>
    <mergeCell ref="B24:C24"/>
    <mergeCell ref="I4:J4"/>
    <mergeCell ref="B30:C30"/>
    <mergeCell ref="B15:C15"/>
    <mergeCell ref="B33:C33"/>
    <mergeCell ref="B51:C51"/>
    <mergeCell ref="B20:C20"/>
    <mergeCell ref="B45:C45"/>
    <mergeCell ref="B36:C36"/>
    <mergeCell ref="B32:C32"/>
    <mergeCell ref="B50:C50"/>
    <mergeCell ref="B26:C26"/>
    <mergeCell ref="B41:C41"/>
  </mergeCells>
  <conditionalFormatting sqref="D8:J52 K49:K50 N46">
    <cfRule type="cellIs" priority="1" operator="lessThan" dxfId="0">
      <formula>7</formula>
    </cfRule>
    <cfRule type="cellIs" priority="2" operator="lessThan" dxfId="0">
      <formula>6.29</formula>
    </cfRule>
  </conditionalFormatting>
  <conditionalFormatting sqref="N8:N52">
    <cfRule type="cellIs" priority="3" operator="lessThan" dxfId="1">
      <formula>7</formula>
    </cfRule>
  </conditionalFormatting>
  <dataValidations count="2">
    <dataValidation sqref="K3" showDropDown="0" showInputMessage="0" showErrorMessage="1" allowBlank="1" type="list">
      <formula1>"MATUTINA,VESPERTINA"</formula1>
    </dataValidation>
    <dataValidation sqref="C4" showDropDown="0" showInputMessage="0" showErrorMessage="1" allowBlank="1" type="list">
      <formula1>"QUINTO A,QUINTO B,SEXTO A,SEXTO B,SÉPTIMO A,SÉPTIMO B,OCTAVO A,OCTAVO B,NOVENO A,NOVENO B,DÉCIMO A,DÉCIMO B"</formula1>
    </dataValidation>
  </dataValidations>
  <pageMargins left="0.7" right="0.7" top="0.75" bottom="0.75" header="0" footer="0"/>
  <pageSetup orientation="landscape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4.71" customWidth="1" style="254" min="1" max="1"/>
    <col width="20.43" customWidth="1" style="254" min="2" max="2"/>
    <col width="12.14" customWidth="1" style="254" min="3" max="3"/>
    <col width="6.29" customWidth="1" style="254" min="4" max="4"/>
    <col width="8.140000000000001" customWidth="1" style="254" min="14" max="14"/>
    <col width="7.57" customWidth="1" style="254" min="15" max="15"/>
    <col width="15.14" customWidth="1" style="254" min="16" max="16"/>
    <col width="21.43" customWidth="1" style="254" min="17" max="17"/>
    <col width="6.29" customWidth="1" style="254" min="18" max="18"/>
  </cols>
  <sheetData>
    <row r="1" ht="72.75" customHeight="1" s="254">
      <c r="A1" s="2" t="inlineStr">
        <is>
          <t>UNIDAD EDUCATIVA "ESTADOS UNIDOS DE NORTE AMÉRICA" 
Correo electrónico: eeuuescuela@gmail.com  eeuuvicerrectorado@gmail.com
Teléfono: (07)289-0677 Distrito: 01D01  Zona:6</t>
        </is>
      </c>
    </row>
    <row r="2" ht="14.25" customHeight="1" s="254">
      <c r="A2" s="3" t="n"/>
      <c r="B2" s="4" t="inlineStr">
        <is>
          <t>AÑO LECTIVO: 2025-2026</t>
        </is>
      </c>
    </row>
    <row r="3" ht="14.25" customHeight="1" s="254">
      <c r="B3" s="5" t="inlineStr">
        <is>
          <t xml:space="preserve">DOCENTE:             </t>
        </is>
      </c>
      <c r="C3" s="263" t="inlineStr">
        <is>
          <t>Lcda. Nancy Quiranza</t>
        </is>
      </c>
      <c r="D3" s="264" t="n"/>
      <c r="E3" s="265" t="n"/>
      <c r="F3" s="7" t="n"/>
      <c r="G3" s="7" t="n"/>
      <c r="H3" s="7" t="n"/>
      <c r="I3" s="8" t="inlineStr">
        <is>
          <t xml:space="preserve">JORNADA: </t>
        </is>
      </c>
      <c r="K3" s="9" t="inlineStr">
        <is>
          <t>MATUTINA</t>
        </is>
      </c>
    </row>
    <row r="4" ht="12" customHeight="1" s="254">
      <c r="B4" s="10" t="inlineStr">
        <is>
          <t xml:space="preserve">AÑO DE EGB:        </t>
        </is>
      </c>
      <c r="C4" s="11" t="inlineStr">
        <is>
          <t>OCTAVO B</t>
        </is>
      </c>
      <c r="D4" s="12" t="inlineStr">
        <is>
          <t>B</t>
        </is>
      </c>
      <c r="E4" s="7" t="n"/>
      <c r="F4" s="7" t="n"/>
      <c r="G4" s="7" t="n"/>
      <c r="H4" s="7" t="n"/>
      <c r="I4" s="8" t="n"/>
      <c r="K4" s="13" t="n"/>
      <c r="M4" s="7" t="n"/>
    </row>
    <row r="5" ht="14.25" customHeight="1" s="254">
      <c r="B5" s="255" t="inlineStr">
        <is>
          <t>CONSOLIDADO FINAL</t>
        </is>
      </c>
    </row>
    <row r="6" ht="130.5" customHeight="1" s="254">
      <c r="A6" s="25" t="inlineStr">
        <is>
          <t> </t>
        </is>
      </c>
      <c r="B6" s="24" t="inlineStr">
        <is>
          <t>NOMINA</t>
        </is>
      </c>
      <c r="C6" s="26" t="n"/>
      <c r="D6" s="30" t="inlineStr">
        <is>
          <t>LENGUA Y LITERATURA</t>
        </is>
      </c>
      <c r="E6" s="32" t="inlineStr">
        <is>
          <t>MATEMÁTICA</t>
        </is>
      </c>
      <c r="F6" s="34" t="inlineStr">
        <is>
          <t>CIENCIAS NATURALES</t>
        </is>
      </c>
      <c r="G6" s="36" t="inlineStr">
        <is>
          <t>ESTUDIOS SOCIALES</t>
        </is>
      </c>
      <c r="H6" s="38" t="inlineStr">
        <is>
          <t>INGLÉS</t>
        </is>
      </c>
      <c r="I6" s="40" t="inlineStr">
        <is>
          <t>EDUCACIÓN CULTURAL Y ARTISTICA</t>
        </is>
      </c>
      <c r="J6" s="43" t="inlineStr">
        <is>
          <t>EDUCACIÓN FÍSICA</t>
        </is>
      </c>
      <c r="K6" s="46" t="inlineStr">
        <is>
          <t>ANIMACIÓN A LA LECTURA</t>
        </is>
      </c>
      <c r="L6" s="48" t="inlineStr">
        <is>
          <t>ACOMPAÑAMIENTO INTEGRAL EN EL AULA</t>
        </is>
      </c>
      <c r="M6" s="50" t="inlineStr">
        <is>
          <t>ORIENTACIÓN VOCACIONAL</t>
        </is>
      </c>
      <c r="N6" s="52" t="inlineStr">
        <is>
          <t>PROMEDIO FINAL</t>
        </is>
      </c>
      <c r="O6" s="54" t="inlineStr">
        <is>
          <t>CCOMPORTAMIENTO</t>
        </is>
      </c>
      <c r="P6" s="55" t="inlineStr">
        <is>
          <t>OBSERVACIONES</t>
        </is>
      </c>
    </row>
    <row r="7" ht="14.25" customHeight="1" s="254">
      <c r="A7" s="56" t="n">
        <v>1</v>
      </c>
      <c r="B7" s="284" t="inlineStr">
        <is>
          <t>ARIAS CUZCO JOSUE DAVID</t>
        </is>
      </c>
      <c r="C7" s="62" t="n"/>
      <c r="D7" s="65" t="inlineStr">
        <is>
          <t>8,93</t>
        </is>
      </c>
      <c r="E7" s="67" t="n">
        <v>8.619999999999999</v>
      </c>
      <c r="F7" s="142" t="n">
        <v>8.18</v>
      </c>
      <c r="G7" s="71" t="n">
        <v>7.95</v>
      </c>
      <c r="H7" s="73" t="n">
        <v>8.470000000000001</v>
      </c>
      <c r="I7" s="74" t="n">
        <v>8</v>
      </c>
      <c r="J7" s="76" t="n">
        <v>8.970000000000001</v>
      </c>
      <c r="K7" s="78" t="inlineStr">
        <is>
          <t>A-</t>
        </is>
      </c>
      <c r="L7" s="80" t="inlineStr">
        <is>
          <t>A+</t>
        </is>
      </c>
      <c r="M7" s="76" t="inlineStr">
        <is>
          <t>A+</t>
        </is>
      </c>
      <c r="N7" s="285">
        <f>TRUNC(AVERAGE(D7:J7),2)</f>
        <v/>
      </c>
      <c r="O7" s="88" t="inlineStr">
        <is>
          <t>S</t>
        </is>
      </c>
      <c r="P7" s="89" t="inlineStr">
        <is>
          <t>PROMOVIDO</t>
        </is>
      </c>
    </row>
    <row r="8" ht="15" customHeight="1" s="254">
      <c r="A8" s="56" t="n">
        <v>2</v>
      </c>
      <c r="B8" s="286" t="inlineStr">
        <is>
          <t>ATANCURI LALVAY JOEL MATIAS</t>
        </is>
      </c>
      <c r="C8" s="269" t="n"/>
      <c r="D8" s="111" t="inlineStr">
        <is>
          <t>9,09</t>
        </is>
      </c>
      <c r="E8" s="67" t="n">
        <v>9.16</v>
      </c>
      <c r="F8" s="142" t="n">
        <v>8.779999999999999</v>
      </c>
      <c r="G8" s="119" t="n">
        <v>8.619999999999999</v>
      </c>
      <c r="H8" s="73" t="n">
        <v>8.25</v>
      </c>
      <c r="I8" s="121" t="n">
        <v>8.720000000000001</v>
      </c>
      <c r="J8" s="76" t="n">
        <v>9.31</v>
      </c>
      <c r="K8" s="78" t="inlineStr">
        <is>
          <t>A+</t>
        </is>
      </c>
      <c r="L8" s="80" t="inlineStr">
        <is>
          <t>A+</t>
        </is>
      </c>
      <c r="M8" s="122" t="inlineStr">
        <is>
          <t>B+</t>
        </is>
      </c>
      <c r="N8" s="285">
        <f>TRUNC(AVERAGE(D8:J8),2)</f>
        <v/>
      </c>
      <c r="O8" s="88" t="inlineStr">
        <is>
          <t>S</t>
        </is>
      </c>
      <c r="P8" s="89" t="inlineStr">
        <is>
          <t>PROMOVIDO</t>
        </is>
      </c>
      <c r="Q8" s="113" t="inlineStr">
        <is>
          <t>PRIMER LUGAR</t>
        </is>
      </c>
      <c r="R8" s="115">
        <f>LARGE(N7:N46,1)</f>
        <v/>
      </c>
      <c r="S8" s="270" t="inlineStr">
        <is>
          <t>QUINDE ZUMBA DANIEL ANDRES</t>
        </is>
      </c>
      <c r="T8" s="271" t="n"/>
    </row>
    <row r="9" ht="15" customHeight="1" s="254">
      <c r="A9" s="56" t="n">
        <v>3</v>
      </c>
      <c r="B9" s="287" t="inlineStr">
        <is>
          <t>BARBECHO TELLO EMILY BRIGITTE</t>
        </is>
      </c>
      <c r="C9" s="271" t="n"/>
      <c r="D9" s="111" t="inlineStr">
        <is>
          <t>9,94</t>
        </is>
      </c>
      <c r="E9" s="67" t="n">
        <v>9.76</v>
      </c>
      <c r="F9" s="142" t="n">
        <v>9.279999999999999</v>
      </c>
      <c r="G9" s="119" t="n">
        <v>9.75</v>
      </c>
      <c r="H9" s="73" t="n">
        <v>8.880000000000001</v>
      </c>
      <c r="I9" s="121" t="n">
        <v>9.42</v>
      </c>
      <c r="J9" s="76" t="n">
        <v>9.93</v>
      </c>
      <c r="K9" s="78" t="inlineStr">
        <is>
          <t>A+</t>
        </is>
      </c>
      <c r="L9" s="80" t="inlineStr">
        <is>
          <t>A+</t>
        </is>
      </c>
      <c r="M9" s="122" t="inlineStr">
        <is>
          <t>A+</t>
        </is>
      </c>
      <c r="N9" s="285">
        <f>TRUNC(AVERAGE(D9:J9),2)</f>
        <v/>
      </c>
      <c r="O9" s="88" t="inlineStr">
        <is>
          <t>S</t>
        </is>
      </c>
      <c r="P9" s="89" t="inlineStr">
        <is>
          <t>PROMOVIDO</t>
        </is>
      </c>
      <c r="Q9" s="113" t="inlineStr">
        <is>
          <t>SEGUNDO LUGAR</t>
        </is>
      </c>
      <c r="R9" s="118">
        <f>LARGE(N7:N46,2)</f>
        <v/>
      </c>
      <c r="S9" s="270" t="inlineStr">
        <is>
          <t>MAXI SIAVICHAY ANTHONY ALEXIS</t>
        </is>
      </c>
      <c r="T9" s="271" t="n"/>
    </row>
    <row r="10" ht="15" customHeight="1" s="254">
      <c r="A10" s="56" t="n">
        <v>4</v>
      </c>
      <c r="B10" s="287" t="inlineStr">
        <is>
          <t>BELTRAN CARDENAS CRISTEL ALEJANDRA</t>
        </is>
      </c>
      <c r="C10" s="271" t="n"/>
      <c r="D10" s="111" t="inlineStr">
        <is>
          <t>9,76</t>
        </is>
      </c>
      <c r="E10" s="67" t="n">
        <v>9.24</v>
      </c>
      <c r="F10" s="142" t="n">
        <v>9.4</v>
      </c>
      <c r="G10" s="119" t="n">
        <v>9.17</v>
      </c>
      <c r="H10" s="73" t="n">
        <v>9.359999999999999</v>
      </c>
      <c r="I10" s="121" t="n">
        <v>9.109999999999999</v>
      </c>
      <c r="J10" s="76" t="n">
        <v>9.640000000000001</v>
      </c>
      <c r="K10" s="78" t="inlineStr">
        <is>
          <t>A+</t>
        </is>
      </c>
      <c r="L10" s="80" t="inlineStr">
        <is>
          <t>A+</t>
        </is>
      </c>
      <c r="M10" s="122" t="inlineStr">
        <is>
          <t>A+</t>
        </is>
      </c>
      <c r="N10" s="285">
        <f>TRUNC(AVERAGE(D10:J10),2)</f>
        <v/>
      </c>
      <c r="O10" s="88" t="inlineStr">
        <is>
          <t>S</t>
        </is>
      </c>
      <c r="P10" s="89" t="inlineStr">
        <is>
          <t>PROMOVIDO</t>
        </is>
      </c>
      <c r="Q10" s="113" t="inlineStr">
        <is>
          <t>TERCER LUGAR</t>
        </is>
      </c>
      <c r="R10" s="118">
        <f>LARGE(N7:N46,3)</f>
        <v/>
      </c>
      <c r="S10" s="270" t="inlineStr">
        <is>
          <t>SUCUZHAÑAY FERNANDEZ JENNIFER MISHELL</t>
        </is>
      </c>
      <c r="T10" s="271" t="n"/>
    </row>
    <row r="11" ht="15" customHeight="1" s="254">
      <c r="A11" s="56" t="n">
        <v>5</v>
      </c>
      <c r="B11" s="270" t="inlineStr">
        <is>
          <t>BRAVO FERNANDEZ LUIS ANTHONY</t>
        </is>
      </c>
      <c r="C11" s="271" t="n"/>
      <c r="D11" s="111" t="inlineStr">
        <is>
          <t>7,82</t>
        </is>
      </c>
      <c r="E11" s="67" t="n">
        <v>7</v>
      </c>
      <c r="F11" s="142" t="n">
        <v>7.84</v>
      </c>
      <c r="G11" s="119" t="n">
        <v>7.41</v>
      </c>
      <c r="H11" s="73" t="n">
        <v>7.59</v>
      </c>
      <c r="I11" s="121" t="n">
        <v>8.220000000000001</v>
      </c>
      <c r="J11" s="76" t="n">
        <v>8.5</v>
      </c>
      <c r="K11" s="78" t="inlineStr">
        <is>
          <t>B+</t>
        </is>
      </c>
      <c r="L11" s="80" t="inlineStr">
        <is>
          <t>B+</t>
        </is>
      </c>
      <c r="M11" s="122" t="inlineStr">
        <is>
          <t>B+</t>
        </is>
      </c>
      <c r="N11" s="86">
        <f>TRUNC(AVERAGE(D11:J11),2)</f>
        <v/>
      </c>
      <c r="O11" s="88" t="inlineStr">
        <is>
          <t>F</t>
        </is>
      </c>
      <c r="P11" s="89" t="inlineStr">
        <is>
          <t>PROMOVIDO</t>
        </is>
      </c>
    </row>
    <row r="12" ht="15" customHeight="1" s="254">
      <c r="A12" s="56" t="n">
        <v>6</v>
      </c>
      <c r="B12" s="270" t="inlineStr">
        <is>
          <t>CHAPA MARIN ANTHONY TOMAS</t>
        </is>
      </c>
      <c r="C12" s="271" t="n"/>
      <c r="D12" s="111" t="inlineStr">
        <is>
          <t>7,56</t>
        </is>
      </c>
      <c r="E12" s="67" t="n">
        <v>8.08</v>
      </c>
      <c r="F12" s="142" t="n">
        <v>7</v>
      </c>
      <c r="G12" s="119" t="n">
        <v>7.13</v>
      </c>
      <c r="H12" s="73" t="n">
        <v>8.17</v>
      </c>
      <c r="I12" s="121" t="n">
        <v>7.42</v>
      </c>
      <c r="J12" s="76" t="n">
        <v>8.31</v>
      </c>
      <c r="K12" s="78" t="inlineStr">
        <is>
          <t>A-</t>
        </is>
      </c>
      <c r="L12" s="80" t="inlineStr">
        <is>
          <t>A-</t>
        </is>
      </c>
      <c r="M12" s="122" t="inlineStr">
        <is>
          <t>A+</t>
        </is>
      </c>
      <c r="N12" s="86">
        <f>TRUNC(AVERAGE(D12:J12),2)</f>
        <v/>
      </c>
      <c r="O12" s="88" t="inlineStr">
        <is>
          <t>O</t>
        </is>
      </c>
      <c r="P12" s="89" t="inlineStr">
        <is>
          <t>PROMOVIDO</t>
        </is>
      </c>
    </row>
    <row r="13" ht="15" customHeight="1" s="254">
      <c r="A13" s="56" t="n">
        <v>7</v>
      </c>
      <c r="B13" s="287" t="inlineStr">
        <is>
          <t>CHIMBOLEMA AREVALO WILLIAM ELIAS</t>
        </is>
      </c>
      <c r="C13" s="271" t="n"/>
      <c r="D13" s="111" t="inlineStr">
        <is>
          <t>9,03</t>
        </is>
      </c>
      <c r="E13" s="67" t="n">
        <v>9.109999999999999</v>
      </c>
      <c r="F13" s="142" t="n">
        <v>8.65</v>
      </c>
      <c r="G13" s="119" t="n">
        <v>8.25</v>
      </c>
      <c r="H13" s="73" t="n">
        <v>8</v>
      </c>
      <c r="I13" s="121" t="n">
        <v>8.74</v>
      </c>
      <c r="J13" s="76" t="n">
        <v>9.23</v>
      </c>
      <c r="K13" s="78" t="inlineStr">
        <is>
          <t>A-</t>
        </is>
      </c>
      <c r="L13" s="80" t="inlineStr">
        <is>
          <t>A+</t>
        </is>
      </c>
      <c r="M13" s="122" t="inlineStr">
        <is>
          <t>A+</t>
        </is>
      </c>
      <c r="N13" s="285">
        <f>TRUNC(AVERAGE(D13:J13),2)</f>
        <v/>
      </c>
      <c r="O13" s="88" t="inlineStr">
        <is>
          <t>S</t>
        </is>
      </c>
      <c r="P13" s="89" t="inlineStr">
        <is>
          <t>PROMOVIDO</t>
        </is>
      </c>
    </row>
    <row r="14" ht="15" customHeight="1" s="254">
      <c r="A14" s="56" t="n">
        <v>8</v>
      </c>
      <c r="B14" s="287" t="inlineStr">
        <is>
          <t>CRESPO BARROS DAVID SEBASTIAN</t>
        </is>
      </c>
      <c r="C14" s="271" t="n"/>
      <c r="D14" s="111" t="inlineStr">
        <is>
          <t>8,70</t>
        </is>
      </c>
      <c r="E14" s="67" t="n">
        <v>8.800000000000001</v>
      </c>
      <c r="F14" s="142" t="n">
        <v>7.66</v>
      </c>
      <c r="G14" s="119" t="n">
        <v>7.58</v>
      </c>
      <c r="H14" s="73" t="n">
        <v>8.279999999999999</v>
      </c>
      <c r="I14" s="121" t="n">
        <v>8.18</v>
      </c>
      <c r="J14" s="76" t="n">
        <v>8.65</v>
      </c>
      <c r="K14" s="78" t="inlineStr">
        <is>
          <t>A-</t>
        </is>
      </c>
      <c r="L14" s="80" t="inlineStr">
        <is>
          <t>A+</t>
        </is>
      </c>
      <c r="M14" s="122" t="inlineStr">
        <is>
          <t>A+</t>
        </is>
      </c>
      <c r="N14" s="285">
        <f>TRUNC(AVERAGE(D14:J14),2)</f>
        <v/>
      </c>
      <c r="O14" s="88" t="inlineStr">
        <is>
          <t>S</t>
        </is>
      </c>
      <c r="P14" s="89" t="inlineStr">
        <is>
          <t>PROMOVIDO</t>
        </is>
      </c>
    </row>
    <row r="15" ht="15" customHeight="1" s="254">
      <c r="A15" s="56" t="n">
        <v>9</v>
      </c>
      <c r="B15" s="287" t="inlineStr">
        <is>
          <t>FARFAN ALVARADO MAYKEL YAHIR</t>
        </is>
      </c>
      <c r="C15" s="271" t="n"/>
      <c r="D15" s="111" t="inlineStr">
        <is>
          <t>9,53</t>
        </is>
      </c>
      <c r="E15" s="67" t="n">
        <v>9.380000000000001</v>
      </c>
      <c r="F15" s="142" t="n">
        <v>8.699999999999999</v>
      </c>
      <c r="G15" s="119" t="n">
        <v>9.31</v>
      </c>
      <c r="H15" s="73" t="n">
        <v>8.76</v>
      </c>
      <c r="I15" s="121" t="n">
        <v>8.98</v>
      </c>
      <c r="J15" s="76" t="n">
        <v>9.17</v>
      </c>
      <c r="K15" s="78" t="inlineStr">
        <is>
          <t>A-</t>
        </is>
      </c>
      <c r="L15" s="80" t="inlineStr">
        <is>
          <t>A+</t>
        </is>
      </c>
      <c r="M15" s="122" t="inlineStr">
        <is>
          <t>A+</t>
        </is>
      </c>
      <c r="N15" s="285">
        <f>TRUNC(AVERAGE(D15:J15),2)</f>
        <v/>
      </c>
      <c r="O15" s="88" t="inlineStr">
        <is>
          <t>S</t>
        </is>
      </c>
      <c r="P15" s="89" t="inlineStr">
        <is>
          <t>PROMOVIDO</t>
        </is>
      </c>
    </row>
    <row r="16" ht="15" customHeight="1" s="254">
      <c r="A16" s="56" t="n">
        <v>10</v>
      </c>
      <c r="B16" s="287" t="inlineStr">
        <is>
          <t>GUALLPA JARA NATHALY GABRIELA</t>
        </is>
      </c>
      <c r="C16" s="271" t="n"/>
      <c r="D16" s="111" t="inlineStr">
        <is>
          <t>8,33</t>
        </is>
      </c>
      <c r="E16" s="67" t="n">
        <v>7.86</v>
      </c>
      <c r="F16" s="142" t="n">
        <v>7.97</v>
      </c>
      <c r="G16" s="119" t="n">
        <v>7.91</v>
      </c>
      <c r="H16" s="73" t="n">
        <v>7.77</v>
      </c>
      <c r="I16" s="121" t="n">
        <v>8.279999999999999</v>
      </c>
      <c r="J16" s="76" t="n">
        <v>8.33</v>
      </c>
      <c r="K16" s="78" t="inlineStr">
        <is>
          <t>A+</t>
        </is>
      </c>
      <c r="L16" s="80" t="inlineStr">
        <is>
          <t>A-</t>
        </is>
      </c>
      <c r="M16" s="122" t="inlineStr">
        <is>
          <t>A+</t>
        </is>
      </c>
      <c r="N16" s="285">
        <f>TRUNC(AVERAGE(D16:J16),2)</f>
        <v/>
      </c>
      <c r="O16" s="88" t="inlineStr">
        <is>
          <t>S</t>
        </is>
      </c>
      <c r="P16" s="89" t="inlineStr">
        <is>
          <t>PROMOVIDO</t>
        </is>
      </c>
    </row>
    <row r="17" ht="15" customHeight="1" s="254">
      <c r="A17" s="56" t="n">
        <v>11</v>
      </c>
      <c r="B17" s="270" t="inlineStr">
        <is>
          <t>JARA GUZHÑAY SAMANTHA ABIGAIL</t>
        </is>
      </c>
      <c r="C17" s="271" t="n"/>
      <c r="D17" s="111" t="inlineStr">
        <is>
          <t>9,06</t>
        </is>
      </c>
      <c r="E17" s="67" t="n">
        <v>8.49</v>
      </c>
      <c r="F17" s="142" t="n">
        <v>8.949999999999999</v>
      </c>
      <c r="G17" s="119" t="n">
        <v>9.18</v>
      </c>
      <c r="H17" s="73" t="n">
        <v>8.92</v>
      </c>
      <c r="I17" s="121" t="n">
        <v>8.85</v>
      </c>
      <c r="J17" s="76" t="n">
        <v>9.710000000000001</v>
      </c>
      <c r="K17" s="78" t="inlineStr">
        <is>
          <t>A+</t>
        </is>
      </c>
      <c r="L17" s="80" t="inlineStr">
        <is>
          <t>A+</t>
        </is>
      </c>
      <c r="M17" s="122" t="inlineStr">
        <is>
          <t>A+</t>
        </is>
      </c>
      <c r="N17" s="86">
        <f>TRUNC(AVERAGE(D17:J17),2)</f>
        <v/>
      </c>
      <c r="O17" s="88" t="inlineStr">
        <is>
          <t>S</t>
        </is>
      </c>
      <c r="P17" s="89" t="inlineStr">
        <is>
          <t>PROMOVIDO</t>
        </is>
      </c>
    </row>
    <row r="18" ht="15" customHeight="1" s="254">
      <c r="A18" s="56" t="n">
        <v>12</v>
      </c>
      <c r="B18" s="286" t="inlineStr">
        <is>
          <t>JUELA GOMEZ DOMENICA VALENTINA</t>
        </is>
      </c>
      <c r="C18" s="269" t="n"/>
      <c r="D18" s="111" t="inlineStr">
        <is>
          <t>9,52</t>
        </is>
      </c>
      <c r="E18" s="67" t="n">
        <v>9.130000000000001</v>
      </c>
      <c r="F18" s="142" t="n">
        <v>8.85</v>
      </c>
      <c r="G18" s="119" t="n">
        <v>9.119999999999999</v>
      </c>
      <c r="H18" s="73" t="n">
        <v>8.279999999999999</v>
      </c>
      <c r="I18" s="121" t="n">
        <v>8.85</v>
      </c>
      <c r="J18" s="76" t="n">
        <v>9.449999999999999</v>
      </c>
      <c r="K18" s="78" t="inlineStr">
        <is>
          <t>A+</t>
        </is>
      </c>
      <c r="L18" s="80" t="inlineStr">
        <is>
          <t>A+</t>
        </is>
      </c>
      <c r="M18" s="122" t="inlineStr">
        <is>
          <t>A+</t>
        </is>
      </c>
      <c r="N18" s="285">
        <f>TRUNC(AVERAGE(D18:J18),2)</f>
        <v/>
      </c>
      <c r="O18" s="88" t="inlineStr">
        <is>
          <t>S</t>
        </is>
      </c>
      <c r="P18" s="89" t="inlineStr">
        <is>
          <t>PROMOVIDO</t>
        </is>
      </c>
    </row>
    <row r="19" ht="15" customHeight="1" s="254">
      <c r="A19" s="56" t="n">
        <v>13</v>
      </c>
      <c r="B19" s="287" t="inlineStr">
        <is>
          <t>LONDA ASMAL ANDERSON JULIAN</t>
        </is>
      </c>
      <c r="C19" s="271" t="n"/>
      <c r="D19" s="111" t="inlineStr">
        <is>
          <t>8,03</t>
        </is>
      </c>
      <c r="E19" s="67" t="n">
        <v>7</v>
      </c>
      <c r="F19" s="142" t="n">
        <v>7</v>
      </c>
      <c r="G19" s="119" t="n">
        <v>7.15</v>
      </c>
      <c r="H19" s="73" t="n">
        <v>7</v>
      </c>
      <c r="I19" s="121" t="n">
        <v>7.72</v>
      </c>
      <c r="J19" s="288" t="n">
        <v>7.57</v>
      </c>
      <c r="K19" s="78" t="inlineStr">
        <is>
          <t>B+</t>
        </is>
      </c>
      <c r="L19" s="80" t="inlineStr">
        <is>
          <t>A-</t>
        </is>
      </c>
      <c r="M19" s="122" t="inlineStr">
        <is>
          <t>A+</t>
        </is>
      </c>
      <c r="N19" s="285">
        <f>TRUNC(AVERAGE(D19:J19),2)</f>
        <v/>
      </c>
      <c r="O19" s="88" t="inlineStr">
        <is>
          <t>S</t>
        </is>
      </c>
      <c r="P19" s="89" t="inlineStr">
        <is>
          <t>PROMOVIDO</t>
        </is>
      </c>
    </row>
    <row r="20" ht="15" customHeight="1" s="254">
      <c r="A20" s="56" t="n">
        <v>14</v>
      </c>
      <c r="B20" s="287" t="inlineStr">
        <is>
          <t>LONDA PASTUIZACA ANTONY MATEO</t>
        </is>
      </c>
      <c r="C20" s="271" t="n"/>
      <c r="D20" s="111" t="inlineStr">
        <is>
          <t>9,02</t>
        </is>
      </c>
      <c r="E20" s="67" t="n">
        <v>7.18</v>
      </c>
      <c r="F20" s="142" t="n">
        <v>8.220000000000001</v>
      </c>
      <c r="G20" s="119" t="n">
        <v>7.99</v>
      </c>
      <c r="H20" s="73" t="n">
        <v>7.95</v>
      </c>
      <c r="I20" s="121" t="n">
        <v>7.98</v>
      </c>
      <c r="J20" s="76" t="n">
        <v>8.84</v>
      </c>
      <c r="K20" s="78" t="inlineStr">
        <is>
          <t>A-</t>
        </is>
      </c>
      <c r="L20" s="80" t="inlineStr">
        <is>
          <t>A-</t>
        </is>
      </c>
      <c r="M20" s="122" t="inlineStr">
        <is>
          <t>B+</t>
        </is>
      </c>
      <c r="N20" s="285">
        <f>TRUNC(AVERAGE(D20:J20),2)</f>
        <v/>
      </c>
      <c r="O20" s="88" t="inlineStr">
        <is>
          <t>S</t>
        </is>
      </c>
      <c r="P20" s="89" t="inlineStr">
        <is>
          <t>PROMOVIDO</t>
        </is>
      </c>
    </row>
    <row r="21" ht="15" customHeight="1" s="254">
      <c r="A21" s="56" t="n">
        <v>15</v>
      </c>
      <c r="B21" s="270" t="inlineStr">
        <is>
          <t xml:space="preserve">LOZADA FAJARDO JUSTIN SEBASTIAN </t>
        </is>
      </c>
      <c r="C21" s="271" t="n"/>
      <c r="D21" s="111" t="inlineStr">
        <is>
          <t>7,80</t>
        </is>
      </c>
      <c r="E21" s="67" t="n">
        <v>7.29</v>
      </c>
      <c r="F21" s="142" t="n">
        <v>7.4</v>
      </c>
      <c r="G21" s="119" t="n">
        <v>7.66</v>
      </c>
      <c r="H21" s="73" t="n">
        <v>7.76</v>
      </c>
      <c r="I21" s="121" t="n">
        <v>8.08</v>
      </c>
      <c r="J21" s="76" t="n">
        <v>8.720000000000001</v>
      </c>
      <c r="K21" s="78" t="inlineStr">
        <is>
          <t>A-</t>
        </is>
      </c>
      <c r="L21" s="80" t="inlineStr">
        <is>
          <t>A+</t>
        </is>
      </c>
      <c r="M21" s="122" t="inlineStr">
        <is>
          <t>A-</t>
        </is>
      </c>
      <c r="N21" s="86">
        <f>TRUNC(AVERAGE(D21:J21),2)</f>
        <v/>
      </c>
      <c r="O21" s="88" t="inlineStr">
        <is>
          <t>S</t>
        </is>
      </c>
      <c r="P21" s="89" t="inlineStr">
        <is>
          <t>PROMOVIDO</t>
        </is>
      </c>
    </row>
    <row r="22" ht="15" customHeight="1" s="254">
      <c r="A22" s="56" t="n">
        <v>16</v>
      </c>
      <c r="B22" s="270" t="inlineStr">
        <is>
          <t>MAXI SIAVICHAY ANTHONY ALEXIS</t>
        </is>
      </c>
      <c r="C22" s="271" t="n"/>
      <c r="D22" s="111" t="inlineStr">
        <is>
          <t>9,96</t>
        </is>
      </c>
      <c r="E22" s="67" t="n">
        <v>9.859999999999999</v>
      </c>
      <c r="F22" s="142" t="n">
        <v>9.800000000000001</v>
      </c>
      <c r="G22" s="119" t="n">
        <v>9.869999999999999</v>
      </c>
      <c r="H22" s="73" t="n">
        <v>9.640000000000001</v>
      </c>
      <c r="I22" s="121" t="n">
        <v>9.880000000000001</v>
      </c>
      <c r="J22" s="76" t="n">
        <v>9.98</v>
      </c>
      <c r="K22" s="78" t="inlineStr">
        <is>
          <t>A+</t>
        </is>
      </c>
      <c r="L22" s="80" t="inlineStr">
        <is>
          <t>A+</t>
        </is>
      </c>
      <c r="M22" s="122" t="inlineStr">
        <is>
          <t>A+</t>
        </is>
      </c>
      <c r="N22" s="86">
        <f>TRUNC(AVERAGE(D22:J22),2)</f>
        <v/>
      </c>
      <c r="O22" s="88" t="inlineStr">
        <is>
          <t>S</t>
        </is>
      </c>
      <c r="P22" s="89" t="inlineStr">
        <is>
          <t>PROMOVIDO</t>
        </is>
      </c>
    </row>
    <row r="23" ht="15" customHeight="1" s="254">
      <c r="A23" s="56" t="n">
        <v>17</v>
      </c>
      <c r="B23" s="287" t="inlineStr">
        <is>
          <t>MAYORGA JIMBO CHRISTOFER STALIN</t>
        </is>
      </c>
      <c r="C23" s="271" t="n"/>
      <c r="D23" s="111" t="inlineStr">
        <is>
          <t>7,12</t>
        </is>
      </c>
      <c r="E23" s="137" t="n">
        <v>7.58</v>
      </c>
      <c r="F23" s="142" t="n">
        <v>7.06</v>
      </c>
      <c r="G23" s="119" t="n">
        <v>7.07</v>
      </c>
      <c r="H23" s="73" t="n">
        <v>7.09</v>
      </c>
      <c r="I23" s="121" t="n">
        <v>7.5</v>
      </c>
      <c r="J23" s="76" t="n">
        <v>7.97</v>
      </c>
      <c r="K23" s="78" t="inlineStr">
        <is>
          <t>B+</t>
        </is>
      </c>
      <c r="L23" s="80" t="inlineStr">
        <is>
          <t>A-</t>
        </is>
      </c>
      <c r="M23" s="122" t="inlineStr">
        <is>
          <t>A+</t>
        </is>
      </c>
      <c r="N23" s="285">
        <f>TRUNC(AVERAGE(D23:J23),2)</f>
        <v/>
      </c>
      <c r="O23" s="88" t="inlineStr">
        <is>
          <t>F</t>
        </is>
      </c>
      <c r="P23" s="89" t="inlineStr">
        <is>
          <t>PROMOVIDO</t>
        </is>
      </c>
    </row>
    <row r="24" ht="15" customHeight="1" s="254">
      <c r="A24" s="56" t="n">
        <v>18</v>
      </c>
      <c r="B24" s="270" t="inlineStr">
        <is>
          <t>MENDOZA ROMAN MATIAS ALEJANDRO</t>
        </is>
      </c>
      <c r="C24" s="271" t="n"/>
      <c r="D24" s="111" t="inlineStr">
        <is>
          <t>9,78</t>
        </is>
      </c>
      <c r="E24" s="67" t="n">
        <v>9.869999999999999</v>
      </c>
      <c r="F24" s="142" t="n">
        <v>9.609999999999999</v>
      </c>
      <c r="G24" s="119" t="n">
        <v>9.720000000000001</v>
      </c>
      <c r="H24" s="73" t="n">
        <v>9.69</v>
      </c>
      <c r="I24" s="121" t="n">
        <v>9.34</v>
      </c>
      <c r="J24" s="76" t="n">
        <v>9.869999999999999</v>
      </c>
      <c r="K24" s="78" t="inlineStr">
        <is>
          <t>A+</t>
        </is>
      </c>
      <c r="L24" s="80" t="inlineStr">
        <is>
          <t>A+</t>
        </is>
      </c>
      <c r="M24" s="122" t="inlineStr">
        <is>
          <t>B+</t>
        </is>
      </c>
      <c r="N24" s="86">
        <f>TRUNC(AVERAGE(D24:J24),2)</f>
        <v/>
      </c>
      <c r="O24" s="88" t="inlineStr">
        <is>
          <t>S</t>
        </is>
      </c>
      <c r="P24" s="89" t="inlineStr">
        <is>
          <t>PROMOVIDO</t>
        </is>
      </c>
    </row>
    <row r="25" ht="15" customHeight="1" s="254">
      <c r="A25" s="56" t="n">
        <v>19</v>
      </c>
      <c r="B25" s="287" t="inlineStr">
        <is>
          <t>MOROCHO HERNANDEZ KIMBERLY IVANA</t>
        </is>
      </c>
      <c r="C25" s="271" t="n"/>
      <c r="D25" s="111" t="inlineStr">
        <is>
          <t>8,39</t>
        </is>
      </c>
      <c r="E25" s="67" t="n">
        <v>7.31</v>
      </c>
      <c r="F25" s="142" t="n">
        <v>8.539999999999999</v>
      </c>
      <c r="G25" s="119" t="n">
        <v>7.98</v>
      </c>
      <c r="H25" s="73" t="n">
        <v>7.35</v>
      </c>
      <c r="I25" s="121" t="n">
        <v>8.050000000000001</v>
      </c>
      <c r="J25" s="76" t="n">
        <v>8.01</v>
      </c>
      <c r="K25" s="78" t="inlineStr">
        <is>
          <t>A-</t>
        </is>
      </c>
      <c r="L25" s="80" t="inlineStr">
        <is>
          <t>A-</t>
        </is>
      </c>
      <c r="M25" s="122" t="inlineStr">
        <is>
          <t>B+</t>
        </is>
      </c>
      <c r="N25" s="285">
        <f>TRUNC(AVERAGE(D25:J25),2)</f>
        <v/>
      </c>
      <c r="O25" s="88" t="inlineStr">
        <is>
          <t>S</t>
        </is>
      </c>
      <c r="P25" s="89" t="inlineStr">
        <is>
          <t>PROMOVIDO</t>
        </is>
      </c>
    </row>
    <row r="26" ht="15" customHeight="1" s="254">
      <c r="A26" s="56" t="n">
        <v>20</v>
      </c>
      <c r="B26" s="287" t="inlineStr">
        <is>
          <t>NACIPUCHA NACIPUCHA EDWIN ANDRES</t>
        </is>
      </c>
      <c r="C26" s="271" t="n"/>
      <c r="D26" s="111" t="inlineStr">
        <is>
          <t>9,09</t>
        </is>
      </c>
      <c r="E26" s="67" t="n">
        <v>8.960000000000001</v>
      </c>
      <c r="F26" s="142" t="n">
        <v>8.24</v>
      </c>
      <c r="G26" s="289" t="n">
        <v>8.15</v>
      </c>
      <c r="H26" s="73" t="n">
        <v>8.65</v>
      </c>
      <c r="I26" s="121" t="n">
        <v>8.699999999999999</v>
      </c>
      <c r="J26" s="76" t="n">
        <v>9.140000000000001</v>
      </c>
      <c r="K26" s="78" t="inlineStr">
        <is>
          <t>A+</t>
        </is>
      </c>
      <c r="L26" s="80" t="inlineStr">
        <is>
          <t>A-</t>
        </is>
      </c>
      <c r="M26" s="122" t="inlineStr">
        <is>
          <t>A+</t>
        </is>
      </c>
      <c r="N26" s="285">
        <f>TRUNC(AVERAGE(D26:J26),2)</f>
        <v/>
      </c>
      <c r="O26" s="88" t="inlineStr">
        <is>
          <t>S</t>
        </is>
      </c>
      <c r="P26" s="89" t="inlineStr">
        <is>
          <t>PROMOVIDO</t>
        </is>
      </c>
    </row>
    <row r="27" ht="15" customHeight="1" s="254">
      <c r="A27" s="56" t="n">
        <v>21</v>
      </c>
      <c r="B27" s="270" t="inlineStr">
        <is>
          <t>NIVICELA ESPINOZA OSCAR AARON</t>
        </is>
      </c>
      <c r="C27" s="271" t="n"/>
      <c r="D27" s="111" t="n">
        <v>7.01</v>
      </c>
      <c r="E27" s="67" t="n">
        <v>7.04</v>
      </c>
      <c r="F27" s="142" t="n">
        <v>7.02</v>
      </c>
      <c r="G27" s="119" t="n">
        <v>7.06</v>
      </c>
      <c r="H27" s="73" t="n">
        <v>7.06</v>
      </c>
      <c r="I27" s="121" t="n">
        <v>7.08</v>
      </c>
      <c r="J27" s="76" t="n">
        <v>7.45</v>
      </c>
      <c r="K27" s="78" t="inlineStr">
        <is>
          <t>B+</t>
        </is>
      </c>
      <c r="L27" s="80" t="inlineStr">
        <is>
          <t>B+</t>
        </is>
      </c>
      <c r="M27" s="122" t="inlineStr">
        <is>
          <t>A-</t>
        </is>
      </c>
      <c r="N27" s="86">
        <f>TRUNC(AVERAGE(D27:J27),2)</f>
        <v/>
      </c>
      <c r="O27" s="88" t="inlineStr">
        <is>
          <t>O</t>
        </is>
      </c>
      <c r="P27" s="89" t="inlineStr">
        <is>
          <t>PROMOVIDO</t>
        </is>
      </c>
    </row>
    <row r="28" ht="18" customHeight="1" s="254">
      <c r="A28" s="56" t="n">
        <v>22</v>
      </c>
      <c r="B28" s="270" t="inlineStr">
        <is>
          <t>PACHECO BARBECHO NIQUEL ALEXANDER</t>
        </is>
      </c>
      <c r="C28" s="271" t="n"/>
      <c r="D28" s="111" t="inlineStr">
        <is>
          <t>7,83</t>
        </is>
      </c>
      <c r="E28" s="137" t="n">
        <v>8.140000000000001</v>
      </c>
      <c r="F28" s="142" t="n">
        <v>7.08</v>
      </c>
      <c r="G28" s="119" t="n">
        <v>7.54</v>
      </c>
      <c r="H28" s="73" t="n">
        <v>8.130000000000001</v>
      </c>
      <c r="I28" s="121" t="n">
        <v>8.18</v>
      </c>
      <c r="J28" s="76" t="n">
        <v>8.5</v>
      </c>
      <c r="K28" s="78" t="inlineStr">
        <is>
          <t>A+</t>
        </is>
      </c>
      <c r="L28" s="80" t="inlineStr">
        <is>
          <t>A-</t>
        </is>
      </c>
      <c r="M28" s="122" t="inlineStr">
        <is>
          <t>A-</t>
        </is>
      </c>
      <c r="N28" s="86">
        <f>TRUNC(AVERAGE(D28:J28),2)</f>
        <v/>
      </c>
      <c r="O28" s="88" t="inlineStr">
        <is>
          <t>S</t>
        </is>
      </c>
      <c r="P28" s="89" t="inlineStr">
        <is>
          <t>PROMOVIDO</t>
        </is>
      </c>
    </row>
    <row r="29" ht="15" customHeight="1" s="254">
      <c r="A29" s="56" t="n">
        <v>23</v>
      </c>
      <c r="B29" s="287" t="inlineStr">
        <is>
          <t>PERALTA PUCHA JORDAN EDUARDO</t>
        </is>
      </c>
      <c r="C29" s="271" t="n"/>
      <c r="D29" s="111" t="n">
        <v>5.24</v>
      </c>
      <c r="E29" s="67" t="n">
        <v>4.44</v>
      </c>
      <c r="F29" s="142" t="n">
        <v>5.1</v>
      </c>
      <c r="G29" s="289" t="n">
        <v>3.68</v>
      </c>
      <c r="H29" s="288" t="n">
        <v>4.75</v>
      </c>
      <c r="I29" s="121" t="n">
        <v>5.09</v>
      </c>
      <c r="J29" s="288" t="n">
        <v>4.5</v>
      </c>
      <c r="K29" s="78" t="inlineStr">
        <is>
          <t>C-</t>
        </is>
      </c>
      <c r="L29" s="80" t="inlineStr">
        <is>
          <t xml:space="preserve">C- </t>
        </is>
      </c>
      <c r="M29" s="122" t="n"/>
      <c r="N29" s="285">
        <f>TRUNC(AVERAGE(D29:J29),2)</f>
        <v/>
      </c>
      <c r="O29" s="88" t="inlineStr">
        <is>
          <t>N</t>
        </is>
      </c>
      <c r="P29" s="143" t="inlineStr">
        <is>
          <t>DESERTOR</t>
        </is>
      </c>
    </row>
    <row r="30" ht="18" customHeight="1" s="254">
      <c r="A30" s="56" t="n">
        <v>24</v>
      </c>
      <c r="B30" s="287" t="inlineStr">
        <is>
          <t>PIÑA LLANGARI NICOLE DOMENICA</t>
        </is>
      </c>
      <c r="C30" s="271" t="n"/>
      <c r="D30" s="111" t="inlineStr">
        <is>
          <t>8,71</t>
        </is>
      </c>
      <c r="E30" s="67" t="n">
        <v>8.33</v>
      </c>
      <c r="F30" s="142" t="n">
        <v>8.4</v>
      </c>
      <c r="G30" s="119" t="n">
        <v>7.92</v>
      </c>
      <c r="H30" s="73" t="n">
        <v>7.54</v>
      </c>
      <c r="I30" s="121" t="n">
        <v>8.67</v>
      </c>
      <c r="J30" s="76" t="n">
        <v>8.74</v>
      </c>
      <c r="K30" s="78" t="inlineStr">
        <is>
          <t>A+</t>
        </is>
      </c>
      <c r="L30" s="80" t="inlineStr">
        <is>
          <t>A+</t>
        </is>
      </c>
      <c r="M30" s="122" t="inlineStr">
        <is>
          <t>A+</t>
        </is>
      </c>
      <c r="N30" s="285">
        <f>TRUNC(AVERAGE(D30:J30),2)</f>
        <v/>
      </c>
      <c r="O30" s="88" t="inlineStr">
        <is>
          <t>S</t>
        </is>
      </c>
      <c r="P30" s="89" t="inlineStr">
        <is>
          <t>PROMOVIDO</t>
        </is>
      </c>
    </row>
    <row r="31" ht="15" customHeight="1" s="254">
      <c r="A31" s="56" t="n">
        <v>25</v>
      </c>
      <c r="B31" s="287" t="inlineStr">
        <is>
          <t>QUINDE ZUMBA DANIEL ANDRES</t>
        </is>
      </c>
      <c r="C31" s="271" t="n"/>
      <c r="D31" s="111" t="inlineStr">
        <is>
          <t>9,86</t>
        </is>
      </c>
      <c r="E31" s="67" t="n">
        <v>9.85</v>
      </c>
      <c r="F31" s="142" t="n">
        <v>9.75</v>
      </c>
      <c r="G31" s="119" t="n">
        <v>9.75</v>
      </c>
      <c r="H31" s="288" t="n">
        <v>10</v>
      </c>
      <c r="I31" s="121" t="n">
        <v>9.9</v>
      </c>
      <c r="J31" s="76" t="n">
        <v>9.99</v>
      </c>
      <c r="K31" s="78" t="inlineStr">
        <is>
          <t>A+</t>
        </is>
      </c>
      <c r="L31" s="80" t="inlineStr">
        <is>
          <t>A+</t>
        </is>
      </c>
      <c r="M31" s="122" t="inlineStr">
        <is>
          <t>A+</t>
        </is>
      </c>
      <c r="N31" s="86">
        <f>TRUNC(AVERAGE(D31:J31),2)</f>
        <v/>
      </c>
      <c r="O31" s="88" t="inlineStr">
        <is>
          <t>S</t>
        </is>
      </c>
      <c r="P31" s="89" t="inlineStr">
        <is>
          <t>PROMOVIDO</t>
        </is>
      </c>
    </row>
    <row r="32" ht="15" customHeight="1" s="254">
      <c r="A32" s="56" t="n">
        <v>26</v>
      </c>
      <c r="B32" s="270" t="inlineStr">
        <is>
          <t>ROBLES MURILLO ANTHONY JHOSUE</t>
        </is>
      </c>
      <c r="C32" s="271" t="n"/>
      <c r="D32" s="111" t="inlineStr">
        <is>
          <t>7,22</t>
        </is>
      </c>
      <c r="E32" s="67" t="n">
        <v>7.23</v>
      </c>
      <c r="F32" s="142" t="n">
        <v>7.12</v>
      </c>
      <c r="G32" s="119" t="n">
        <v>7.02</v>
      </c>
      <c r="H32" s="73" t="n">
        <v>7.2</v>
      </c>
      <c r="I32" s="121" t="n">
        <v>7.38</v>
      </c>
      <c r="J32" s="76" t="n">
        <v>7.95</v>
      </c>
      <c r="K32" s="78" t="inlineStr">
        <is>
          <t>A-</t>
        </is>
      </c>
      <c r="L32" s="80" t="inlineStr">
        <is>
          <t>A-</t>
        </is>
      </c>
      <c r="M32" s="122" t="inlineStr">
        <is>
          <t>A+</t>
        </is>
      </c>
      <c r="N32" s="86">
        <f>TRUNC(AVERAGE(D32:J32),2)</f>
        <v/>
      </c>
      <c r="O32" s="88" t="inlineStr">
        <is>
          <t>S</t>
        </is>
      </c>
      <c r="P32" s="89" t="inlineStr">
        <is>
          <t>PROMOVIDO</t>
        </is>
      </c>
    </row>
    <row r="33" ht="15" customHeight="1" s="254">
      <c r="A33" s="56" t="n">
        <v>27</v>
      </c>
      <c r="B33" s="270" t="inlineStr">
        <is>
          <t>SIAVICHAY LEMA MELANY ALEXANDRA</t>
        </is>
      </c>
      <c r="C33" s="271" t="n"/>
      <c r="D33" s="111" t="inlineStr">
        <is>
          <t>9,64</t>
        </is>
      </c>
      <c r="E33" s="67" t="n">
        <v>9.380000000000001</v>
      </c>
      <c r="F33" s="142" t="n">
        <v>9.49</v>
      </c>
      <c r="G33" s="119" t="n">
        <v>9.59</v>
      </c>
      <c r="H33" s="73" t="n">
        <v>9.630000000000001</v>
      </c>
      <c r="I33" s="121" t="n">
        <v>9.57</v>
      </c>
      <c r="J33" s="76" t="n">
        <v>9.56</v>
      </c>
      <c r="K33" s="78" t="inlineStr">
        <is>
          <t>A+</t>
        </is>
      </c>
      <c r="L33" s="80" t="inlineStr">
        <is>
          <t>A+</t>
        </is>
      </c>
      <c r="M33" s="122" t="inlineStr">
        <is>
          <t>A+</t>
        </is>
      </c>
      <c r="N33" s="86">
        <f>TRUNC(AVERAGE(D33:J33),2)</f>
        <v/>
      </c>
      <c r="O33" s="88" t="inlineStr">
        <is>
          <t>S</t>
        </is>
      </c>
      <c r="P33" s="89" t="inlineStr">
        <is>
          <t>PROMOVIDO</t>
        </is>
      </c>
    </row>
    <row r="34" ht="15" customHeight="1" s="254">
      <c r="A34" s="56" t="n">
        <v>28</v>
      </c>
      <c r="B34" s="287" t="inlineStr">
        <is>
          <t>SONGOR MUZHA ASHLEY NICOLE</t>
        </is>
      </c>
      <c r="C34" s="271" t="n"/>
      <c r="D34" s="111" t="inlineStr">
        <is>
          <t>8,97</t>
        </is>
      </c>
      <c r="E34" s="67" t="n">
        <v>8.529999999999999</v>
      </c>
      <c r="F34" s="142" t="n">
        <v>7.72</v>
      </c>
      <c r="G34" s="119" t="n">
        <v>8.24</v>
      </c>
      <c r="H34" s="73" t="n">
        <v>8.01</v>
      </c>
      <c r="I34" s="121" t="n">
        <v>8.17</v>
      </c>
      <c r="J34" s="76" t="n">
        <v>8.94</v>
      </c>
      <c r="K34" s="78" t="inlineStr">
        <is>
          <t>A+</t>
        </is>
      </c>
      <c r="L34" s="80" t="inlineStr">
        <is>
          <t>A-</t>
        </is>
      </c>
      <c r="M34" s="122" t="inlineStr">
        <is>
          <t>A-</t>
        </is>
      </c>
      <c r="N34" s="285">
        <f>TRUNC(AVERAGE(D34:J34),2)</f>
        <v/>
      </c>
      <c r="O34" s="88" t="inlineStr">
        <is>
          <t>S</t>
        </is>
      </c>
      <c r="P34" s="89" t="inlineStr">
        <is>
          <t>PROMOVIDO</t>
        </is>
      </c>
    </row>
    <row r="35" ht="15" customHeight="1" s="254">
      <c r="A35" s="56" t="n">
        <v>29</v>
      </c>
      <c r="B35" s="287" t="inlineStr">
        <is>
          <t>SUCUZHAÑAY FERNANDEZ JENNIFER MISHELL</t>
        </is>
      </c>
      <c r="C35" s="271" t="n"/>
      <c r="D35" s="111" t="inlineStr">
        <is>
          <t>9,87</t>
        </is>
      </c>
      <c r="E35" s="67" t="n">
        <v>9.76</v>
      </c>
      <c r="F35" s="142" t="n">
        <v>9.640000000000001</v>
      </c>
      <c r="G35" s="119" t="n">
        <v>9.76</v>
      </c>
      <c r="H35" s="73" t="n">
        <v>9.74</v>
      </c>
      <c r="I35" s="121" t="n">
        <v>9.74</v>
      </c>
      <c r="J35" s="76" t="n">
        <v>9.67</v>
      </c>
      <c r="K35" s="78" t="inlineStr">
        <is>
          <t>A+</t>
        </is>
      </c>
      <c r="L35" s="80" t="inlineStr">
        <is>
          <t>A+</t>
        </is>
      </c>
      <c r="M35" s="122" t="inlineStr">
        <is>
          <t>A+</t>
        </is>
      </c>
      <c r="N35" s="285">
        <f>TRUNC(AVERAGE(D35:J35),2)</f>
        <v/>
      </c>
      <c r="O35" s="88" t="inlineStr">
        <is>
          <t>S</t>
        </is>
      </c>
      <c r="P35" s="89" t="inlineStr">
        <is>
          <t>PROMOVIDO</t>
        </is>
      </c>
    </row>
    <row r="36" ht="15" customHeight="1" s="254">
      <c r="A36" s="56" t="n">
        <v>30</v>
      </c>
      <c r="B36" s="287" t="inlineStr">
        <is>
          <t>SUIN PERALTA DIEGO EMILIO</t>
        </is>
      </c>
      <c r="C36" s="271" t="n"/>
      <c r="D36" s="111" t="inlineStr">
        <is>
          <t>7,70</t>
        </is>
      </c>
      <c r="E36" s="67" t="n">
        <v>7</v>
      </c>
      <c r="F36" s="142" t="n">
        <v>7.11</v>
      </c>
      <c r="G36" s="119" t="n">
        <v>7.03</v>
      </c>
      <c r="H36" s="73" t="n">
        <v>7.87</v>
      </c>
      <c r="I36" s="121" t="n">
        <v>7.83</v>
      </c>
      <c r="J36" s="288" t="n">
        <v>7.77</v>
      </c>
      <c r="K36" s="78" t="inlineStr">
        <is>
          <t>A+</t>
        </is>
      </c>
      <c r="L36" s="80" t="inlineStr">
        <is>
          <t>A-</t>
        </is>
      </c>
      <c r="M36" s="122" t="inlineStr">
        <is>
          <t>A-</t>
        </is>
      </c>
      <c r="N36" s="285">
        <f>TRUNC(AVERAGE(D36:J36),2)</f>
        <v/>
      </c>
      <c r="O36" s="88" t="inlineStr">
        <is>
          <t>S</t>
        </is>
      </c>
      <c r="P36" s="89" t="inlineStr">
        <is>
          <t>PROMOVIDO</t>
        </is>
      </c>
    </row>
    <row r="37" ht="15" customHeight="1" s="254">
      <c r="A37" s="56" t="n">
        <v>31</v>
      </c>
      <c r="B37" s="287" t="inlineStr">
        <is>
          <t>TACURI NAVARRO AMANDA PAOLA</t>
        </is>
      </c>
      <c r="C37" s="271" t="n"/>
      <c r="D37" s="111" t="inlineStr">
        <is>
          <t>8,19</t>
        </is>
      </c>
      <c r="E37" s="67" t="n">
        <v>7.79</v>
      </c>
      <c r="F37" s="142" t="n">
        <v>7.86</v>
      </c>
      <c r="G37" s="119" t="n">
        <v>8.19</v>
      </c>
      <c r="H37" s="73" t="n">
        <v>7.4</v>
      </c>
      <c r="I37" s="121" t="n">
        <v>7.91</v>
      </c>
      <c r="J37" s="76" t="n">
        <v>8.710000000000001</v>
      </c>
      <c r="K37" s="78" t="inlineStr">
        <is>
          <t>A-</t>
        </is>
      </c>
      <c r="L37" s="80" t="inlineStr">
        <is>
          <t>A+</t>
        </is>
      </c>
      <c r="M37" s="122" t="inlineStr">
        <is>
          <t>A+</t>
        </is>
      </c>
      <c r="N37" s="285">
        <f>TRUNC(AVERAGE(D37:J37),2)</f>
        <v/>
      </c>
      <c r="O37" s="88" t="inlineStr">
        <is>
          <t>S</t>
        </is>
      </c>
      <c r="P37" s="89" t="inlineStr">
        <is>
          <t>PROMOVIDO</t>
        </is>
      </c>
    </row>
    <row r="38" ht="15" customHeight="1" s="254">
      <c r="A38" s="56" t="n">
        <v>32</v>
      </c>
      <c r="B38" s="287" t="inlineStr">
        <is>
          <t>TACURI PINTADO RIHANNA TIFFANNY</t>
        </is>
      </c>
      <c r="C38" s="271" t="n"/>
      <c r="D38" s="111" t="n">
        <v>7</v>
      </c>
      <c r="E38" s="67" t="n">
        <v>7</v>
      </c>
      <c r="F38" s="142" t="n">
        <v>5.52</v>
      </c>
      <c r="G38" s="119" t="n">
        <v>4.94</v>
      </c>
      <c r="H38" s="288" t="n">
        <v>6.92</v>
      </c>
      <c r="I38" s="121" t="n">
        <v>7.19</v>
      </c>
      <c r="J38" s="288" t="n">
        <v>7.47</v>
      </c>
      <c r="K38" s="78" t="inlineStr">
        <is>
          <t>A-</t>
        </is>
      </c>
      <c r="L38" s="80" t="inlineStr">
        <is>
          <t>B+</t>
        </is>
      </c>
      <c r="M38" s="122" t="inlineStr">
        <is>
          <t>A-</t>
        </is>
      </c>
      <c r="N38" s="285">
        <f>TRUNC(AVERAGE(D38:J38),2)</f>
        <v/>
      </c>
      <c r="O38" s="88" t="inlineStr">
        <is>
          <t>F</t>
        </is>
      </c>
      <c r="P38" s="143" t="inlineStr">
        <is>
          <t>NO PROMOVIDO</t>
        </is>
      </c>
    </row>
    <row r="39" ht="15" customHeight="1" s="254">
      <c r="A39" s="56" t="n">
        <v>33</v>
      </c>
      <c r="B39" s="287" t="inlineStr">
        <is>
          <t>TENEMAZA LEMA VERONICA LIZBETH</t>
        </is>
      </c>
      <c r="C39" s="271" t="n"/>
      <c r="D39" s="111" t="inlineStr">
        <is>
          <t>9,53</t>
        </is>
      </c>
      <c r="E39" s="137" t="n">
        <v>9.34</v>
      </c>
      <c r="F39" s="142" t="n">
        <v>9.119999999999999</v>
      </c>
      <c r="G39" s="119" t="n">
        <v>9.32</v>
      </c>
      <c r="H39" s="73" t="n">
        <v>8.699999999999999</v>
      </c>
      <c r="I39" s="121" t="n">
        <v>9.44</v>
      </c>
      <c r="J39" s="76" t="n">
        <v>9.67</v>
      </c>
      <c r="K39" s="78" t="inlineStr">
        <is>
          <t>A+</t>
        </is>
      </c>
      <c r="L39" s="80" t="inlineStr">
        <is>
          <t>A+</t>
        </is>
      </c>
      <c r="M39" s="122" t="inlineStr">
        <is>
          <t>A-</t>
        </is>
      </c>
      <c r="N39" s="285">
        <f>TRUNC(AVERAGE(D39:J39),2)</f>
        <v/>
      </c>
      <c r="O39" s="88" t="inlineStr">
        <is>
          <t>S</t>
        </is>
      </c>
      <c r="P39" s="89" t="inlineStr">
        <is>
          <t>PROMOVIDO</t>
        </is>
      </c>
    </row>
    <row r="40" ht="18" customHeight="1" s="254">
      <c r="A40" s="56" t="n">
        <v>34</v>
      </c>
      <c r="B40" s="287" t="inlineStr">
        <is>
          <t>TOCTE CORRALES SHIRLE LISETH</t>
        </is>
      </c>
      <c r="C40" s="271" t="n"/>
      <c r="D40" s="111" t="inlineStr">
        <is>
          <t>8,37</t>
        </is>
      </c>
      <c r="E40" s="67" t="n">
        <v>7.38</v>
      </c>
      <c r="F40" s="142" t="n">
        <v>7.66</v>
      </c>
      <c r="G40" s="119" t="n">
        <v>8.41</v>
      </c>
      <c r="H40" s="73" t="n">
        <v>7.46</v>
      </c>
      <c r="I40" s="121" t="n">
        <v>7.94</v>
      </c>
      <c r="J40" s="76" t="n">
        <v>8.5</v>
      </c>
      <c r="K40" s="78" t="inlineStr">
        <is>
          <t>A-</t>
        </is>
      </c>
      <c r="L40" s="80" t="inlineStr">
        <is>
          <t>A+</t>
        </is>
      </c>
      <c r="M40" s="122" t="inlineStr">
        <is>
          <t>A+</t>
        </is>
      </c>
      <c r="N40" s="285">
        <f>TRUNC(AVERAGE(D40:J40),2)</f>
        <v/>
      </c>
      <c r="O40" s="88" t="inlineStr">
        <is>
          <t>S</t>
        </is>
      </c>
      <c r="P40" s="89" t="inlineStr">
        <is>
          <t>PROMOVIDO</t>
        </is>
      </c>
    </row>
    <row r="41" ht="15" customHeight="1" s="254">
      <c r="A41" s="56" t="n">
        <v>35</v>
      </c>
      <c r="B41" s="287" t="inlineStr">
        <is>
          <t>UZHCA BANEGAS DANIELA ESTEFANIA</t>
        </is>
      </c>
      <c r="C41" s="271" t="n"/>
      <c r="D41" s="111" t="inlineStr">
        <is>
          <t>9,86</t>
        </is>
      </c>
      <c r="E41" s="137" t="n">
        <v>9.48</v>
      </c>
      <c r="F41" s="142" t="n">
        <v>9.470000000000001</v>
      </c>
      <c r="G41" s="119" t="n">
        <v>9.65</v>
      </c>
      <c r="H41" s="73" t="n">
        <v>9.630000000000001</v>
      </c>
      <c r="I41" s="121" t="n">
        <v>9.529999999999999</v>
      </c>
      <c r="J41" s="76" t="n">
        <v>9.27</v>
      </c>
      <c r="K41" s="78" t="inlineStr">
        <is>
          <t>A-</t>
        </is>
      </c>
      <c r="L41" s="80" t="inlineStr">
        <is>
          <t>A+</t>
        </is>
      </c>
      <c r="M41" s="122" t="inlineStr">
        <is>
          <t>A+</t>
        </is>
      </c>
      <c r="N41" s="285">
        <f>TRUNC(AVERAGE(D41:J41),2)</f>
        <v/>
      </c>
      <c r="O41" s="88" t="inlineStr">
        <is>
          <t>S</t>
        </is>
      </c>
      <c r="P41" s="89" t="inlineStr">
        <is>
          <t>PROMOVIDO</t>
        </is>
      </c>
    </row>
    <row r="42" ht="14.25" customHeight="1" s="254">
      <c r="A42" s="164" t="n">
        <v>36</v>
      </c>
      <c r="B42" s="272" t="inlineStr">
        <is>
          <t>VINTIMILLA MUÑOZ ANA KARINA</t>
        </is>
      </c>
      <c r="C42" s="273" t="n"/>
      <c r="D42" s="111" t="inlineStr">
        <is>
          <t>9,52</t>
        </is>
      </c>
      <c r="E42" s="67" t="n">
        <v>9.85</v>
      </c>
      <c r="F42" s="142" t="n">
        <v>9.720000000000001</v>
      </c>
      <c r="G42" s="119" t="n">
        <v>9.74</v>
      </c>
      <c r="H42" s="73" t="n">
        <v>9.710000000000001</v>
      </c>
      <c r="I42" s="121" t="n">
        <v>9.539999999999999</v>
      </c>
      <c r="J42" s="76" t="n">
        <v>9.050000000000001</v>
      </c>
      <c r="K42" s="78" t="inlineStr">
        <is>
          <t>A+</t>
        </is>
      </c>
      <c r="L42" s="80" t="inlineStr">
        <is>
          <t>A+</t>
        </is>
      </c>
      <c r="M42" s="122" t="inlineStr">
        <is>
          <t>A+</t>
        </is>
      </c>
      <c r="N42" s="86">
        <f>TRUNC(AVERAGE(D42:J42),2)</f>
        <v/>
      </c>
      <c r="O42" s="88" t="inlineStr">
        <is>
          <t>S</t>
        </is>
      </c>
      <c r="P42" s="89" t="inlineStr">
        <is>
          <t>PROMOVIDO</t>
        </is>
      </c>
    </row>
    <row r="43" ht="15" customHeight="1" s="254">
      <c r="A43" s="57" t="n">
        <v>37</v>
      </c>
      <c r="B43" s="61" t="inlineStr">
        <is>
          <t>VIÑANZACA GUAMÁN ELIAN JOEL</t>
        </is>
      </c>
      <c r="C43" s="256" t="n"/>
      <c r="D43" s="111" t="inlineStr">
        <is>
          <t>8,40</t>
        </is>
      </c>
      <c r="E43" s="67" t="n">
        <v>7.63</v>
      </c>
      <c r="F43" s="142" t="n">
        <v>8.050000000000001</v>
      </c>
      <c r="G43" s="119" t="n">
        <v>8.73</v>
      </c>
      <c r="H43" s="73" t="n">
        <v>7.79</v>
      </c>
      <c r="I43" s="121" t="n">
        <v>8.550000000000001</v>
      </c>
      <c r="J43" s="76" t="n">
        <v>8.949999999999999</v>
      </c>
      <c r="K43" s="78" t="inlineStr">
        <is>
          <t>A+</t>
        </is>
      </c>
      <c r="L43" s="80" t="inlineStr">
        <is>
          <t>A-</t>
        </is>
      </c>
      <c r="M43" s="122" t="inlineStr">
        <is>
          <t>A+</t>
        </is>
      </c>
      <c r="N43" s="86">
        <f>TRUNC(AVERAGE(D43:J43),2)</f>
        <v/>
      </c>
      <c r="O43" s="88" t="inlineStr">
        <is>
          <t>S</t>
        </is>
      </c>
      <c r="P43" s="89" t="inlineStr">
        <is>
          <t>PROMOVIDO</t>
        </is>
      </c>
    </row>
    <row r="44" ht="15" customHeight="1" s="254">
      <c r="A44" s="57" t="n">
        <v>38</v>
      </c>
      <c r="B44" s="268" t="inlineStr">
        <is>
          <t>VIZHÑAY MUÑOZ BRAYAN DAMIAN</t>
        </is>
      </c>
      <c r="C44" s="269" t="n"/>
      <c r="D44" s="111" t="inlineStr">
        <is>
          <t>7,79</t>
        </is>
      </c>
      <c r="E44" s="67" t="n">
        <v>7.36</v>
      </c>
      <c r="F44" s="142" t="n">
        <v>7.53</v>
      </c>
      <c r="G44" s="119" t="n">
        <v>7.64</v>
      </c>
      <c r="H44" s="73" t="n">
        <v>7.12</v>
      </c>
      <c r="I44" s="175" t="n">
        <v>7.96</v>
      </c>
      <c r="J44" s="76" t="n">
        <v>9.25</v>
      </c>
      <c r="K44" s="78" t="inlineStr">
        <is>
          <t>A-</t>
        </is>
      </c>
      <c r="L44" s="80" t="inlineStr">
        <is>
          <t>A+</t>
        </is>
      </c>
      <c r="M44" s="122" t="inlineStr">
        <is>
          <t>A+</t>
        </is>
      </c>
      <c r="N44" s="86">
        <f>TRUNC(AVERAGE(D44:J44),2)</f>
        <v/>
      </c>
      <c r="O44" s="88" t="inlineStr">
        <is>
          <t>F</t>
        </is>
      </c>
      <c r="P44" s="89" t="inlineStr">
        <is>
          <t>PROMOVIDO</t>
        </is>
      </c>
    </row>
    <row r="45" ht="15" customHeight="1" s="254">
      <c r="A45" s="174" t="n">
        <v>39</v>
      </c>
      <c r="B45" s="274" t="inlineStr">
        <is>
          <t>YANQUI BUENO JHENNIFHER JHANNYN</t>
        </is>
      </c>
      <c r="C45" s="273" t="n"/>
      <c r="D45" s="111" t="inlineStr">
        <is>
          <t>8,11</t>
        </is>
      </c>
      <c r="E45" s="67" t="n">
        <v>7.63</v>
      </c>
      <c r="F45" s="142" t="n">
        <v>7.59</v>
      </c>
      <c r="G45" s="119" t="n">
        <v>7.69</v>
      </c>
      <c r="H45" s="73" t="n">
        <v>7.45</v>
      </c>
      <c r="I45" s="175" t="n">
        <v>8.220000000000001</v>
      </c>
      <c r="J45" s="76" t="n">
        <v>9.18</v>
      </c>
      <c r="K45" s="78" t="inlineStr">
        <is>
          <t>A-</t>
        </is>
      </c>
      <c r="L45" s="80" t="inlineStr">
        <is>
          <t>A-</t>
        </is>
      </c>
      <c r="M45" s="122" t="inlineStr">
        <is>
          <t>A+</t>
        </is>
      </c>
      <c r="N45" s="86">
        <f>TRUNC(AVERAGE(D45:J45),2)</f>
        <v/>
      </c>
      <c r="O45" s="88" t="inlineStr">
        <is>
          <t>S</t>
        </is>
      </c>
      <c r="P45" s="89" t="inlineStr">
        <is>
          <t>PROMOVIDO</t>
        </is>
      </c>
    </row>
    <row r="46" ht="15" customHeight="1" s="254">
      <c r="A46" s="56" t="n">
        <v>40</v>
      </c>
      <c r="B46" s="290" t="inlineStr">
        <is>
          <t>ZHANGALLIMBAY VEGA KAREN DOMENICA</t>
        </is>
      </c>
      <c r="C46" s="256" t="n"/>
      <c r="D46" s="111" t="inlineStr">
        <is>
          <t>8,89</t>
        </is>
      </c>
      <c r="E46" s="67" t="n">
        <v>7.83</v>
      </c>
      <c r="F46" s="142" t="n">
        <v>8.5</v>
      </c>
      <c r="G46" s="119" t="n">
        <v>8.390000000000001</v>
      </c>
      <c r="H46" s="73" t="n">
        <v>7.36</v>
      </c>
      <c r="I46" s="175" t="n">
        <v>8.279999999999999</v>
      </c>
      <c r="J46" s="76" t="n">
        <v>9.26</v>
      </c>
      <c r="K46" s="78" t="inlineStr">
        <is>
          <t>A+</t>
        </is>
      </c>
      <c r="L46" s="80" t="inlineStr">
        <is>
          <t>A+</t>
        </is>
      </c>
      <c r="M46" s="122" t="inlineStr">
        <is>
          <t>A+</t>
        </is>
      </c>
      <c r="N46" s="285">
        <f>TRUNC(AVERAGE(D46:J46),2)</f>
        <v/>
      </c>
      <c r="O46" s="88" t="inlineStr">
        <is>
          <t>S</t>
        </is>
      </c>
      <c r="P46" s="89" t="inlineStr">
        <is>
          <t>PROMOVIDO</t>
        </is>
      </c>
      <c r="Q46" s="172" t="n"/>
    </row>
    <row r="47" ht="15" customHeight="1" s="254">
      <c r="A47" s="56" t="n">
        <v>41</v>
      </c>
      <c r="B47" s="153" t="inlineStr">
        <is>
          <t>Promedio</t>
        </is>
      </c>
      <c r="C47" s="256" t="n"/>
      <c r="D47" s="145" t="n">
        <v>8.6</v>
      </c>
      <c r="E47" s="146">
        <f>AVERAGE(E7:E46)</f>
        <v/>
      </c>
      <c r="F47" s="147">
        <f>AVERAGE(F7:F46)</f>
        <v/>
      </c>
      <c r="G47" s="182">
        <f>AVERAGE(G7:G46)</f>
        <v/>
      </c>
      <c r="H47" s="149">
        <f>AVERAGE(H7:H46)</f>
        <v/>
      </c>
      <c r="I47" s="184">
        <f>AVERAGE(I7:I46)</f>
        <v/>
      </c>
      <c r="J47" s="152">
        <f>AVERAGE(J7:J46)</f>
        <v/>
      </c>
      <c r="K47" s="185" t="n"/>
      <c r="L47" s="187" t="n"/>
      <c r="M47" s="187" t="n"/>
      <c r="N47" s="86">
        <f>AVERAGE(N7:N46)</f>
        <v/>
      </c>
      <c r="O47" s="192" t="n"/>
      <c r="P47" s="194" t="n"/>
      <c r="Q47" s="172" t="n"/>
    </row>
    <row r="48" ht="14.25" customHeight="1" s="254">
      <c r="A48" s="196" t="n">
        <v>42</v>
      </c>
      <c r="B48" s="275" t="n"/>
      <c r="C48" s="276" t="n"/>
      <c r="D48" s="202" t="n"/>
      <c r="E48" s="202" t="n"/>
      <c r="F48" s="204" t="n"/>
      <c r="G48" s="202" t="n"/>
      <c r="H48" s="202" t="n"/>
      <c r="I48" s="202" t="n"/>
      <c r="J48" s="205" t="n"/>
      <c r="K48" s="206" t="n"/>
      <c r="L48" s="206" t="n"/>
      <c r="M48" s="206" t="n"/>
      <c r="N48" s="207" t="n"/>
      <c r="O48" s="208" t="n"/>
      <c r="P48" s="194" t="n"/>
      <c r="Q48" s="172" t="n"/>
    </row>
    <row r="49" ht="14.25" customHeight="1" s="254">
      <c r="A49" s="209" t="n"/>
      <c r="B49" s="262" t="inlineStr">
        <is>
          <t xml:space="preserve">Ing. Sonia Chicaiza Mgtr. </t>
        </is>
      </c>
      <c r="D49" s="98" t="inlineStr">
        <is>
          <t xml:space="preserve">Lcda. Isabel Carpio Mgtr. </t>
        </is>
      </c>
      <c r="E49" s="264" t="n"/>
      <c r="F49" s="264" t="n"/>
      <c r="G49" s="265" t="n"/>
      <c r="H49" s="211" t="n"/>
      <c r="I49" s="263" t="inlineStr">
        <is>
          <t>Lcda. Nancy Quiranza</t>
        </is>
      </c>
      <c r="J49" s="264" t="n"/>
      <c r="K49" s="264" t="n"/>
      <c r="L49" s="265" t="n"/>
      <c r="M49" s="206" t="n"/>
      <c r="N49" s="207" t="n"/>
      <c r="O49" s="208" t="n"/>
      <c r="P49" s="194" t="n"/>
      <c r="Q49" s="172" t="n"/>
    </row>
    <row r="50" ht="14.25" customHeight="1" s="254">
      <c r="A50" s="209" t="n"/>
      <c r="B50" s="262" t="inlineStr">
        <is>
          <t>Rectora (e)</t>
        </is>
      </c>
      <c r="D50" s="98" t="inlineStr">
        <is>
          <t>Vicerrectora (e)Matutina</t>
        </is>
      </c>
      <c r="E50" s="264" t="n"/>
      <c r="F50" s="264" t="n"/>
      <c r="G50" s="265" t="n"/>
      <c r="H50" s="211" t="n"/>
      <c r="I50" s="263" t="inlineStr">
        <is>
          <t>Docente Tutora</t>
        </is>
      </c>
      <c r="J50" s="264" t="n"/>
      <c r="K50" s="264" t="n"/>
      <c r="L50" s="265" t="n"/>
      <c r="M50" s="206" t="n"/>
      <c r="N50" s="207" t="n"/>
      <c r="O50" s="208" t="n"/>
      <c r="P50" s="194" t="n"/>
      <c r="Q50" s="172" t="n"/>
    </row>
    <row r="51" ht="14.25" customHeight="1" s="254">
      <c r="P51" s="157" t="n"/>
    </row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4.25" customHeight="1" s="254"/>
    <row r="243" ht="14.25" customHeight="1" s="254"/>
    <row r="244" ht="14.25" customHeight="1" s="254"/>
    <row r="245" ht="14.25" customHeight="1" s="254"/>
    <row r="246" ht="14.25" customHeight="1" s="254"/>
    <row r="247" ht="14.25" customHeight="1" s="254"/>
    <row r="248" ht="14.25" customHeight="1" s="254"/>
    <row r="249" ht="14.25" customHeight="1" s="254"/>
    <row r="250" ht="14.2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  <row r="1000" ht="15.75" customHeight="1" s="254"/>
  </sheetData>
  <mergeCells count="57">
    <mergeCell ref="B47:C47"/>
    <mergeCell ref="B16:C16"/>
    <mergeCell ref="B2:P2"/>
    <mergeCell ref="B25:C25"/>
    <mergeCell ref="B46:C46"/>
    <mergeCell ref="B22:C22"/>
    <mergeCell ref="B31:C31"/>
    <mergeCell ref="B27:C27"/>
    <mergeCell ref="B18:C18"/>
    <mergeCell ref="B43:C43"/>
    <mergeCell ref="B12:C12"/>
    <mergeCell ref="B39:C39"/>
    <mergeCell ref="S8:T8"/>
    <mergeCell ref="I50:L50"/>
    <mergeCell ref="B21:C21"/>
    <mergeCell ref="B48:C48"/>
    <mergeCell ref="B11:C11"/>
    <mergeCell ref="K3:N3"/>
    <mergeCell ref="D50:G50"/>
    <mergeCell ref="B42:C42"/>
    <mergeCell ref="B23:C23"/>
    <mergeCell ref="B14:C14"/>
    <mergeCell ref="B17:C17"/>
    <mergeCell ref="B8:C8"/>
    <mergeCell ref="I49:L49"/>
    <mergeCell ref="I3:J3"/>
    <mergeCell ref="B13:C13"/>
    <mergeCell ref="B38:C38"/>
    <mergeCell ref="B44:C44"/>
    <mergeCell ref="B29:C29"/>
    <mergeCell ref="S10:T10"/>
    <mergeCell ref="A1:P1"/>
    <mergeCell ref="B19:C19"/>
    <mergeCell ref="B34:C34"/>
    <mergeCell ref="B5:P5"/>
    <mergeCell ref="B10:C10"/>
    <mergeCell ref="B28:C28"/>
    <mergeCell ref="B37:C37"/>
    <mergeCell ref="C3:E3"/>
    <mergeCell ref="D49:G49"/>
    <mergeCell ref="B40:C40"/>
    <mergeCell ref="S9:T9"/>
    <mergeCell ref="B9:C9"/>
    <mergeCell ref="B49:C49"/>
    <mergeCell ref="B24:C24"/>
    <mergeCell ref="I4:J4"/>
    <mergeCell ref="B30:C30"/>
    <mergeCell ref="B15:C15"/>
    <mergeCell ref="B33:C33"/>
    <mergeCell ref="B20:C20"/>
    <mergeCell ref="B45:C45"/>
    <mergeCell ref="B36:C36"/>
    <mergeCell ref="B32:C32"/>
    <mergeCell ref="B50:C50"/>
    <mergeCell ref="B26:C26"/>
    <mergeCell ref="B41:C41"/>
    <mergeCell ref="B35:C35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cols>
    <col width="4.71" customWidth="1" style="254" min="1" max="1"/>
    <col width="20.43" customWidth="1" style="254" min="2" max="2"/>
    <col width="13.71" customWidth="1" style="254" min="3" max="3"/>
    <col width="6.29" customWidth="1" style="254" min="4" max="4"/>
    <col width="8.140000000000001" customWidth="1" style="254" min="14" max="14"/>
    <col width="7.57" customWidth="1" style="254" min="15" max="15"/>
    <col width="14.29" customWidth="1" style="254" min="16" max="16"/>
    <col width="20.29" customWidth="1" style="254" min="17" max="17"/>
    <col width="7.71" customWidth="1" style="254" min="18" max="18"/>
    <col width="7.57" customWidth="1" style="254" min="20" max="20"/>
  </cols>
  <sheetData>
    <row r="1" ht="72.75" customHeight="1" s="254">
      <c r="A1" s="1" t="inlineStr">
        <is>
          <t>UNIDAD EDUCATIVA "ESTADOS UNIDOS DE NORTE AMÉRICA" 
Correo electrónico: eeuuescuela@gmail.com  eeuuvicerrectorado@gmail.com
Teléfono: (07)289-0677 Distrito: 01D01  Zona:6</t>
        </is>
      </c>
    </row>
    <row r="2" ht="14.25" customHeight="1" s="254">
      <c r="A2" s="3" t="n"/>
      <c r="B2" s="4" t="inlineStr">
        <is>
          <t>AÑO LECTIVO: 2025-2026</t>
        </is>
      </c>
    </row>
    <row r="3" ht="14.25" customHeight="1" s="254">
      <c r="B3" s="5" t="inlineStr">
        <is>
          <t xml:space="preserve">DOCENTE:             </t>
        </is>
      </c>
      <c r="C3" s="6" t="inlineStr">
        <is>
          <t>Ing. Santiago Quezada MSc</t>
        </is>
      </c>
      <c r="F3" s="7" t="n"/>
      <c r="G3" s="7" t="n"/>
      <c r="H3" s="7" t="n"/>
      <c r="I3" s="8" t="inlineStr">
        <is>
          <t xml:space="preserve">JORNADA: </t>
        </is>
      </c>
      <c r="K3" s="9" t="inlineStr">
        <is>
          <t>MATUTINA</t>
        </is>
      </c>
    </row>
    <row r="4" ht="14.25" customHeight="1" s="254">
      <c r="B4" s="10" t="inlineStr">
        <is>
          <t xml:space="preserve">AÑO DE EGB:        </t>
        </is>
      </c>
      <c r="C4" s="11" t="inlineStr">
        <is>
          <t>NOVENO A</t>
        </is>
      </c>
      <c r="D4" s="12" t="inlineStr">
        <is>
          <t>A</t>
        </is>
      </c>
      <c r="E4" s="7" t="n"/>
      <c r="F4" s="7" t="n"/>
      <c r="G4" s="7" t="n"/>
      <c r="H4" s="7" t="n"/>
      <c r="I4" s="8" t="n"/>
      <c r="K4" s="13" t="n"/>
      <c r="M4" s="7" t="n"/>
    </row>
    <row r="5" ht="6" customHeight="1" s="254">
      <c r="B5" s="14" t="n"/>
      <c r="C5" s="14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 ht="14.25" customHeight="1" s="254">
      <c r="B6" s="255" t="inlineStr">
        <is>
          <t>CONSOLIDADO FINAL</t>
        </is>
      </c>
    </row>
    <row r="7" ht="164.25" customHeight="1" s="254">
      <c r="A7" s="25" t="inlineStr">
        <is>
          <t>No</t>
        </is>
      </c>
      <c r="B7" s="24" t="inlineStr">
        <is>
          <t>NOMINA</t>
        </is>
      </c>
      <c r="C7" s="26" t="n"/>
      <c r="D7" s="28" t="inlineStr">
        <is>
          <t>LENGUA Y LITERATURA</t>
        </is>
      </c>
      <c r="E7" s="32" t="inlineStr">
        <is>
          <t>MATEMÁTICA</t>
        </is>
      </c>
      <c r="F7" s="34" t="inlineStr">
        <is>
          <t>CIENCIAS NATURALES</t>
        </is>
      </c>
      <c r="G7" s="36" t="inlineStr">
        <is>
          <t>ESTUDIOS SOCIALES</t>
        </is>
      </c>
      <c r="H7" s="38" t="inlineStr">
        <is>
          <t>INGLÉS</t>
        </is>
      </c>
      <c r="I7" s="40" t="inlineStr">
        <is>
          <t>EDUCACIÓN CULTURAL Y ARTISTICA</t>
        </is>
      </c>
      <c r="J7" s="43" t="inlineStr">
        <is>
          <t>EDUCACIÓN FÍSICA</t>
        </is>
      </c>
      <c r="K7" s="46" t="inlineStr">
        <is>
          <t>ANIMACIÓN A LA LECTURA</t>
        </is>
      </c>
      <c r="L7" s="48" t="inlineStr">
        <is>
          <t>ACOMPAÑAMIENTO INTEGRAL EN EL AULA</t>
        </is>
      </c>
      <c r="M7" s="50" t="inlineStr">
        <is>
          <t>ORIENTACIÓN VOCACIONAL</t>
        </is>
      </c>
      <c r="N7" s="52" t="inlineStr">
        <is>
          <t>PROMEDIO FINAL</t>
        </is>
      </c>
      <c r="O7" s="54" t="inlineStr">
        <is>
          <t>CCOMPORTAMIENTO</t>
        </is>
      </c>
      <c r="P7" s="55" t="inlineStr">
        <is>
          <t>OBSERVACIONES</t>
        </is>
      </c>
    </row>
    <row r="8" ht="14.25" customHeight="1" s="254">
      <c r="A8" s="56" t="n">
        <v>1</v>
      </c>
      <c r="B8" s="61" t="inlineStr">
        <is>
          <t>AGUDELO ARTAHOMA ISAAC ALEXANDER</t>
        </is>
      </c>
      <c r="C8" s="64" t="n"/>
      <c r="D8" s="63" t="n">
        <v>7.84</v>
      </c>
      <c r="E8" s="77" t="n">
        <v>7.53</v>
      </c>
      <c r="F8" s="142" t="n">
        <v>7.01</v>
      </c>
      <c r="G8" s="70" t="n">
        <v>7</v>
      </c>
      <c r="H8" s="84" t="n">
        <v>7.01</v>
      </c>
      <c r="I8" s="87" t="n">
        <v>7.56</v>
      </c>
      <c r="J8" s="76" t="n">
        <v>8.16</v>
      </c>
      <c r="K8" s="90" t="inlineStr">
        <is>
          <t>B+</t>
        </is>
      </c>
      <c r="L8" s="91" t="inlineStr">
        <is>
          <t>B-</t>
        </is>
      </c>
      <c r="M8" s="226" t="inlineStr">
        <is>
          <t>B-</t>
        </is>
      </c>
      <c r="N8" s="86">
        <f>TRUNC(AVERAGE(D8:J8),2)</f>
        <v/>
      </c>
      <c r="O8" s="99" t="inlineStr">
        <is>
          <t>F</t>
        </is>
      </c>
      <c r="P8" s="97" t="inlineStr">
        <is>
          <t>PROMOVIDO</t>
        </is>
      </c>
    </row>
    <row r="9" ht="15" customHeight="1" s="254">
      <c r="A9" s="56" t="n">
        <v>2</v>
      </c>
      <c r="B9" s="61" t="inlineStr">
        <is>
          <t>ALAVA AYABACA LEONARDO DAVID</t>
        </is>
      </c>
      <c r="C9" s="64" t="n"/>
      <c r="D9" s="63" t="n">
        <v>8.85</v>
      </c>
      <c r="E9" s="77" t="n">
        <v>9.130000000000001</v>
      </c>
      <c r="F9" s="142" t="n">
        <v>8.4</v>
      </c>
      <c r="G9" s="104" t="n">
        <v>9.09</v>
      </c>
      <c r="H9" s="105" t="n">
        <v>8.029999999999999</v>
      </c>
      <c r="I9" s="108" t="n">
        <v>8.4</v>
      </c>
      <c r="J9" s="76" t="n">
        <v>9.619999999999999</v>
      </c>
      <c r="K9" s="110" t="inlineStr">
        <is>
          <t>A-</t>
        </is>
      </c>
      <c r="L9" s="91" t="inlineStr">
        <is>
          <t>A-</t>
        </is>
      </c>
      <c r="M9" s="226" t="inlineStr">
        <is>
          <t>A-</t>
        </is>
      </c>
      <c r="N9" s="86">
        <f>TRUNC(AVERAGE(D9:J9),2)</f>
        <v/>
      </c>
      <c r="O9" s="99" t="inlineStr">
        <is>
          <t>S</t>
        </is>
      </c>
      <c r="P9" s="97" t="inlineStr">
        <is>
          <t>PROMOVIDO</t>
        </is>
      </c>
      <c r="Q9" s="113" t="inlineStr">
        <is>
          <t>PRIMER LUGAR</t>
        </is>
      </c>
      <c r="R9" s="115">
        <f>LARGE(N9:N48,1)</f>
        <v/>
      </c>
      <c r="S9" s="123" t="inlineStr">
        <is>
          <t>PEÑAFIEL</t>
        </is>
      </c>
      <c r="T9" s="123" t="n">
        <v>9.869999999999999</v>
      </c>
    </row>
    <row r="10" ht="15" customHeight="1" s="254">
      <c r="A10" s="56" t="n">
        <v>3</v>
      </c>
      <c r="B10" s="61" t="inlineStr">
        <is>
          <t>ANASICHA LEMACHE HECTOR DANIEL</t>
        </is>
      </c>
      <c r="C10" s="64" t="n"/>
      <c r="D10" s="63" t="n">
        <v>8.630000000000001</v>
      </c>
      <c r="E10" s="77" t="n">
        <v>8.24</v>
      </c>
      <c r="F10" s="142" t="n">
        <v>8.09</v>
      </c>
      <c r="G10" s="104" t="n">
        <v>9.039999999999999</v>
      </c>
      <c r="H10" s="105" t="n">
        <v>7.66</v>
      </c>
      <c r="I10" s="108" t="n">
        <v>7.85</v>
      </c>
      <c r="J10" s="76" t="n">
        <v>9.69</v>
      </c>
      <c r="K10" s="110" t="inlineStr">
        <is>
          <t>A-</t>
        </is>
      </c>
      <c r="L10" s="91" t="inlineStr">
        <is>
          <t>A-</t>
        </is>
      </c>
      <c r="M10" s="226" t="inlineStr">
        <is>
          <t>B+</t>
        </is>
      </c>
      <c r="N10" s="86">
        <f>TRUNC(AVERAGE(D10:J10),2)</f>
        <v/>
      </c>
      <c r="O10" s="99" t="inlineStr">
        <is>
          <t>S</t>
        </is>
      </c>
      <c r="P10" s="97" t="inlineStr">
        <is>
          <t>PROMOVIDO</t>
        </is>
      </c>
      <c r="Q10" s="113" t="inlineStr">
        <is>
          <t>SEGUNDO LUGAR</t>
        </is>
      </c>
      <c r="R10" s="118">
        <f>LARGE(N8:N47,2)</f>
        <v/>
      </c>
      <c r="S10" s="123" t="inlineStr">
        <is>
          <t>CHUÑIR</t>
        </is>
      </c>
      <c r="T10" s="123" t="n">
        <v>9.869999999999999</v>
      </c>
    </row>
    <row r="11" ht="15" customHeight="1" s="254">
      <c r="A11" s="56" t="n">
        <v>4</v>
      </c>
      <c r="B11" s="61" t="inlineStr">
        <is>
          <t>ARMIJOS HIDALGO NICOLE ESTEFANIA</t>
        </is>
      </c>
      <c r="C11" s="64" t="n"/>
      <c r="D11" s="63" t="n">
        <v>8.01</v>
      </c>
      <c r="E11" s="77" t="n">
        <v>7.8</v>
      </c>
      <c r="F11" s="142" t="n">
        <v>7.01</v>
      </c>
      <c r="G11" s="104" t="n">
        <v>7.84</v>
      </c>
      <c r="H11" s="84" t="n">
        <v>7.19</v>
      </c>
      <c r="I11" s="108" t="n">
        <v>7.26</v>
      </c>
      <c r="J11" s="76" t="n">
        <v>7</v>
      </c>
      <c r="K11" s="110" t="inlineStr">
        <is>
          <t>B+</t>
        </is>
      </c>
      <c r="L11" s="91" t="inlineStr">
        <is>
          <t>B-</t>
        </is>
      </c>
      <c r="M11" s="226" t="inlineStr">
        <is>
          <t>B-</t>
        </is>
      </c>
      <c r="N11" s="86">
        <f>TRUNC(AVERAGE(D11:J11),2)</f>
        <v/>
      </c>
      <c r="O11" s="99" t="inlineStr">
        <is>
          <t>S</t>
        </is>
      </c>
      <c r="P11" s="97" t="inlineStr">
        <is>
          <t>PROMOVIDO</t>
        </is>
      </c>
      <c r="Q11" s="113" t="inlineStr">
        <is>
          <t>TERCER LUGAR</t>
        </is>
      </c>
      <c r="R11" s="118">
        <f>LARGE(N8:N47,3)</f>
        <v/>
      </c>
      <c r="S11" s="123" t="inlineStr">
        <is>
          <t>AVILA</t>
        </is>
      </c>
      <c r="T11" s="123" t="n">
        <v>9.859999999999999</v>
      </c>
    </row>
    <row r="12" ht="15" customHeight="1" s="254">
      <c r="A12" s="56" t="n">
        <v>5</v>
      </c>
      <c r="B12" s="61" t="inlineStr">
        <is>
          <t>ASMAL AUCAPIÑA ALAN MARCELO</t>
        </is>
      </c>
      <c r="C12" s="64" t="n"/>
      <c r="D12" s="63" t="n">
        <v>8.43</v>
      </c>
      <c r="E12" s="77" t="n">
        <v>8.779999999999999</v>
      </c>
      <c r="F12" s="142" t="n">
        <v>7.86</v>
      </c>
      <c r="G12" s="104" t="n">
        <v>8.300000000000001</v>
      </c>
      <c r="H12" s="84" t="n">
        <v>7.85</v>
      </c>
      <c r="I12" s="108" t="n">
        <v>7.81</v>
      </c>
      <c r="J12" s="76" t="n">
        <v>8.31</v>
      </c>
      <c r="K12" s="110" t="inlineStr">
        <is>
          <t>A-</t>
        </is>
      </c>
      <c r="L12" s="91" t="inlineStr">
        <is>
          <t>A-</t>
        </is>
      </c>
      <c r="M12" s="226" t="inlineStr">
        <is>
          <t>A-</t>
        </is>
      </c>
      <c r="N12" s="86">
        <f>TRUNC(AVERAGE(D12:J12),2)</f>
        <v/>
      </c>
      <c r="O12" s="99" t="inlineStr">
        <is>
          <t>S</t>
        </is>
      </c>
      <c r="P12" s="97" t="inlineStr">
        <is>
          <t>PROMOVIDO</t>
        </is>
      </c>
      <c r="Q12" s="123" t="inlineStr">
        <is>
          <t>CUARTO LUGAR</t>
        </is>
      </c>
      <c r="R12" s="123">
        <f>LARGE(N8:N47,4)</f>
        <v/>
      </c>
    </row>
    <row r="13" ht="15" customHeight="1" s="254">
      <c r="A13" s="124" t="n">
        <v>6</v>
      </c>
      <c r="B13" s="61" t="inlineStr">
        <is>
          <t>AUCAPIÑA AVILA ALEXANDER ADRIANO</t>
        </is>
      </c>
      <c r="C13" s="64" t="n"/>
      <c r="D13" s="63" t="n">
        <v>8.25</v>
      </c>
      <c r="E13" s="77" t="n">
        <v>8.630000000000001</v>
      </c>
      <c r="F13" s="125" t="n">
        <v>7.05</v>
      </c>
      <c r="G13" s="104" t="n">
        <v>8.19</v>
      </c>
      <c r="H13" s="105" t="n">
        <v>7.68</v>
      </c>
      <c r="I13" s="108" t="n">
        <v>8.15</v>
      </c>
      <c r="J13" s="76" t="n">
        <v>8.300000000000001</v>
      </c>
      <c r="K13" s="110" t="inlineStr">
        <is>
          <t>B-</t>
        </is>
      </c>
      <c r="L13" s="91" t="inlineStr">
        <is>
          <t>A-</t>
        </is>
      </c>
      <c r="M13" s="226" t="inlineStr">
        <is>
          <t>A-</t>
        </is>
      </c>
      <c r="N13" s="86">
        <f>TRUNC(AVERAGE(D13:J13),2)</f>
        <v/>
      </c>
      <c r="O13" s="99" t="inlineStr">
        <is>
          <t>O</t>
        </is>
      </c>
      <c r="P13" s="97" t="inlineStr">
        <is>
          <t>PROMOVIDO</t>
        </is>
      </c>
      <c r="Q13" s="127" t="n"/>
    </row>
    <row r="14" ht="15" customHeight="1" s="254">
      <c r="A14" s="56" t="n">
        <v>7</v>
      </c>
      <c r="B14" s="61" t="inlineStr">
        <is>
          <t>AUCAPIÑA BARBECHO MIGUEL SEBASTIAN</t>
        </is>
      </c>
      <c r="C14" s="64" t="n"/>
      <c r="D14" s="63" t="n">
        <v>8.09</v>
      </c>
      <c r="E14" s="77" t="n">
        <v>7.79</v>
      </c>
      <c r="F14" s="142" t="n">
        <v>7.35</v>
      </c>
      <c r="G14" s="104" t="n">
        <v>8.210000000000001</v>
      </c>
      <c r="H14" s="105" t="n">
        <v>7.43</v>
      </c>
      <c r="I14" s="108" t="n">
        <v>8.029999999999999</v>
      </c>
      <c r="J14" s="76" t="n">
        <v>8.85</v>
      </c>
      <c r="K14" s="110" t="inlineStr">
        <is>
          <t>B+</t>
        </is>
      </c>
      <c r="L14" s="91" t="inlineStr">
        <is>
          <t>A-</t>
        </is>
      </c>
      <c r="M14" s="226" t="inlineStr">
        <is>
          <t>A-</t>
        </is>
      </c>
      <c r="N14" s="86">
        <f>TRUNC(AVERAGE(D14:J14),2)</f>
        <v/>
      </c>
      <c r="O14" s="99" t="inlineStr">
        <is>
          <t>S</t>
        </is>
      </c>
      <c r="P14" s="97" t="inlineStr">
        <is>
          <t>PROMOVIDO</t>
        </is>
      </c>
      <c r="Q14" s="127" t="n"/>
    </row>
    <row r="15" ht="15" customHeight="1" s="254">
      <c r="A15" s="56" t="n">
        <v>8</v>
      </c>
      <c r="B15" s="61" t="inlineStr">
        <is>
          <t>AVILA BARBECHO JOSTIN ALAIN</t>
        </is>
      </c>
      <c r="C15" s="64" t="n"/>
      <c r="D15" s="63" t="n">
        <v>9.85</v>
      </c>
      <c r="E15" s="77" t="n">
        <v>9.880000000000001</v>
      </c>
      <c r="F15" s="142" t="n">
        <v>9.720000000000001</v>
      </c>
      <c r="G15" s="104" t="n">
        <v>9.92</v>
      </c>
      <c r="H15" s="105" t="n">
        <v>9.84</v>
      </c>
      <c r="I15" s="108" t="n">
        <v>9.93</v>
      </c>
      <c r="J15" s="76" t="n">
        <v>9.99</v>
      </c>
      <c r="K15" s="110" t="inlineStr">
        <is>
          <t>A-</t>
        </is>
      </c>
      <c r="L15" s="91" t="inlineStr">
        <is>
          <t>A+</t>
        </is>
      </c>
      <c r="M15" s="226" t="inlineStr">
        <is>
          <t>A+</t>
        </is>
      </c>
      <c r="N15" s="86">
        <f>TRUNC(AVERAGE(D15:J15),2)</f>
        <v/>
      </c>
      <c r="O15" s="99" t="inlineStr">
        <is>
          <t>S</t>
        </is>
      </c>
      <c r="P15" s="97" t="inlineStr">
        <is>
          <t>PROMOVIDO</t>
        </is>
      </c>
    </row>
    <row r="16" ht="15" customHeight="1" s="254">
      <c r="A16" s="56" t="n">
        <v>9</v>
      </c>
      <c r="B16" s="61" t="inlineStr">
        <is>
          <t>BACULIMA GOMEZ JOSUE DAMIAN</t>
        </is>
      </c>
      <c r="C16" s="64" t="n"/>
      <c r="D16" s="63" t="n">
        <v>8.35</v>
      </c>
      <c r="E16" s="77" t="n">
        <v>8.27</v>
      </c>
      <c r="F16" s="142" t="n">
        <v>7.11</v>
      </c>
      <c r="G16" s="104" t="n">
        <v>7.83</v>
      </c>
      <c r="H16" s="105" t="n">
        <v>7.7</v>
      </c>
      <c r="I16" s="108" t="n">
        <v>7.67</v>
      </c>
      <c r="J16" s="76" t="n">
        <v>8.58</v>
      </c>
      <c r="K16" s="110" t="inlineStr">
        <is>
          <t>B+</t>
        </is>
      </c>
      <c r="L16" s="91" t="inlineStr">
        <is>
          <t>A-</t>
        </is>
      </c>
      <c r="M16" s="226" t="inlineStr">
        <is>
          <t>B+</t>
        </is>
      </c>
      <c r="N16" s="86">
        <f>TRUNC(AVERAGE(D16:J16),2)</f>
        <v/>
      </c>
      <c r="O16" s="99" t="inlineStr">
        <is>
          <t>S</t>
        </is>
      </c>
      <c r="P16" s="97" t="inlineStr">
        <is>
          <t>PROMOVIDO</t>
        </is>
      </c>
    </row>
    <row r="17" ht="15" customHeight="1" s="254">
      <c r="A17" s="56" t="n">
        <v>10</v>
      </c>
      <c r="B17" s="61" t="inlineStr">
        <is>
          <t>BARBECHO MORANTE LUISA VALENTINA</t>
        </is>
      </c>
      <c r="C17" s="64" t="n"/>
      <c r="D17" s="63" t="n">
        <v>9.41</v>
      </c>
      <c r="E17" s="77" t="n">
        <v>9.720000000000001</v>
      </c>
      <c r="F17" s="142" t="n">
        <v>9.17</v>
      </c>
      <c r="G17" s="104" t="n">
        <v>9.76</v>
      </c>
      <c r="H17" s="105" t="n">
        <v>9.67</v>
      </c>
      <c r="I17" s="108" t="n">
        <v>9.640000000000001</v>
      </c>
      <c r="J17" s="76" t="n">
        <v>9.98</v>
      </c>
      <c r="K17" s="110" t="inlineStr">
        <is>
          <t>A-</t>
        </is>
      </c>
      <c r="L17" s="91" t="inlineStr">
        <is>
          <t>A+</t>
        </is>
      </c>
      <c r="M17" s="226" t="inlineStr">
        <is>
          <t>A+</t>
        </is>
      </c>
      <c r="N17" s="86">
        <f>TRUNC(AVERAGE(D17:J17),2)</f>
        <v/>
      </c>
      <c r="O17" s="99" t="inlineStr">
        <is>
          <t>S</t>
        </is>
      </c>
      <c r="P17" s="97" t="inlineStr">
        <is>
          <t>PROMOVIDO</t>
        </is>
      </c>
    </row>
    <row r="18" ht="15" customHeight="1" s="254">
      <c r="A18" s="56" t="n">
        <v>11</v>
      </c>
      <c r="B18" s="61" t="inlineStr">
        <is>
          <t>BELDUMA BELDUMA MAYETSSI</t>
        </is>
      </c>
      <c r="C18" s="64" t="n"/>
      <c r="D18" s="63" t="n">
        <v>8.880000000000001</v>
      </c>
      <c r="E18" s="77" t="n">
        <v>8.73</v>
      </c>
      <c r="F18" s="142" t="n">
        <v>8.390000000000001</v>
      </c>
      <c r="G18" s="104" t="n">
        <v>9.06</v>
      </c>
      <c r="H18" s="105" t="n">
        <v>8.06</v>
      </c>
      <c r="I18" s="108" t="n">
        <v>9.109999999999999</v>
      </c>
      <c r="J18" s="76" t="n">
        <v>8.470000000000001</v>
      </c>
      <c r="K18" s="110" t="inlineStr">
        <is>
          <t>A-</t>
        </is>
      </c>
      <c r="L18" s="91" t="inlineStr">
        <is>
          <t>A+</t>
        </is>
      </c>
      <c r="M18" s="226" t="inlineStr">
        <is>
          <t>A-</t>
        </is>
      </c>
      <c r="N18" s="86">
        <f>TRUNC(AVERAGE(D18:J18),2)</f>
        <v/>
      </c>
      <c r="O18" s="99" t="inlineStr">
        <is>
          <t>S</t>
        </is>
      </c>
      <c r="P18" s="97" t="inlineStr">
        <is>
          <t>PROMOVIDO</t>
        </is>
      </c>
    </row>
    <row r="19" ht="15" customHeight="1" s="254">
      <c r="A19" s="56" t="n">
        <v>12</v>
      </c>
      <c r="B19" s="61" t="inlineStr">
        <is>
          <t>BUENO BALAREZO PABLO SEBASTIAN</t>
        </is>
      </c>
      <c r="C19" s="64" t="n"/>
      <c r="D19" s="63" t="n">
        <v>8.039999999999999</v>
      </c>
      <c r="E19" s="77" t="n">
        <v>7.83</v>
      </c>
      <c r="F19" s="142" t="n">
        <v>7.54</v>
      </c>
      <c r="G19" s="104" t="n">
        <v>8.220000000000001</v>
      </c>
      <c r="H19" s="73" t="n">
        <v>7.95</v>
      </c>
      <c r="I19" s="108" t="n">
        <v>8.1</v>
      </c>
      <c r="J19" s="76" t="n">
        <v>9.130000000000001</v>
      </c>
      <c r="K19" s="110" t="inlineStr">
        <is>
          <t>A-</t>
        </is>
      </c>
      <c r="L19" s="91" t="inlineStr">
        <is>
          <t>A-</t>
        </is>
      </c>
      <c r="M19" s="226" t="inlineStr">
        <is>
          <t>A-</t>
        </is>
      </c>
      <c r="N19" s="86">
        <f>TRUNC(AVERAGE(D19:J19),2)</f>
        <v/>
      </c>
      <c r="O19" s="99" t="inlineStr">
        <is>
          <t>S</t>
        </is>
      </c>
      <c r="P19" s="97" t="inlineStr">
        <is>
          <t>PROMOVIDO</t>
        </is>
      </c>
    </row>
    <row r="20" ht="15" customHeight="1" s="254">
      <c r="A20" s="56" t="n">
        <v>13</v>
      </c>
      <c r="B20" s="61" t="inlineStr">
        <is>
          <t>BUENO CORTE JESSICA ELIZABETH</t>
        </is>
      </c>
      <c r="C20" s="64" t="n"/>
      <c r="D20" s="63" t="n">
        <v>9.300000000000001</v>
      </c>
      <c r="E20" s="77" t="n">
        <v>9.57</v>
      </c>
      <c r="F20" s="142" t="n">
        <v>9.01</v>
      </c>
      <c r="G20" s="104" t="n">
        <v>9.26</v>
      </c>
      <c r="H20" s="107" t="n">
        <v>9.32</v>
      </c>
      <c r="I20" s="108" t="n">
        <v>9.42</v>
      </c>
      <c r="J20" s="76" t="n">
        <v>9.890000000000001</v>
      </c>
      <c r="K20" s="110" t="inlineStr">
        <is>
          <t>A+</t>
        </is>
      </c>
      <c r="L20" s="91" t="inlineStr">
        <is>
          <t>A+</t>
        </is>
      </c>
      <c r="M20" s="226" t="inlineStr">
        <is>
          <t>A+</t>
        </is>
      </c>
      <c r="N20" s="86">
        <f>TRUNC(AVERAGE(D20:J20),2)</f>
        <v/>
      </c>
      <c r="O20" s="99" t="inlineStr">
        <is>
          <t>S</t>
        </is>
      </c>
      <c r="P20" s="97" t="inlineStr">
        <is>
          <t>PROMOVIDO</t>
        </is>
      </c>
    </row>
    <row r="21" ht="15" customHeight="1" s="254">
      <c r="A21" s="56" t="n">
        <v>14</v>
      </c>
      <c r="B21" s="61" t="inlineStr">
        <is>
          <t>CALDERON URDANIGO MARIA FERNANDA</t>
        </is>
      </c>
      <c r="C21" s="64" t="n"/>
      <c r="D21" s="63" t="n">
        <v>8.890000000000001</v>
      </c>
      <c r="E21" s="77" t="n">
        <v>8.949999999999999</v>
      </c>
      <c r="F21" s="142" t="n">
        <v>7.9</v>
      </c>
      <c r="G21" s="104" t="n">
        <v>8.49</v>
      </c>
      <c r="H21" s="107" t="n">
        <v>8.31</v>
      </c>
      <c r="I21" s="108" t="n">
        <v>8.630000000000001</v>
      </c>
      <c r="J21" s="76" t="n">
        <v>8.970000000000001</v>
      </c>
      <c r="K21" s="110" t="inlineStr">
        <is>
          <t>A-</t>
        </is>
      </c>
      <c r="L21" s="91" t="inlineStr">
        <is>
          <t>A-</t>
        </is>
      </c>
      <c r="M21" s="226" t="inlineStr">
        <is>
          <t>A-</t>
        </is>
      </c>
      <c r="N21" s="86">
        <f>TRUNC(AVERAGE(D21:J21),2)</f>
        <v/>
      </c>
      <c r="O21" s="99" t="inlineStr">
        <is>
          <t>S</t>
        </is>
      </c>
      <c r="P21" s="97" t="inlineStr">
        <is>
          <t>PROMOVIDO</t>
        </is>
      </c>
    </row>
    <row r="22" ht="15" customHeight="1" s="254">
      <c r="A22" s="56" t="n">
        <v>15</v>
      </c>
      <c r="B22" s="61" t="inlineStr">
        <is>
          <t>CHISAGUANO QUINDI MICHAEL GEOVANNY</t>
        </is>
      </c>
      <c r="C22" s="64" t="n"/>
      <c r="D22" s="63" t="n">
        <v>7.52</v>
      </c>
      <c r="E22" s="77" t="n">
        <v>7.73</v>
      </c>
      <c r="F22" s="142" t="n">
        <v>7</v>
      </c>
      <c r="G22" s="104" t="n">
        <v>7</v>
      </c>
      <c r="H22" s="107" t="n">
        <v>7</v>
      </c>
      <c r="I22" s="108" t="n">
        <v>7.8</v>
      </c>
      <c r="J22" s="76" t="n">
        <v>7</v>
      </c>
      <c r="K22" s="110" t="inlineStr">
        <is>
          <t>B+</t>
        </is>
      </c>
      <c r="L22" s="91" t="inlineStr">
        <is>
          <t>B-</t>
        </is>
      </c>
      <c r="M22" s="226" t="inlineStr">
        <is>
          <t>C+</t>
        </is>
      </c>
      <c r="N22" s="86">
        <f>TRUNC(AVERAGE(D22:J22),2)</f>
        <v/>
      </c>
      <c r="O22" s="99" t="inlineStr">
        <is>
          <t>O</t>
        </is>
      </c>
      <c r="P22" s="132" t="inlineStr">
        <is>
          <t>NO PROMOVIDO</t>
        </is>
      </c>
    </row>
    <row r="23" ht="15" customHeight="1" s="254">
      <c r="A23" s="56" t="n">
        <v>16</v>
      </c>
      <c r="B23" s="61" t="inlineStr">
        <is>
          <t>CHUCARALAO ZUMBA KARELY STEPHANIA</t>
        </is>
      </c>
      <c r="C23" s="64" t="n"/>
      <c r="D23" s="63" t="n">
        <v>8.9</v>
      </c>
      <c r="E23" s="77" t="n">
        <v>8.83</v>
      </c>
      <c r="F23" s="142" t="n">
        <v>8.15</v>
      </c>
      <c r="G23" s="104" t="n">
        <v>8.31</v>
      </c>
      <c r="H23" s="107" t="n">
        <v>8.49</v>
      </c>
      <c r="I23" s="108" t="n">
        <v>8.220000000000001</v>
      </c>
      <c r="J23" s="76" t="n">
        <v>8.59</v>
      </c>
      <c r="K23" s="110" t="inlineStr">
        <is>
          <t>A-</t>
        </is>
      </c>
      <c r="L23" s="91" t="inlineStr">
        <is>
          <t>A-</t>
        </is>
      </c>
      <c r="M23" s="226" t="inlineStr">
        <is>
          <t>A-</t>
        </is>
      </c>
      <c r="N23" s="86">
        <f>TRUNC(AVERAGE(D23:J23),2)</f>
        <v/>
      </c>
      <c r="O23" s="99" t="inlineStr">
        <is>
          <t>S</t>
        </is>
      </c>
      <c r="P23" s="97" t="inlineStr">
        <is>
          <t>PROMOVIDO</t>
        </is>
      </c>
    </row>
    <row r="24" ht="15" customHeight="1" s="254">
      <c r="A24" s="56" t="n">
        <v>17</v>
      </c>
      <c r="B24" s="61" t="inlineStr">
        <is>
          <t>CHUÑIR NAREA LUYZIANA VICTORIA</t>
        </is>
      </c>
      <c r="C24" s="64" t="n"/>
      <c r="D24" s="63" t="n">
        <v>9.699999999999999</v>
      </c>
      <c r="E24" s="77" t="n">
        <v>9.800000000000001</v>
      </c>
      <c r="F24" s="142" t="n">
        <v>9.99</v>
      </c>
      <c r="G24" s="104" t="n">
        <v>9.81</v>
      </c>
      <c r="H24" s="107" t="n">
        <v>9.960000000000001</v>
      </c>
      <c r="I24" s="108" t="n">
        <v>9.99</v>
      </c>
      <c r="J24" s="76" t="n">
        <v>9.99</v>
      </c>
      <c r="K24" s="110" t="inlineStr">
        <is>
          <t>A+</t>
        </is>
      </c>
      <c r="L24" s="91" t="inlineStr">
        <is>
          <t>A+</t>
        </is>
      </c>
      <c r="M24" s="226" t="inlineStr">
        <is>
          <t>A+</t>
        </is>
      </c>
      <c r="N24" s="86">
        <f>TRUNC(AVERAGE(D24:J24),2)</f>
        <v/>
      </c>
      <c r="O24" s="99" t="inlineStr">
        <is>
          <t>S</t>
        </is>
      </c>
      <c r="P24" s="97" t="inlineStr">
        <is>
          <t>PROMOVIDO</t>
        </is>
      </c>
    </row>
    <row r="25" ht="15" customHeight="1" s="254">
      <c r="A25" s="56" t="n">
        <v>18</v>
      </c>
      <c r="B25" s="61" t="inlineStr">
        <is>
          <t>CHUVA LLANOS RONALD ALEXANDER</t>
        </is>
      </c>
      <c r="C25" s="64" t="n"/>
      <c r="D25" s="63" t="n">
        <v>7.4</v>
      </c>
      <c r="E25" s="77" t="n">
        <v>7</v>
      </c>
      <c r="F25" s="142" t="n">
        <v>7</v>
      </c>
      <c r="G25" s="104" t="n">
        <v>7</v>
      </c>
      <c r="H25" s="105" t="n">
        <v>7.28</v>
      </c>
      <c r="I25" s="108" t="n">
        <v>7.43</v>
      </c>
      <c r="J25" s="76" t="n">
        <v>7.94</v>
      </c>
      <c r="K25" s="110" t="inlineStr">
        <is>
          <t>B+</t>
        </is>
      </c>
      <c r="L25" s="91" t="inlineStr">
        <is>
          <t>B+</t>
        </is>
      </c>
      <c r="M25" s="226" t="inlineStr">
        <is>
          <t>B+</t>
        </is>
      </c>
      <c r="N25" s="86">
        <f>TRUNC(AVERAGE(D25:J25),2)</f>
        <v/>
      </c>
      <c r="O25" s="99" t="inlineStr">
        <is>
          <t>O</t>
        </is>
      </c>
      <c r="P25" s="132" t="inlineStr">
        <is>
          <t>NO PROMOVIDO</t>
        </is>
      </c>
    </row>
    <row r="26" ht="15" customHeight="1" s="254">
      <c r="A26" s="56" t="n">
        <v>19</v>
      </c>
      <c r="B26" s="61" t="inlineStr">
        <is>
          <t>CORONEL GALARZA MELANY YAJAIRA</t>
        </is>
      </c>
      <c r="C26" s="64" t="n"/>
      <c r="D26" s="63" t="n">
        <v>9</v>
      </c>
      <c r="E26" s="77" t="n">
        <v>9.050000000000001</v>
      </c>
      <c r="F26" s="142" t="n">
        <v>8.56</v>
      </c>
      <c r="G26" s="104" t="n">
        <v>8.890000000000001</v>
      </c>
      <c r="H26" s="120" t="n">
        <v>8.93</v>
      </c>
      <c r="I26" s="108" t="n">
        <v>8.73</v>
      </c>
      <c r="J26" s="76" t="n">
        <v>9.43</v>
      </c>
      <c r="K26" s="110" t="inlineStr">
        <is>
          <t>A-</t>
        </is>
      </c>
      <c r="L26" s="91" t="inlineStr">
        <is>
          <t>A+</t>
        </is>
      </c>
      <c r="M26" s="226" t="inlineStr">
        <is>
          <t>A+</t>
        </is>
      </c>
      <c r="N26" s="86">
        <f>TRUNC(AVERAGE(D26:J26),2)</f>
        <v/>
      </c>
      <c r="O26" s="99" t="inlineStr">
        <is>
          <t>S</t>
        </is>
      </c>
      <c r="P26" s="97" t="inlineStr">
        <is>
          <t>PROMOVIDO</t>
        </is>
      </c>
    </row>
    <row r="27" ht="15" customHeight="1" s="254">
      <c r="A27" s="56" t="n">
        <v>20</v>
      </c>
      <c r="B27" s="61" t="inlineStr">
        <is>
          <t>DUMANAULA ÑAUTA ANA DOMENICA</t>
        </is>
      </c>
      <c r="C27" s="64" t="n"/>
      <c r="D27" s="63" t="n">
        <v>8.5</v>
      </c>
      <c r="E27" s="77" t="n">
        <v>8.73</v>
      </c>
      <c r="F27" s="142" t="n">
        <v>8.16</v>
      </c>
      <c r="G27" s="104" t="n">
        <v>8.48</v>
      </c>
      <c r="H27" s="107" t="n">
        <v>8.17</v>
      </c>
      <c r="I27" s="108" t="n">
        <v>8.15</v>
      </c>
      <c r="J27" s="76" t="n">
        <v>9.529999999999999</v>
      </c>
      <c r="K27" s="110" t="inlineStr">
        <is>
          <t>B+</t>
        </is>
      </c>
      <c r="L27" s="91" t="inlineStr">
        <is>
          <t>A-</t>
        </is>
      </c>
      <c r="M27" s="226" t="inlineStr">
        <is>
          <t>A+</t>
        </is>
      </c>
      <c r="N27" s="86">
        <f>TRUNC(AVERAGE(D27:J27),2)</f>
        <v/>
      </c>
      <c r="O27" s="99" t="inlineStr">
        <is>
          <t>S</t>
        </is>
      </c>
      <c r="P27" s="97" t="inlineStr">
        <is>
          <t>PROMOVIDO</t>
        </is>
      </c>
    </row>
    <row r="28" ht="15" customHeight="1" s="254">
      <c r="A28" s="56" t="n">
        <v>21</v>
      </c>
      <c r="B28" s="61" t="inlineStr">
        <is>
          <t>FAJARDO JADAN CRISTIAN OSWALDO</t>
        </is>
      </c>
      <c r="C28" s="64" t="n"/>
      <c r="D28" s="63" t="n">
        <v>7.54</v>
      </c>
      <c r="E28" s="77" t="n">
        <v>7.02</v>
      </c>
      <c r="F28" s="142" t="n">
        <v>7.01</v>
      </c>
      <c r="G28" s="104" t="n">
        <v>7.33</v>
      </c>
      <c r="H28" s="134" t="n">
        <v>7.25</v>
      </c>
      <c r="I28" s="108" t="n">
        <v>7.9</v>
      </c>
      <c r="J28" s="76" t="n">
        <v>8.48</v>
      </c>
      <c r="K28" s="110" t="inlineStr">
        <is>
          <t>B+</t>
        </is>
      </c>
      <c r="L28" s="91" t="inlineStr">
        <is>
          <t>B+</t>
        </is>
      </c>
      <c r="M28" s="226" t="inlineStr">
        <is>
          <t>A-</t>
        </is>
      </c>
      <c r="N28" s="86">
        <f>TRUNC(AVERAGE(D28:J28),2)</f>
        <v/>
      </c>
      <c r="O28" s="99" t="inlineStr">
        <is>
          <t>S</t>
        </is>
      </c>
      <c r="P28" s="97" t="inlineStr">
        <is>
          <t>PROMOVIDO</t>
        </is>
      </c>
    </row>
    <row r="29" ht="13.5" customHeight="1" s="254">
      <c r="A29" s="56" t="n">
        <v>22</v>
      </c>
      <c r="B29" s="61" t="inlineStr">
        <is>
          <t>GARCIA CAIVINAGUA ADRIAN SANTIAGO</t>
        </is>
      </c>
      <c r="C29" s="64" t="n"/>
      <c r="D29" s="63" t="n">
        <v>9.15</v>
      </c>
      <c r="E29" s="77" t="n">
        <v>9.210000000000001</v>
      </c>
      <c r="F29" s="142" t="n">
        <v>9.25</v>
      </c>
      <c r="G29" s="104" t="n">
        <v>8.630000000000001</v>
      </c>
      <c r="H29" s="134" t="n">
        <v>8.970000000000001</v>
      </c>
      <c r="I29" s="108" t="n">
        <v>8.779999999999999</v>
      </c>
      <c r="J29" s="76" t="n">
        <v>8.890000000000001</v>
      </c>
      <c r="K29" s="110" t="inlineStr">
        <is>
          <t>B+</t>
        </is>
      </c>
      <c r="L29" s="91" t="inlineStr">
        <is>
          <t>A-</t>
        </is>
      </c>
      <c r="M29" s="226" t="inlineStr">
        <is>
          <t>A-</t>
        </is>
      </c>
      <c r="N29" s="86">
        <f>TRUNC(AVERAGE(D29:J29),2)</f>
        <v/>
      </c>
      <c r="O29" s="99" t="inlineStr">
        <is>
          <t>S</t>
        </is>
      </c>
      <c r="P29" s="97" t="inlineStr">
        <is>
          <t>PROMOVIDO</t>
        </is>
      </c>
    </row>
    <row r="30" ht="15" customHeight="1" s="254">
      <c r="A30" s="56" t="n">
        <v>23</v>
      </c>
      <c r="B30" s="61" t="inlineStr">
        <is>
          <t>GUAYARA BARRETO WILLIAM GABRIEL</t>
        </is>
      </c>
      <c r="C30" s="64" t="n"/>
      <c r="D30" s="63" t="n">
        <v>7.75</v>
      </c>
      <c r="E30" s="77" t="n">
        <v>7.45</v>
      </c>
      <c r="F30" s="142" t="n">
        <v>7.36</v>
      </c>
      <c r="G30" s="104" t="n">
        <v>7.91</v>
      </c>
      <c r="H30" s="107" t="n">
        <v>7.32</v>
      </c>
      <c r="I30" s="136" t="n">
        <v>7.5</v>
      </c>
      <c r="J30" s="76" t="n">
        <v>8.59</v>
      </c>
      <c r="K30" s="110" t="inlineStr">
        <is>
          <t>B+</t>
        </is>
      </c>
      <c r="L30" s="91" t="inlineStr">
        <is>
          <t>A-</t>
        </is>
      </c>
      <c r="M30" s="226" t="inlineStr">
        <is>
          <t>A-</t>
        </is>
      </c>
      <c r="N30" s="86">
        <f>TRUNC(AVERAGE(D30:J30),2)</f>
        <v/>
      </c>
      <c r="O30" s="99" t="inlineStr">
        <is>
          <t>S</t>
        </is>
      </c>
      <c r="P30" s="97" t="inlineStr">
        <is>
          <t>PROMOVIDO</t>
        </is>
      </c>
    </row>
    <row r="31" ht="13.5" customHeight="1" s="254">
      <c r="A31" s="56" t="n">
        <v>24</v>
      </c>
      <c r="B31" s="61" t="inlineStr">
        <is>
          <t>ILLESCAS AVILA MAGABY ANAI</t>
        </is>
      </c>
      <c r="C31" s="64" t="n"/>
      <c r="D31" s="63" t="n">
        <v>7.7</v>
      </c>
      <c r="E31" s="77" t="n">
        <v>7.54</v>
      </c>
      <c r="F31" s="142" t="n">
        <v>7</v>
      </c>
      <c r="G31" s="104" t="n">
        <v>7.57</v>
      </c>
      <c r="H31" s="107" t="n">
        <v>7.09</v>
      </c>
      <c r="I31" s="136" t="n">
        <v>7.62</v>
      </c>
      <c r="J31" s="76" t="n">
        <v>7.38</v>
      </c>
      <c r="K31" s="110" t="inlineStr">
        <is>
          <t>B+</t>
        </is>
      </c>
      <c r="L31" s="91" t="inlineStr">
        <is>
          <t>B+</t>
        </is>
      </c>
      <c r="M31" s="226" t="inlineStr">
        <is>
          <t>B+</t>
        </is>
      </c>
      <c r="N31" s="86">
        <f>TRUNC(AVERAGE(D31:J31),2)</f>
        <v/>
      </c>
      <c r="O31" s="99" t="inlineStr">
        <is>
          <t>F</t>
        </is>
      </c>
      <c r="P31" s="97" t="inlineStr">
        <is>
          <t>PROMOVIDO</t>
        </is>
      </c>
    </row>
    <row r="32" ht="15" customHeight="1" s="254">
      <c r="A32" s="56" t="n">
        <v>25</v>
      </c>
      <c r="B32" s="61" t="inlineStr">
        <is>
          <t>LALANGUI NARANJO JEIMI MARISOL</t>
        </is>
      </c>
      <c r="C32" s="64" t="n"/>
      <c r="D32" s="63" t="n">
        <v>8.99</v>
      </c>
      <c r="E32" s="77" t="n">
        <v>8.76</v>
      </c>
      <c r="F32" s="142" t="n">
        <v>8.539999999999999</v>
      </c>
      <c r="G32" s="104" t="n">
        <v>8.98</v>
      </c>
      <c r="H32" s="134" t="n">
        <v>8.57</v>
      </c>
      <c r="I32" s="136" t="n">
        <v>8.57</v>
      </c>
      <c r="J32" s="76" t="n">
        <v>9.33</v>
      </c>
      <c r="K32" s="110" t="inlineStr">
        <is>
          <t>A+</t>
        </is>
      </c>
      <c r="L32" s="91" t="inlineStr">
        <is>
          <t>A+</t>
        </is>
      </c>
      <c r="M32" s="226" t="inlineStr">
        <is>
          <t>A+</t>
        </is>
      </c>
      <c r="N32" s="86">
        <f>TRUNC(AVERAGE(D32:J32),2)</f>
        <v/>
      </c>
      <c r="O32" s="99" t="inlineStr">
        <is>
          <t>S</t>
        </is>
      </c>
      <c r="P32" s="97" t="inlineStr">
        <is>
          <t>PROMOVIDO</t>
        </is>
      </c>
    </row>
    <row r="33" ht="15" customHeight="1" s="254">
      <c r="A33" s="56" t="n">
        <v>26</v>
      </c>
      <c r="B33" s="61" t="inlineStr">
        <is>
          <t>LEON AQUINO ANGHELY DAIANNA</t>
        </is>
      </c>
      <c r="C33" s="64" t="n"/>
      <c r="D33" s="63" t="n">
        <v>8.529999999999999</v>
      </c>
      <c r="E33" s="77" t="n">
        <v>7.82</v>
      </c>
      <c r="F33" s="142" t="n">
        <v>7.22</v>
      </c>
      <c r="G33" s="104" t="n">
        <v>7.07</v>
      </c>
      <c r="H33" s="107" t="n">
        <v>9.359999999999999</v>
      </c>
      <c r="I33" s="136" t="n">
        <v>8.57</v>
      </c>
      <c r="J33" s="76" t="n">
        <v>9.34</v>
      </c>
      <c r="K33" s="110" t="inlineStr">
        <is>
          <t>B+</t>
        </is>
      </c>
      <c r="L33" s="91" t="inlineStr">
        <is>
          <t>A-</t>
        </is>
      </c>
      <c r="M33" s="226" t="inlineStr">
        <is>
          <t>A+</t>
        </is>
      </c>
      <c r="N33" s="86">
        <f>TRUNC(AVERAGE(D33:J33),2)</f>
        <v/>
      </c>
      <c r="O33" s="99" t="inlineStr">
        <is>
          <t>S</t>
        </is>
      </c>
      <c r="P33" s="97" t="inlineStr">
        <is>
          <t>PROMOVIDO</t>
        </is>
      </c>
    </row>
    <row r="34" ht="15" customHeight="1" s="254">
      <c r="A34" s="56" t="n">
        <v>27</v>
      </c>
      <c r="B34" s="61" t="inlineStr">
        <is>
          <t>LOPEZ DELGADO DANNY LEONEL</t>
        </is>
      </c>
      <c r="C34" s="64" t="n"/>
      <c r="D34" s="63" t="n">
        <v>7.54</v>
      </c>
      <c r="E34" s="77" t="n">
        <v>7</v>
      </c>
      <c r="F34" s="142" t="n">
        <v>7</v>
      </c>
      <c r="G34" s="104" t="n">
        <v>7</v>
      </c>
      <c r="H34" s="107" t="n">
        <v>7.08</v>
      </c>
      <c r="I34" s="136" t="n">
        <v>7.22</v>
      </c>
      <c r="J34" s="76" t="n">
        <v>8.550000000000001</v>
      </c>
      <c r="K34" s="110" t="inlineStr">
        <is>
          <t>B+</t>
        </is>
      </c>
      <c r="L34" s="91" t="inlineStr">
        <is>
          <t>B+</t>
        </is>
      </c>
      <c r="M34" s="226" t="inlineStr">
        <is>
          <t>A-</t>
        </is>
      </c>
      <c r="N34" s="86">
        <f>TRUNC(AVERAGE(D34:J34),2)</f>
        <v/>
      </c>
      <c r="O34" s="99" t="inlineStr">
        <is>
          <t>S</t>
        </is>
      </c>
      <c r="P34" s="97" t="inlineStr">
        <is>
          <t>PROMOVIDO</t>
        </is>
      </c>
    </row>
    <row r="35" ht="15" customHeight="1" s="254">
      <c r="A35" s="56" t="n">
        <v>28</v>
      </c>
      <c r="B35" s="61" t="inlineStr">
        <is>
          <t>OLAYA GRANDA MIGUEL ANGEL</t>
        </is>
      </c>
      <c r="C35" s="64" t="n"/>
      <c r="D35" s="63" t="n">
        <v>8.35</v>
      </c>
      <c r="E35" s="77" t="n">
        <v>7.62</v>
      </c>
      <c r="F35" s="142" t="n">
        <v>8.1</v>
      </c>
      <c r="G35" s="104" t="n">
        <v>8.039999999999999</v>
      </c>
      <c r="H35" s="107" t="n">
        <v>8.050000000000001</v>
      </c>
      <c r="I35" s="136" t="n">
        <v>8.369999999999999</v>
      </c>
      <c r="J35" s="76" t="n">
        <v>8.52</v>
      </c>
      <c r="K35" s="110" t="inlineStr">
        <is>
          <t>A-</t>
        </is>
      </c>
      <c r="L35" s="91" t="inlineStr">
        <is>
          <t>A-</t>
        </is>
      </c>
      <c r="M35" s="226" t="inlineStr">
        <is>
          <t>A-</t>
        </is>
      </c>
      <c r="N35" s="86">
        <f>TRUNC(AVERAGE(D35:J35),2)</f>
        <v/>
      </c>
      <c r="O35" s="99" t="inlineStr">
        <is>
          <t>S</t>
        </is>
      </c>
      <c r="P35" s="97" t="inlineStr">
        <is>
          <t>PROMOVIDO</t>
        </is>
      </c>
    </row>
    <row r="36" ht="15" customHeight="1" s="254">
      <c r="A36" s="56" t="n">
        <v>29</v>
      </c>
      <c r="B36" s="61" t="inlineStr">
        <is>
          <t>OLAYA PINTADO AMBAR DANELLE</t>
        </is>
      </c>
      <c r="C36" s="64" t="n"/>
      <c r="D36" s="63" t="n">
        <v>8.73</v>
      </c>
      <c r="E36" s="77" t="n">
        <v>8.390000000000001</v>
      </c>
      <c r="F36" s="142" t="n">
        <v>8.369999999999999</v>
      </c>
      <c r="G36" s="104" t="n">
        <v>8.82</v>
      </c>
      <c r="H36" s="107" t="n">
        <v>8</v>
      </c>
      <c r="I36" s="136" t="n">
        <v>8.119999999999999</v>
      </c>
      <c r="J36" s="76" t="n">
        <v>8.9</v>
      </c>
      <c r="K36" s="110" t="inlineStr">
        <is>
          <t>A-</t>
        </is>
      </c>
      <c r="L36" s="91" t="inlineStr">
        <is>
          <t>A-</t>
        </is>
      </c>
      <c r="M36" s="226" t="inlineStr">
        <is>
          <t>A-</t>
        </is>
      </c>
      <c r="N36" s="86">
        <f>TRUNC(AVERAGE(D36:J36),2)</f>
        <v/>
      </c>
      <c r="O36" s="99" t="inlineStr">
        <is>
          <t>S</t>
        </is>
      </c>
      <c r="P36" s="97" t="inlineStr">
        <is>
          <t>PROMOVIDO</t>
        </is>
      </c>
    </row>
    <row r="37" ht="15" customHeight="1" s="254">
      <c r="A37" s="56" t="n">
        <v>30</v>
      </c>
      <c r="B37" s="61" t="inlineStr">
        <is>
          <t>PEÑAFIEL VELECELA NATALY PAMELA</t>
        </is>
      </c>
      <c r="C37" s="64" t="n"/>
      <c r="D37" s="63" t="n">
        <v>9.890000000000001</v>
      </c>
      <c r="E37" s="77" t="n">
        <v>9.83</v>
      </c>
      <c r="F37" s="142" t="n">
        <v>9.789999999999999</v>
      </c>
      <c r="G37" s="104" t="n">
        <v>9.949999999999999</v>
      </c>
      <c r="H37" s="107" t="n">
        <v>9.81</v>
      </c>
      <c r="I37" s="136" t="n">
        <v>10</v>
      </c>
      <c r="J37" s="76" t="n">
        <v>10</v>
      </c>
      <c r="K37" s="110" t="inlineStr">
        <is>
          <t>A+</t>
        </is>
      </c>
      <c r="L37" s="91" t="inlineStr">
        <is>
          <t>A+</t>
        </is>
      </c>
      <c r="M37" s="226" t="inlineStr">
        <is>
          <t>A+</t>
        </is>
      </c>
      <c r="N37" s="86">
        <f>TRUNC(AVERAGE(D37:J37),2)</f>
        <v/>
      </c>
      <c r="O37" s="99" t="inlineStr">
        <is>
          <t>S</t>
        </is>
      </c>
      <c r="P37" s="97" t="inlineStr">
        <is>
          <t>PROMOVIDO</t>
        </is>
      </c>
    </row>
    <row r="38" ht="15" customHeight="1" s="254">
      <c r="A38" s="56" t="n">
        <v>31</v>
      </c>
      <c r="B38" s="61" t="inlineStr">
        <is>
          <t>PIÑA BONETE BRYAN ISMAEL</t>
        </is>
      </c>
      <c r="C38" s="64" t="n"/>
      <c r="D38" s="63" t="n">
        <v>8.16</v>
      </c>
      <c r="E38" s="77" t="n">
        <v>8.039999999999999</v>
      </c>
      <c r="F38" s="142" t="n">
        <v>7.17</v>
      </c>
      <c r="G38" s="104" t="n">
        <v>8.199999999999999</v>
      </c>
      <c r="H38" s="107" t="n">
        <v>7.68</v>
      </c>
      <c r="I38" s="136" t="n">
        <v>8.109999999999999</v>
      </c>
      <c r="J38" s="139" t="n">
        <v>8.98</v>
      </c>
      <c r="K38" s="110" t="inlineStr">
        <is>
          <t>A-</t>
        </is>
      </c>
      <c r="L38" s="91" t="inlineStr">
        <is>
          <t>A-</t>
        </is>
      </c>
      <c r="M38" s="226" t="inlineStr">
        <is>
          <t>A-</t>
        </is>
      </c>
      <c r="N38" s="86">
        <f>TRUNC(AVERAGE(D38:J38),2)</f>
        <v/>
      </c>
      <c r="O38" s="99" t="inlineStr">
        <is>
          <t>S</t>
        </is>
      </c>
      <c r="P38" s="97" t="inlineStr">
        <is>
          <t>PROMOVIDO</t>
        </is>
      </c>
    </row>
    <row r="39" ht="15" customHeight="1" s="254">
      <c r="A39" s="56" t="n">
        <v>32</v>
      </c>
      <c r="B39" s="61" t="inlineStr">
        <is>
          <t>RODRIGUEZ SARMIENTO TATIANA JHOMAYRA</t>
        </is>
      </c>
      <c r="C39" s="64" t="n"/>
      <c r="D39" s="63" t="n">
        <v>9.4</v>
      </c>
      <c r="E39" s="77" t="n">
        <v>8.84</v>
      </c>
      <c r="F39" s="142" t="n">
        <v>8.859999999999999</v>
      </c>
      <c r="G39" s="104" t="n">
        <v>9.289999999999999</v>
      </c>
      <c r="H39" s="107" t="n">
        <v>9.41</v>
      </c>
      <c r="I39" s="136" t="n">
        <v>9.27</v>
      </c>
      <c r="J39" s="76" t="n">
        <v>9.98</v>
      </c>
      <c r="K39" s="110" t="inlineStr">
        <is>
          <t>A+</t>
        </is>
      </c>
      <c r="L39" s="91" t="inlineStr">
        <is>
          <t>A+</t>
        </is>
      </c>
      <c r="M39" s="226" t="inlineStr">
        <is>
          <t>A+</t>
        </is>
      </c>
      <c r="N39" s="86">
        <f>TRUNC(AVERAGE(D39:J39),2)</f>
        <v/>
      </c>
      <c r="O39" s="99" t="inlineStr">
        <is>
          <t>S</t>
        </is>
      </c>
      <c r="P39" s="97" t="inlineStr">
        <is>
          <t>PROMOVIDO</t>
        </is>
      </c>
    </row>
    <row r="40" ht="15" customHeight="1" s="254">
      <c r="A40" s="56" t="n">
        <v>33</v>
      </c>
      <c r="B40" s="61" t="inlineStr">
        <is>
          <t>SIMBAÑA CABRERA BIANCA ALEJANDRA</t>
        </is>
      </c>
      <c r="C40" s="64" t="n"/>
      <c r="D40" s="63" t="n">
        <v>7.85</v>
      </c>
      <c r="E40" s="77" t="n">
        <v>7.22</v>
      </c>
      <c r="F40" s="142" t="n">
        <v>7.28</v>
      </c>
      <c r="G40" s="104" t="n">
        <v>7.65</v>
      </c>
      <c r="H40" s="107" t="n">
        <v>7.36</v>
      </c>
      <c r="I40" s="136" t="n">
        <v>7.75</v>
      </c>
      <c r="J40" s="76" t="n">
        <v>8.24</v>
      </c>
      <c r="K40" s="110" t="inlineStr">
        <is>
          <t>B+</t>
        </is>
      </c>
      <c r="L40" s="91" t="inlineStr">
        <is>
          <t>B+</t>
        </is>
      </c>
      <c r="M40" s="226" t="inlineStr">
        <is>
          <t>A-</t>
        </is>
      </c>
      <c r="N40" s="86">
        <f>TRUNC(AVERAGE(D40:J40),2)</f>
        <v/>
      </c>
      <c r="O40" s="99" t="inlineStr">
        <is>
          <t>S</t>
        </is>
      </c>
      <c r="P40" s="97" t="inlineStr">
        <is>
          <t>PROMOVIDO</t>
        </is>
      </c>
    </row>
    <row r="41" ht="15" customHeight="1" s="254">
      <c r="A41" s="56" t="n">
        <v>34</v>
      </c>
      <c r="B41" s="61" t="inlineStr">
        <is>
          <t>SINCHI GARCIA ALEXIS JOEL</t>
        </is>
      </c>
      <c r="C41" s="64" t="n"/>
      <c r="D41" s="63" t="n">
        <v>8.869999999999999</v>
      </c>
      <c r="E41" s="77" t="n">
        <v>8.98</v>
      </c>
      <c r="F41" s="142" t="n">
        <v>7.85</v>
      </c>
      <c r="G41" s="104" t="n">
        <v>9.380000000000001</v>
      </c>
      <c r="H41" s="107" t="n">
        <v>8.84</v>
      </c>
      <c r="I41" s="136" t="n">
        <v>8.119999999999999</v>
      </c>
      <c r="J41" s="76" t="n">
        <v>9.130000000000001</v>
      </c>
      <c r="K41" s="110" t="inlineStr">
        <is>
          <t>A-</t>
        </is>
      </c>
      <c r="L41" s="91" t="inlineStr">
        <is>
          <t>A-</t>
        </is>
      </c>
      <c r="M41" s="226" t="inlineStr">
        <is>
          <t>A+</t>
        </is>
      </c>
      <c r="N41" s="86">
        <f>TRUNC(AVERAGE(D41:J41),2)</f>
        <v/>
      </c>
      <c r="O41" s="99" t="inlineStr">
        <is>
          <t>S</t>
        </is>
      </c>
      <c r="P41" s="97" t="inlineStr">
        <is>
          <t>PROMOVIDO</t>
        </is>
      </c>
    </row>
    <row r="42" ht="13.5" customHeight="1" s="254">
      <c r="A42" s="56" t="n">
        <v>35</v>
      </c>
      <c r="B42" s="61" t="inlineStr">
        <is>
          <t>TAMAYO SIAVICHAY EMILY ALEJANDRA</t>
        </is>
      </c>
      <c r="C42" s="64" t="n"/>
      <c r="D42" s="63" t="n">
        <v>9.51</v>
      </c>
      <c r="E42" s="77" t="n">
        <v>9.460000000000001</v>
      </c>
      <c r="F42" s="142" t="n">
        <v>8.98</v>
      </c>
      <c r="G42" s="104" t="n">
        <v>9.73</v>
      </c>
      <c r="H42" s="107" t="n">
        <v>8.84</v>
      </c>
      <c r="I42" s="136" t="n">
        <v>9.18</v>
      </c>
      <c r="J42" s="76" t="n">
        <v>9.48</v>
      </c>
      <c r="K42" s="110" t="inlineStr">
        <is>
          <t>A+</t>
        </is>
      </c>
      <c r="L42" s="91" t="inlineStr">
        <is>
          <t>A+</t>
        </is>
      </c>
      <c r="M42" s="226" t="inlineStr">
        <is>
          <t>A+</t>
        </is>
      </c>
      <c r="N42" s="86">
        <f>TRUNC(AVERAGE(D42:J42),2)</f>
        <v/>
      </c>
      <c r="O42" s="99" t="inlineStr">
        <is>
          <t>S</t>
        </is>
      </c>
      <c r="P42" s="97" t="inlineStr">
        <is>
          <t>PROMOVIDO</t>
        </is>
      </c>
    </row>
    <row r="43" ht="15" customHeight="1" s="254">
      <c r="A43" s="56" t="n">
        <v>36</v>
      </c>
      <c r="B43" s="61" t="inlineStr">
        <is>
          <t>TORRES LATA ADRIANA JAZU</t>
        </is>
      </c>
      <c r="C43" s="64" t="n"/>
      <c r="D43" s="63" t="n">
        <v>8.640000000000001</v>
      </c>
      <c r="E43" s="77" t="n">
        <v>8.18</v>
      </c>
      <c r="F43" s="142" t="n">
        <v>7.89</v>
      </c>
      <c r="G43" s="104" t="n">
        <v>7.82</v>
      </c>
      <c r="H43" s="134" t="n">
        <v>7.5</v>
      </c>
      <c r="I43" s="136" t="n">
        <v>8.51</v>
      </c>
      <c r="J43" s="76" t="n">
        <v>9.390000000000001</v>
      </c>
      <c r="K43" s="110" t="inlineStr">
        <is>
          <t>B+</t>
        </is>
      </c>
      <c r="L43" s="91" t="inlineStr">
        <is>
          <t>A-</t>
        </is>
      </c>
      <c r="M43" s="226" t="inlineStr">
        <is>
          <t>A+</t>
        </is>
      </c>
      <c r="N43" s="86">
        <f>TRUNC(AVERAGE(D43:J43),2)</f>
        <v/>
      </c>
      <c r="O43" s="99" t="inlineStr">
        <is>
          <t>S</t>
        </is>
      </c>
      <c r="P43" s="97" t="inlineStr">
        <is>
          <t>PROMOVIDO</t>
        </is>
      </c>
    </row>
    <row r="44" ht="14.25" customHeight="1" s="254">
      <c r="A44" s="124" t="n">
        <v>37</v>
      </c>
      <c r="B44" s="61" t="inlineStr">
        <is>
          <t>VACA GONZALEZ PAUL GEOVANNY</t>
        </is>
      </c>
      <c r="C44" s="64" t="n"/>
      <c r="D44" s="63" t="n">
        <v>7.54</v>
      </c>
      <c r="E44" s="77" t="n">
        <v>7.01</v>
      </c>
      <c r="F44" s="142" t="n">
        <v>7</v>
      </c>
      <c r="G44" s="104" t="n">
        <v>7</v>
      </c>
      <c r="H44" s="107" t="n">
        <v>7</v>
      </c>
      <c r="I44" s="136" t="n">
        <v>7.53</v>
      </c>
      <c r="J44" s="76" t="n">
        <v>7</v>
      </c>
      <c r="K44" s="110" t="inlineStr">
        <is>
          <t>B-</t>
        </is>
      </c>
      <c r="L44" s="91" t="inlineStr">
        <is>
          <t>B+</t>
        </is>
      </c>
      <c r="M44" s="226" t="inlineStr">
        <is>
          <t>B+</t>
        </is>
      </c>
      <c r="N44" s="86">
        <f>TRUNC(AVERAGE(D44:J44),2)</f>
        <v/>
      </c>
      <c r="O44" s="99" t="inlineStr">
        <is>
          <t>O</t>
        </is>
      </c>
      <c r="P44" s="132" t="inlineStr">
        <is>
          <t>NO PROMOVIDO</t>
        </is>
      </c>
    </row>
    <row r="45" ht="15" customHeight="1" s="254">
      <c r="A45" s="56" t="n">
        <v>38</v>
      </c>
      <c r="B45" s="61" t="inlineStr">
        <is>
          <t>VASQUEZ YUNGA JHOSUE DAMIAN</t>
        </is>
      </c>
      <c r="C45" s="64" t="n"/>
      <c r="D45" s="63" t="n">
        <v>8.17</v>
      </c>
      <c r="E45" s="77" t="n">
        <v>7.39</v>
      </c>
      <c r="F45" s="142" t="n">
        <v>7.29</v>
      </c>
      <c r="G45" s="104" t="n">
        <v>7.47</v>
      </c>
      <c r="H45" s="107" t="n">
        <v>7.16</v>
      </c>
      <c r="I45" s="136" t="n">
        <v>7.76</v>
      </c>
      <c r="J45" s="76" t="n">
        <v>8.33</v>
      </c>
      <c r="K45" s="110" t="inlineStr">
        <is>
          <t>B+</t>
        </is>
      </c>
      <c r="L45" s="91" t="inlineStr">
        <is>
          <t>B+</t>
        </is>
      </c>
      <c r="M45" s="226" t="inlineStr">
        <is>
          <t>B-</t>
        </is>
      </c>
      <c r="N45" s="86">
        <f>TRUNC(AVERAGE(D45:J45),2)</f>
        <v/>
      </c>
      <c r="O45" s="99" t="inlineStr">
        <is>
          <t>O</t>
        </is>
      </c>
      <c r="P45" s="97" t="inlineStr">
        <is>
          <t>PROMOVIDO</t>
        </is>
      </c>
    </row>
    <row r="46" ht="15" customHeight="1" s="254">
      <c r="A46" s="56" t="n">
        <v>39</v>
      </c>
      <c r="B46" s="61" t="inlineStr">
        <is>
          <t>YADAICELA SAICO JHOSTIN MATEO</t>
        </is>
      </c>
      <c r="C46" s="64" t="n"/>
      <c r="D46" s="63" t="n">
        <v>8.960000000000001</v>
      </c>
      <c r="E46" s="77" t="n">
        <v>9.01</v>
      </c>
      <c r="F46" s="142" t="n">
        <v>8.51</v>
      </c>
      <c r="G46" s="104" t="n">
        <v>8.199999999999999</v>
      </c>
      <c r="H46" s="107" t="n">
        <v>8.58</v>
      </c>
      <c r="I46" s="136" t="n">
        <v>8.630000000000001</v>
      </c>
      <c r="J46" s="76" t="n">
        <v>8.710000000000001</v>
      </c>
      <c r="K46" s="110" t="inlineStr">
        <is>
          <t>A-</t>
        </is>
      </c>
      <c r="L46" s="91" t="inlineStr">
        <is>
          <t>A-</t>
        </is>
      </c>
      <c r="M46" s="226" t="inlineStr">
        <is>
          <t>A-</t>
        </is>
      </c>
      <c r="N46" s="86">
        <f>TRUNC(AVERAGE(D46:J46),2)</f>
        <v/>
      </c>
      <c r="O46" s="99" t="inlineStr">
        <is>
          <t>S</t>
        </is>
      </c>
      <c r="P46" s="97" t="inlineStr">
        <is>
          <t>PROMOVIDO</t>
        </is>
      </c>
    </row>
    <row r="47" ht="15" customHeight="1" s="254">
      <c r="A47" s="56" t="n">
        <v>40</v>
      </c>
      <c r="B47" s="61" t="inlineStr">
        <is>
          <t>YANZA JARRIN JEFFREY ALBERTO</t>
        </is>
      </c>
      <c r="C47" s="64" t="n"/>
      <c r="D47" s="63" t="n">
        <v>9.039999999999999</v>
      </c>
      <c r="E47" s="77" t="n">
        <v>9.210000000000001</v>
      </c>
      <c r="F47" s="142" t="n">
        <v>7.93</v>
      </c>
      <c r="G47" s="104" t="n">
        <v>8.92</v>
      </c>
      <c r="H47" s="107" t="n">
        <v>9.119999999999999</v>
      </c>
      <c r="I47" s="159" t="n">
        <v>8.800000000000001</v>
      </c>
      <c r="J47" s="76" t="n">
        <v>9.32</v>
      </c>
      <c r="K47" s="161" t="inlineStr">
        <is>
          <t>A-</t>
        </is>
      </c>
      <c r="L47" s="91" t="inlineStr">
        <is>
          <t>A-</t>
        </is>
      </c>
      <c r="M47" s="226" t="inlineStr">
        <is>
          <t>A-</t>
        </is>
      </c>
      <c r="N47" s="86">
        <f>TRUNC(AVERAGE(D47:J47),2)</f>
        <v/>
      </c>
      <c r="O47" s="88" t="inlineStr">
        <is>
          <t>S</t>
        </is>
      </c>
      <c r="P47" s="97" t="inlineStr">
        <is>
          <t>PROMOVIDO</t>
        </is>
      </c>
    </row>
    <row r="48" ht="15" customHeight="1" s="254">
      <c r="A48" s="164" t="n">
        <v>40</v>
      </c>
      <c r="B48" s="261" t="inlineStr">
        <is>
          <t>Promedio</t>
        </is>
      </c>
      <c r="D48" s="145">
        <f>AVERAGE(D10:D47)</f>
        <v/>
      </c>
      <c r="E48" s="146">
        <f>AVERAGE(E10:E47)</f>
        <v/>
      </c>
      <c r="F48" s="147">
        <f>AVERAGE(F10:F47)</f>
        <v/>
      </c>
      <c r="G48" s="148">
        <f>AVERAGE(G10:G47)</f>
        <v/>
      </c>
      <c r="H48" s="149">
        <f>AVERAGE(H10:H47)</f>
        <v/>
      </c>
      <c r="I48" s="159">
        <f>AVERAGE(I10:I47)</f>
        <v/>
      </c>
      <c r="J48" s="154">
        <f>AVERAGE(J10:J47)</f>
        <v/>
      </c>
      <c r="K48" s="154" t="n"/>
      <c r="L48" s="169" t="n"/>
      <c r="M48" s="169" t="n"/>
      <c r="N48" s="154">
        <f>AVERAGE(N10:N47)</f>
        <v/>
      </c>
      <c r="O48" s="169" t="n"/>
      <c r="P48" s="170" t="n"/>
      <c r="Q48" s="172" t="n"/>
    </row>
    <row r="49" ht="15" customHeight="1" s="254">
      <c r="A49" s="57" t="n"/>
      <c r="B49" s="277">
        <f>IFERROR(IF(AND($C$4="OCTAVO A",$K$3="MATUTINA"),VLOOKUP(A49,OCTAVO_A_MAT,2,FALSE),IF(AND($C$4="OCTAVO B",$K$3="MATUTINA"),VLOOKUP(A49,OCTAVO_B_MAT,2,FALSE),IF(AND($C$4="NOVENO A",$K$3="MATUTINA"),VLOOKUP(A49,NOVENO_A_MAT,2,FALSE),IF(AND($C$4="NOVENO B",$K$3="MATUTINA"),VLOOKUP(A49,NOVENO_B_MAT,2,FALSE),IF(AND($C$4="DÉCIMO A",$K$3="MATUTINA"),VLOOKUP(A49,DECIMO_A_MAT,2,FALSE),IF(AND($C$4="DÉCIMO B",$K$3="MATUTINA"),VLOOKUP(A49,DECIMO_B_MAT,2,FALSE),IF(AND($C$4="OCTAVO A",$K$3="VESPERTINA"),VLOOKUP(A49,OCTAVO_A_VESP,2,FALSE),IF(AND($C$4="OCTAVO B",$K$3="VESPERTINA"),VLOOKUP(A49,OCTAVO_B_VESP,2,FALSE),IF(AND($C$4="NOVENO A",$K$3="VESPERTINA"),VLOOKUP(A49,NOVENO_A_VESP,2,FALSE),IF(AND($C$4="NOVENO B",$K$3="VESPERTINA"),VLOOKUP(A49,NOVENO_B_VESP,2,FALSE),IF(AND($C$4="DÉCIMO A",$K$3="VESPERTINA"),VLOOKUP(A49,DECIMO_A_VESP,2,FALSE),IF(AND($C$4="DÉCIMO B",$K$3="VESPERTINA"),VLOOKUP(A49,DECIMO_B_VESP,2,FALSE),IF(AND($C$4="QUINTO A",$K$3="MATUTINA"),VLOOKUP(A49,QUINTO_A_MAT,2,FALSE),IF(AND($C$4="QUINTO B",$K$3="MATUTINA"),VLOOKUP(A49,QUINTO_B_MAT,2,FALSE),IF(AND($C$4="SEXTO A",$K$3="MATUTINA"),VLOOKUP(A49,SEXTO_A_MAT,2,FALSE),IF(AND($C$4="SEXTO B",$K$3="MATUTINA"),VLOOKUP(A49,SEXTO_B_MAT,2,FALSE),IF(AND($C$4="SÉPTIMO A",$K$3="MATUTINA"),VLOOKUP(A49,SEPTIMO_A_MATU,2,FALSE),IF(AND($C$4="SÉPTIMO B",$K$3="MATUTINA"),VLOOKUP(A49,SEPTIMO_B_MAT,2,FALSE),IF(AND($C$4="QUINTO A",$K$3="VESPERTINA"),VLOOKUP(A49,QUINTO_A_VES,2,FALSE),IF(AND($C$4="QUINTO B",$K$3="VESPERTINA"),VLOOKUP(A49,QUINTO_B_VES,2,FALSE),IF(AND($C$4="SEXTO A",$K$3="VESPERTINA"),VLOOKUP(A49,SEXTO_A_VES,2,FALSE),IF(AND($C$4="SEXTO B",$K$3="VESPERTINA"),VLOOKUP(A49,SEXTO_B_VES,2,FALSE),IF(AND($C$4="SÉPTIMO A",$K$3="VESPERTINA"),VLOOKUP(A49,SEPTIMO_A_VES,2,FALSE),IF(AND($C$4="SÉPTIMO B",$K$3="VESPERTINA"),VLOOKUP(A49,SEPTIMO_B_VES,2,FALSE),"")))))))))))))))))))))))),"")</f>
        <v/>
      </c>
      <c r="C49" s="265" t="n"/>
      <c r="D49" s="214" t="n"/>
      <c r="E49" s="214" t="n"/>
      <c r="F49" s="214" t="n"/>
      <c r="G49" s="214" t="n"/>
      <c r="H49" s="214" t="n"/>
      <c r="I49" s="214" t="n"/>
      <c r="J49" s="215" t="n"/>
      <c r="K49" s="215" t="n"/>
      <c r="L49" s="215" t="n"/>
      <c r="M49" s="215" t="n"/>
      <c r="N49" s="214" t="n"/>
      <c r="O49" s="217" t="n"/>
      <c r="P49" s="194" t="n"/>
      <c r="Q49" s="172" t="n"/>
    </row>
    <row r="50" ht="14.25" customHeight="1" s="254">
      <c r="A50" s="57" t="n"/>
      <c r="B50" s="277">
        <f>IFERROR(IF(AND($C$4="OCTAVO A",$K$3="MATUTINA"),VLOOKUP(A50,OCTAVO_A_MAT,2,FALSE),IF(AND($C$4="OCTAVO B",$K$3="MATUTINA"),VLOOKUP(A50,OCTAVO_B_MAT,2,FALSE),IF(AND($C$4="NOVENO A",$K$3="MATUTINA"),VLOOKUP(A50,NOVENO_A_MAT,2,FALSE),IF(AND($C$4="NOVENO B",$K$3="MATUTINA"),VLOOKUP(A50,NOVENO_B_MAT,2,FALSE),IF(AND($C$4="DÉCIMO A",$K$3="MATUTINA"),VLOOKUP(A50,DECIMO_A_MAT,2,FALSE),IF(AND($C$4="DÉCIMO B",$K$3="MATUTINA"),VLOOKUP(A50,DECIMO_B_MAT,2,FALSE),IF(AND($C$4="OCTAVO A",$K$3="VESPERTINA"),VLOOKUP(A50,OCTAVO_A_VESP,2,FALSE),IF(AND($C$4="OCTAVO B",$K$3="VESPERTINA"),VLOOKUP(A50,OCTAVO_B_VESP,2,FALSE),IF(AND($C$4="NOVENO A",$K$3="VESPERTINA"),VLOOKUP(A50,NOVENO_A_VESP,2,FALSE),IF(AND($C$4="NOVENO B",$K$3="VESPERTINA"),VLOOKUP(A50,NOVENO_B_VESP,2,FALSE),IF(AND($C$4="DÉCIMO A",$K$3="VESPERTINA"),VLOOKUP(A50,DECIMO_A_VESP,2,FALSE),IF(AND($C$4="DÉCIMO B",$K$3="VESPERTINA"),VLOOKUP(A50,DECIMO_B_VESP,2,FALSE),IF(AND($C$4="QUINTO A",$K$3="MATUTINA"),VLOOKUP(A50,QUINTO_A_MAT,2,FALSE),IF(AND($C$4="QUINTO B",$K$3="MATUTINA"),VLOOKUP(A50,QUINTO_B_MAT,2,FALSE),IF(AND($C$4="SEXTO A",$K$3="MATUTINA"),VLOOKUP(A50,SEXTO_A_MAT,2,FALSE),IF(AND($C$4="SEXTO B",$K$3="MATUTINA"),VLOOKUP(A50,SEXTO_B_MAT,2,FALSE),IF(AND($C$4="SÉPTIMO A",$K$3="MATUTINA"),VLOOKUP(A50,SEPTIMO_A_MATU,2,FALSE),IF(AND($C$4="SÉPTIMO B",$K$3="MATUTINA"),VLOOKUP(A50,SEPTIMO_B_MAT,2,FALSE),IF(AND($C$4="QUINTO A",$K$3="VESPERTINA"),VLOOKUP(A50,QUINTO_A_VES,2,FALSE),IF(AND($C$4="QUINTO B",$K$3="VESPERTINA"),VLOOKUP(A50,QUINTO_B_VES,2,FALSE),IF(AND($C$4="SEXTO A",$K$3="VESPERTINA"),VLOOKUP(A50,SEXTO_A_VES,2,FALSE),IF(AND($C$4="SEXTO B",$K$3="VESPERTINA"),VLOOKUP(A50,SEXTO_B_VES,2,FALSE),IF(AND($C$4="SÉPTIMO A",$K$3="VESPERTINA"),VLOOKUP(A50,SEPTIMO_A_VES,2,FALSE),IF(AND($C$4="SÉPTIMO B",$K$3="VESPERTINA"),VLOOKUP(A50,SEPTIMO_B_VES,2,FALSE),"")))))))))))))))))))))))),"")</f>
        <v/>
      </c>
      <c r="C50" s="265" t="n"/>
      <c r="D50" s="218" t="n"/>
      <c r="E50" s="218" t="n"/>
      <c r="F50" s="218" t="n"/>
      <c r="G50" s="218" t="n"/>
      <c r="H50" s="218" t="n"/>
      <c r="I50" s="218" t="n"/>
      <c r="J50" s="219" t="n"/>
      <c r="K50" s="219" t="n"/>
      <c r="L50" s="219" t="n"/>
      <c r="M50" s="219" t="n"/>
      <c r="N50" s="220" t="n"/>
      <c r="O50" s="221" t="n"/>
      <c r="P50" s="194" t="n"/>
      <c r="Q50" s="172" t="n"/>
    </row>
    <row r="51" ht="14.25" customHeight="1" s="254">
      <c r="A51" s="209" t="n"/>
      <c r="B51" s="262" t="inlineStr">
        <is>
          <t xml:space="preserve">Ing. Sonia Chicaiza Mgtr. </t>
        </is>
      </c>
      <c r="D51" s="263" t="inlineStr">
        <is>
          <t xml:space="preserve">Lcda. Isabel Carpio Mgtr. </t>
        </is>
      </c>
      <c r="E51" s="264" t="n"/>
      <c r="F51" s="264" t="n"/>
      <c r="G51" s="265" t="n"/>
      <c r="H51" s="211" t="n"/>
      <c r="I51" s="263" t="inlineStr">
        <is>
          <t xml:space="preserve">Lcdo. Santiago Quezada Mgtr. </t>
        </is>
      </c>
      <c r="J51" s="264" t="n"/>
      <c r="K51" s="264" t="n"/>
      <c r="L51" s="264" t="n"/>
      <c r="M51" s="265" t="n"/>
      <c r="N51" s="220" t="n"/>
      <c r="O51" s="221" t="n"/>
      <c r="P51" s="194" t="n"/>
      <c r="Q51" s="172" t="n"/>
    </row>
    <row r="52" ht="14.25" customHeight="1" s="254">
      <c r="A52" s="209" t="n"/>
      <c r="B52" s="262" t="inlineStr">
        <is>
          <t>Rectora (e)</t>
        </is>
      </c>
      <c r="D52" s="263" t="inlineStr">
        <is>
          <t>Vicerrectora (e)Matutina</t>
        </is>
      </c>
      <c r="E52" s="264" t="n"/>
      <c r="F52" s="264" t="n"/>
      <c r="G52" s="265" t="n"/>
      <c r="H52" s="211" t="n"/>
      <c r="I52" s="263" t="inlineStr">
        <is>
          <t>Docente Tutor</t>
        </is>
      </c>
      <c r="J52" s="264" t="n"/>
      <c r="K52" s="264" t="n"/>
      <c r="L52" s="265" t="n"/>
      <c r="M52" s="219" t="n"/>
      <c r="N52" s="220" t="n"/>
      <c r="O52" s="221" t="n"/>
      <c r="P52" s="194" t="n"/>
      <c r="Q52" s="172" t="n"/>
    </row>
    <row r="53" ht="14.25" customHeight="1" s="254">
      <c r="P53" s="157" t="n"/>
    </row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4.25" customHeight="1" s="254"/>
    <row r="243" ht="14.25" customHeight="1" s="254"/>
    <row r="244" ht="14.25" customHeight="1" s="254"/>
    <row r="245" ht="14.25" customHeight="1" s="254"/>
    <row r="246" ht="14.25" customHeight="1" s="254"/>
    <row r="247" ht="14.25" customHeight="1" s="254"/>
    <row r="248" ht="14.25" customHeight="1" s="254"/>
    <row r="249" ht="14.25" customHeight="1" s="254"/>
    <row r="250" ht="14.25" customHeight="1" s="254"/>
    <row r="251" ht="14.25" customHeight="1" s="254"/>
    <row r="252" ht="14.2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</sheetData>
  <mergeCells count="16">
    <mergeCell ref="I52:L52"/>
    <mergeCell ref="B52:C52"/>
    <mergeCell ref="B6:P6"/>
    <mergeCell ref="I4:J4"/>
    <mergeCell ref="B2:P2"/>
    <mergeCell ref="B48:C48"/>
    <mergeCell ref="K3:N3"/>
    <mergeCell ref="A1:P1"/>
    <mergeCell ref="B51:C51"/>
    <mergeCell ref="I51:M51"/>
    <mergeCell ref="D52:G52"/>
    <mergeCell ref="C3:E3"/>
    <mergeCell ref="B50:C50"/>
    <mergeCell ref="D51:G51"/>
    <mergeCell ref="B49:C49"/>
    <mergeCell ref="I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4.71" customWidth="1" style="254" min="1" max="1"/>
    <col width="20.43" customWidth="1" style="254" min="2" max="2"/>
    <col width="13.71" customWidth="1" style="254" min="3" max="3"/>
    <col width="6.29" customWidth="1" style="254" min="4" max="4"/>
    <col width="8.710000000000001" customWidth="1" style="254" min="5" max="5"/>
    <col width="6.29" customWidth="1" style="254" min="6" max="6"/>
    <col width="8.140000000000001" customWidth="1" style="254" min="14" max="14"/>
    <col width="7.57" customWidth="1" style="254" min="15" max="15"/>
    <col width="13" customWidth="1" style="254" min="16" max="16"/>
    <col width="20.71" customWidth="1" style="254" min="17" max="17"/>
    <col width="7.14" customWidth="1" style="254" min="18" max="18"/>
  </cols>
  <sheetData>
    <row r="1" ht="72.75" customHeight="1" s="254">
      <c r="A1" s="2" t="inlineStr">
        <is>
          <t>UNIDAD EDUCATIVA "ESTADOS UNIDOS DE NORTE AMÉRICA" 
Correo electrónico: eeuuescuela@gmail.com  eeuuvicerrectorado@gmail.com
Teléfono: (07)289-0677 Distrito: 01D01  Zona:6</t>
        </is>
      </c>
    </row>
    <row r="2" ht="14.25" customHeight="1" s="254">
      <c r="A2" s="3" t="n"/>
      <c r="B2" s="4" t="inlineStr">
        <is>
          <t>AÑO LECTIVO: 2025-2026</t>
        </is>
      </c>
    </row>
    <row r="3" ht="14.25" customHeight="1" s="254">
      <c r="B3" s="5" t="inlineStr">
        <is>
          <t xml:space="preserve">DOCENTE:             </t>
        </is>
      </c>
      <c r="C3" s="6" t="inlineStr">
        <is>
          <t>Ing. Javier Velez</t>
        </is>
      </c>
      <c r="F3" s="7" t="n"/>
      <c r="G3" s="7" t="n"/>
      <c r="H3" s="7" t="n"/>
      <c r="I3" s="8" t="inlineStr">
        <is>
          <t xml:space="preserve">JORNADA: </t>
        </is>
      </c>
      <c r="K3" s="9" t="inlineStr">
        <is>
          <t>MATUTINA</t>
        </is>
      </c>
    </row>
    <row r="4" ht="14.25" customHeight="1" s="254">
      <c r="B4" s="10" t="inlineStr">
        <is>
          <t xml:space="preserve">AÑO DE EGB:        </t>
        </is>
      </c>
      <c r="C4" s="11" t="inlineStr">
        <is>
          <t>NOVENO B</t>
        </is>
      </c>
      <c r="D4" s="12" t="inlineStr">
        <is>
          <t>B</t>
        </is>
      </c>
      <c r="E4" s="7" t="n"/>
      <c r="F4" s="7" t="n"/>
      <c r="G4" s="7" t="n"/>
      <c r="H4" s="7" t="n"/>
      <c r="I4" s="8" t="n"/>
      <c r="K4" s="13" t="n"/>
      <c r="M4" s="7" t="n"/>
    </row>
    <row r="5" ht="6" customHeight="1" s="254">
      <c r="B5" s="14" t="n"/>
      <c r="C5" s="14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 ht="14.25" customHeight="1" s="254">
      <c r="B6" s="255" t="inlineStr">
        <is>
          <t>CONSOLIDADO FINAL</t>
        </is>
      </c>
    </row>
    <row r="7" ht="157.5" customHeight="1" s="254">
      <c r="A7" s="23" t="inlineStr">
        <is>
          <t>No</t>
        </is>
      </c>
      <c r="B7" s="278" t="inlineStr">
        <is>
          <t>NOMINA</t>
        </is>
      </c>
      <c r="C7" s="256" t="n"/>
      <c r="D7" s="31" t="inlineStr">
        <is>
          <t>LENGUA Y LITERATURA</t>
        </is>
      </c>
      <c r="E7" s="33" t="inlineStr">
        <is>
          <t>MATEMÁTICA</t>
        </is>
      </c>
      <c r="F7" s="35" t="inlineStr">
        <is>
          <t>CIENCIAS NATURALES</t>
        </is>
      </c>
      <c r="G7" s="37" t="inlineStr">
        <is>
          <t>ESTUDIOS SOCIALES</t>
        </is>
      </c>
      <c r="H7" s="39" t="inlineStr">
        <is>
          <t>INGLÉS</t>
        </is>
      </c>
      <c r="I7" s="41" t="inlineStr">
        <is>
          <t>EDUCACIÓN CULTURAL Y ARTISTICA</t>
        </is>
      </c>
      <c r="J7" s="44" t="inlineStr">
        <is>
          <t>EDUCACIÓN FÍSICA</t>
        </is>
      </c>
      <c r="K7" s="45" t="inlineStr">
        <is>
          <t>ANIMACIÓN A LA LECTURA</t>
        </is>
      </c>
      <c r="L7" s="47" t="inlineStr">
        <is>
          <t>ACOMPAÑAMIENTO INTEGRAL EN EL AULA</t>
        </is>
      </c>
      <c r="M7" s="49" t="inlineStr">
        <is>
          <t>ORIENTACIÓN VOCACIONAL</t>
        </is>
      </c>
      <c r="N7" s="51" t="inlineStr">
        <is>
          <t>PROMEDIO FINAL</t>
        </is>
      </c>
      <c r="O7" s="53" t="inlineStr">
        <is>
          <t>COMPORTAMIENTO</t>
        </is>
      </c>
      <c r="P7" s="55" t="inlineStr">
        <is>
          <t>OBSERVACIONES</t>
        </is>
      </c>
    </row>
    <row r="8" ht="14.25" customHeight="1" s="254">
      <c r="A8" s="56" t="n">
        <v>1</v>
      </c>
      <c r="B8" s="279" t="inlineStr">
        <is>
          <t>AGUAYZA URGILES ERICK HERNAN</t>
        </is>
      </c>
      <c r="C8" s="280" t="n"/>
      <c r="D8" s="63" t="n">
        <v>7.73</v>
      </c>
      <c r="E8" s="77" t="n">
        <v>8.06</v>
      </c>
      <c r="F8" s="142" t="n">
        <v>7.1</v>
      </c>
      <c r="G8" s="70" t="n">
        <v>7.47</v>
      </c>
      <c r="H8" s="73" t="n">
        <v>7.21</v>
      </c>
      <c r="I8" s="75" t="n">
        <v>7.96</v>
      </c>
      <c r="J8" s="76" t="n">
        <v>7.91</v>
      </c>
      <c r="K8" s="79" t="inlineStr">
        <is>
          <t>B-</t>
        </is>
      </c>
      <c r="L8" s="81" t="inlineStr">
        <is>
          <t>A-</t>
        </is>
      </c>
      <c r="M8" s="65" t="inlineStr">
        <is>
          <t>A+</t>
        </is>
      </c>
      <c r="N8" s="86">
        <f>TRUNC(AVERAGE(D8:J8),2)</f>
        <v/>
      </c>
      <c r="O8" s="93" t="inlineStr">
        <is>
          <t>F</t>
        </is>
      </c>
      <c r="P8" s="97" t="inlineStr">
        <is>
          <t>PROMOVIDO</t>
        </is>
      </c>
      <c r="Q8" s="100" t="n"/>
    </row>
    <row r="9" ht="15" customHeight="1" s="254">
      <c r="A9" s="56" t="n">
        <v>2</v>
      </c>
      <c r="B9" s="101" t="inlineStr">
        <is>
          <t>AVILA SANCHEZ ANDY SEBASTIAN</t>
        </is>
      </c>
      <c r="C9" s="103" t="n"/>
      <c r="D9" s="63" t="n">
        <v>7.95</v>
      </c>
      <c r="E9" s="77" t="n">
        <v>7.84</v>
      </c>
      <c r="F9" s="142" t="n">
        <v>7.35</v>
      </c>
      <c r="G9" s="104" t="n">
        <v>8.26</v>
      </c>
      <c r="H9" s="107" t="n">
        <v>7.27</v>
      </c>
      <c r="I9" s="109" t="n">
        <v>8.119999999999999</v>
      </c>
      <c r="J9" s="76" t="n">
        <v>8.869999999999999</v>
      </c>
      <c r="K9" s="79" t="inlineStr">
        <is>
          <t>B-</t>
        </is>
      </c>
      <c r="L9" s="81" t="inlineStr">
        <is>
          <t>A-</t>
        </is>
      </c>
      <c r="M9" s="65" t="inlineStr">
        <is>
          <t>A+</t>
        </is>
      </c>
      <c r="N9" s="86">
        <f>TRUNC(AVERAGE(D9:J9),2)</f>
        <v/>
      </c>
      <c r="O9" s="93" t="inlineStr">
        <is>
          <t>S</t>
        </is>
      </c>
      <c r="P9" s="97" t="inlineStr">
        <is>
          <t>PROMOVIDO</t>
        </is>
      </c>
      <c r="Q9" s="113" t="inlineStr">
        <is>
          <t>PRIMER LUGAR</t>
        </is>
      </c>
      <c r="R9" s="115">
        <f>LARGE(N8:N47,1)</f>
        <v/>
      </c>
      <c r="S9" s="123" t="inlineStr">
        <is>
          <t>PERALTA S</t>
        </is>
      </c>
    </row>
    <row r="10" ht="15" customHeight="1" s="254">
      <c r="A10" s="124" t="n">
        <v>3</v>
      </c>
      <c r="B10" s="101" t="inlineStr">
        <is>
          <t xml:space="preserve">AZANZA CHILLOGALLI JUAN CARLOS </t>
        </is>
      </c>
      <c r="C10" s="103" t="n"/>
      <c r="D10" s="63" t="n">
        <v>7.34</v>
      </c>
      <c r="E10" s="77" t="n">
        <v>7.31</v>
      </c>
      <c r="F10" s="142" t="n">
        <v>7.63</v>
      </c>
      <c r="G10" s="104" t="n">
        <v>7.3</v>
      </c>
      <c r="H10" s="107" t="n">
        <v>7.94</v>
      </c>
      <c r="I10" s="109" t="n">
        <v>7.64</v>
      </c>
      <c r="J10" s="76" t="n">
        <v>8.699999999999999</v>
      </c>
      <c r="K10" s="79" t="inlineStr">
        <is>
          <t>B+</t>
        </is>
      </c>
      <c r="L10" s="81" t="inlineStr">
        <is>
          <t>A+</t>
        </is>
      </c>
      <c r="M10" s="65" t="inlineStr">
        <is>
          <t>A+</t>
        </is>
      </c>
      <c r="N10" s="86">
        <f>TRUNC(AVERAGE(D10:J10),2)</f>
        <v/>
      </c>
      <c r="O10" s="93" t="inlineStr">
        <is>
          <t>S</t>
        </is>
      </c>
      <c r="P10" s="97" t="inlineStr">
        <is>
          <t>PROMOVIDO</t>
        </is>
      </c>
      <c r="Q10" s="113" t="inlineStr">
        <is>
          <t>SEGUNDO LUGAR</t>
        </is>
      </c>
      <c r="R10" s="118">
        <f>LARGE(N8:N47,2)</f>
        <v/>
      </c>
      <c r="S10" s="123" t="inlineStr">
        <is>
          <t>LLAPA E</t>
        </is>
      </c>
    </row>
    <row r="11" ht="15" customHeight="1" s="254">
      <c r="A11" s="56" t="n">
        <v>4</v>
      </c>
      <c r="B11" s="101" t="inlineStr">
        <is>
          <t>BARRETO UZHCA CHRISTOPHER ADRIAN</t>
        </is>
      </c>
      <c r="C11" s="103" t="n"/>
      <c r="D11" s="63" t="n">
        <v>8.970000000000001</v>
      </c>
      <c r="E11" s="77" t="n">
        <v>8.609999999999999</v>
      </c>
      <c r="F11" s="142" t="n">
        <v>8.050000000000001</v>
      </c>
      <c r="G11" s="104" t="n">
        <v>8.390000000000001</v>
      </c>
      <c r="H11" s="120" t="n">
        <v>8.01</v>
      </c>
      <c r="I11" s="109" t="n">
        <v>8.84</v>
      </c>
      <c r="J11" s="76" t="n">
        <v>9.24</v>
      </c>
      <c r="K11" s="79" t="inlineStr">
        <is>
          <t>A-</t>
        </is>
      </c>
      <c r="L11" s="81" t="inlineStr">
        <is>
          <t>A+</t>
        </is>
      </c>
      <c r="M11" s="65" t="inlineStr">
        <is>
          <t>A+</t>
        </is>
      </c>
      <c r="N11" s="86">
        <f>TRUNC(AVERAGE(D11:J11),2)</f>
        <v/>
      </c>
      <c r="O11" s="93" t="inlineStr">
        <is>
          <t>S</t>
        </is>
      </c>
      <c r="P11" s="97" t="inlineStr">
        <is>
          <t>PROMOVIDO</t>
        </is>
      </c>
      <c r="Q11" s="113" t="inlineStr">
        <is>
          <t>TERCER LUGAR</t>
        </is>
      </c>
      <c r="R11" s="118">
        <f>LARGE(N8:N47,3)</f>
        <v/>
      </c>
      <c r="S11" s="123" t="inlineStr">
        <is>
          <t>PINTADO</t>
        </is>
      </c>
    </row>
    <row r="12" ht="15" customHeight="1" s="254">
      <c r="A12" s="56" t="n">
        <v>5</v>
      </c>
      <c r="B12" s="291" t="inlineStr">
        <is>
          <t>CABRERA CANDO LIZBETH CAROLINA</t>
        </is>
      </c>
      <c r="C12" s="103" t="n"/>
      <c r="D12" s="63" t="n">
        <v>8.050000000000001</v>
      </c>
      <c r="E12" s="77" t="n">
        <v>7</v>
      </c>
      <c r="F12" s="142" t="n">
        <v>7</v>
      </c>
      <c r="G12" s="104" t="n">
        <v>7.13</v>
      </c>
      <c r="H12" s="107" t="n">
        <v>7</v>
      </c>
      <c r="I12" s="289" t="n">
        <v>8.43</v>
      </c>
      <c r="J12" s="76" t="n">
        <v>7.95</v>
      </c>
      <c r="K12" s="79" t="inlineStr">
        <is>
          <t>B-</t>
        </is>
      </c>
      <c r="L12" s="81" t="inlineStr">
        <is>
          <t>A-</t>
        </is>
      </c>
      <c r="M12" s="65" t="inlineStr">
        <is>
          <t>A-</t>
        </is>
      </c>
      <c r="N12" s="285">
        <f>TRUNC(AVERAGE(D12:J12),2)</f>
        <v/>
      </c>
      <c r="O12" s="93" t="inlineStr">
        <is>
          <t>F</t>
        </is>
      </c>
      <c r="P12" s="97" t="inlineStr">
        <is>
          <t>PROMOVIDO</t>
        </is>
      </c>
      <c r="Q12" s="100" t="n"/>
    </row>
    <row r="13" ht="15" customHeight="1" s="254">
      <c r="A13" s="124" t="n">
        <v>6</v>
      </c>
      <c r="B13" s="101" t="inlineStr">
        <is>
          <t>CABRERA PESANTEZ JESSICA ALEXANDRA</t>
        </is>
      </c>
      <c r="C13" s="103" t="n"/>
      <c r="D13" s="63" t="n">
        <v>9.08</v>
      </c>
      <c r="E13" s="77" t="n">
        <v>8.789999999999999</v>
      </c>
      <c r="F13" s="142" t="n">
        <v>8.35</v>
      </c>
      <c r="G13" s="104" t="n">
        <v>9.07</v>
      </c>
      <c r="H13" s="107" t="n">
        <v>9.01</v>
      </c>
      <c r="I13" s="109" t="n">
        <v>9.199999999999999</v>
      </c>
      <c r="J13" s="76" t="n">
        <v>8.81</v>
      </c>
      <c r="K13" s="79" t="inlineStr">
        <is>
          <t>A-</t>
        </is>
      </c>
      <c r="L13" s="81" t="inlineStr">
        <is>
          <t>A+</t>
        </is>
      </c>
      <c r="M13" s="65" t="inlineStr">
        <is>
          <t>A+</t>
        </is>
      </c>
      <c r="N13" s="86">
        <f>TRUNC(AVERAGE(D13:J13),2)</f>
        <v/>
      </c>
      <c r="O13" s="93" t="inlineStr">
        <is>
          <t>S</t>
        </is>
      </c>
      <c r="P13" s="97" t="inlineStr">
        <is>
          <t>PROMOVIDO</t>
        </is>
      </c>
      <c r="Q13" s="100" t="n"/>
    </row>
    <row r="14" ht="15" customHeight="1" s="254">
      <c r="A14" s="56" t="n">
        <v>7</v>
      </c>
      <c r="B14" s="101" t="inlineStr">
        <is>
          <t>CALDERON CORDOVA MAYKEL DE JESUS</t>
        </is>
      </c>
      <c r="C14" s="103" t="n"/>
      <c r="D14" s="63" t="n">
        <v>8.789999999999999</v>
      </c>
      <c r="E14" s="77" t="n">
        <v>9.07</v>
      </c>
      <c r="F14" s="142" t="n">
        <v>8.890000000000001</v>
      </c>
      <c r="G14" s="104" t="n">
        <v>8.960000000000001</v>
      </c>
      <c r="H14" s="107" t="n">
        <v>8.890000000000001</v>
      </c>
      <c r="I14" s="109" t="n">
        <v>9.369999999999999</v>
      </c>
      <c r="J14" s="76" t="n">
        <v>9.710000000000001</v>
      </c>
      <c r="K14" s="79" t="inlineStr">
        <is>
          <t>A-</t>
        </is>
      </c>
      <c r="L14" s="81" t="inlineStr">
        <is>
          <t>A+</t>
        </is>
      </c>
      <c r="M14" s="65" t="inlineStr">
        <is>
          <t>A+</t>
        </is>
      </c>
      <c r="N14" s="86">
        <f>TRUNC(AVERAGE(D14:J14),2)</f>
        <v/>
      </c>
      <c r="O14" s="93" t="inlineStr">
        <is>
          <t>S</t>
        </is>
      </c>
      <c r="P14" s="97" t="inlineStr">
        <is>
          <t>PROMOVIDO</t>
        </is>
      </c>
      <c r="Q14" s="100" t="n"/>
    </row>
    <row r="15" ht="15" customHeight="1" s="254">
      <c r="A15" s="56" t="n">
        <v>8</v>
      </c>
      <c r="B15" s="101" t="inlineStr">
        <is>
          <t>CAMPOVERDE NAULA DANNA MARISOL</t>
        </is>
      </c>
      <c r="C15" s="103" t="n"/>
      <c r="D15" s="63" t="n">
        <v>7.74</v>
      </c>
      <c r="E15" s="77" t="n">
        <v>7.35</v>
      </c>
      <c r="F15" s="142" t="n">
        <v>7.28</v>
      </c>
      <c r="G15" s="104" t="n">
        <v>7.6</v>
      </c>
      <c r="H15" s="107" t="n">
        <v>7</v>
      </c>
      <c r="I15" s="109" t="n">
        <v>8.34</v>
      </c>
      <c r="J15" s="76" t="n">
        <v>8.51</v>
      </c>
      <c r="K15" s="79" t="inlineStr">
        <is>
          <t>B+</t>
        </is>
      </c>
      <c r="L15" s="81" t="inlineStr">
        <is>
          <t>A-</t>
        </is>
      </c>
      <c r="M15" s="65" t="inlineStr">
        <is>
          <t>A-</t>
        </is>
      </c>
      <c r="N15" s="86">
        <f>TRUNC(AVERAGE(D15:J15),2)</f>
        <v/>
      </c>
      <c r="O15" s="93" t="inlineStr">
        <is>
          <t>S</t>
        </is>
      </c>
      <c r="P15" s="97" t="inlineStr">
        <is>
          <t>PROMOVIDO</t>
        </is>
      </c>
      <c r="Q15" s="100" t="n"/>
    </row>
    <row r="16" ht="15" customHeight="1" s="254">
      <c r="A16" s="124" t="n">
        <v>9</v>
      </c>
      <c r="B16" s="101" t="inlineStr">
        <is>
          <t>CAMPOVERDE NAULA LENIN ALEJANDRO</t>
        </is>
      </c>
      <c r="C16" s="103" t="n"/>
      <c r="D16" s="63" t="n">
        <v>8</v>
      </c>
      <c r="E16" s="77" t="n">
        <v>7.49</v>
      </c>
      <c r="F16" s="142" t="n">
        <v>7.44</v>
      </c>
      <c r="G16" s="104" t="n">
        <v>7.91</v>
      </c>
      <c r="H16" s="107" t="n">
        <v>7.28</v>
      </c>
      <c r="I16" s="109" t="n">
        <v>8.289999999999999</v>
      </c>
      <c r="J16" s="76" t="n">
        <v>8.74</v>
      </c>
      <c r="K16" s="79" t="inlineStr">
        <is>
          <t>B+</t>
        </is>
      </c>
      <c r="L16" s="81" t="inlineStr">
        <is>
          <t>A-</t>
        </is>
      </c>
      <c r="M16" s="65" t="inlineStr">
        <is>
          <t>B+</t>
        </is>
      </c>
      <c r="N16" s="86">
        <f>TRUNC(AVERAGE(D16:J16),2)</f>
        <v/>
      </c>
      <c r="O16" s="93" t="inlineStr">
        <is>
          <t>S</t>
        </is>
      </c>
      <c r="P16" s="97" t="inlineStr">
        <is>
          <t>PROMOVIDO</t>
        </is>
      </c>
      <c r="Q16" s="100" t="n"/>
    </row>
    <row r="17" ht="15" customHeight="1" s="254">
      <c r="A17" s="56" t="n">
        <v>10</v>
      </c>
      <c r="B17" s="101" t="inlineStr">
        <is>
          <t>CHUJUTALLI QUEZADA ARIEL MAURICIO</t>
        </is>
      </c>
      <c r="C17" s="103" t="n"/>
      <c r="D17" s="63" t="n">
        <v>8.24</v>
      </c>
      <c r="E17" s="77" t="n">
        <v>7.19</v>
      </c>
      <c r="F17" s="142" t="n">
        <v>7.02</v>
      </c>
      <c r="G17" s="104" t="n">
        <v>7.23</v>
      </c>
      <c r="H17" s="107" t="n">
        <v>7</v>
      </c>
      <c r="I17" s="109" t="n">
        <v>7.78</v>
      </c>
      <c r="J17" s="76" t="n">
        <v>8.24</v>
      </c>
      <c r="K17" s="79" t="inlineStr">
        <is>
          <t>B-</t>
        </is>
      </c>
      <c r="L17" s="81" t="inlineStr">
        <is>
          <t>A-</t>
        </is>
      </c>
      <c r="M17" s="65" t="inlineStr">
        <is>
          <t>B+</t>
        </is>
      </c>
      <c r="N17" s="86">
        <f>TRUNC(AVERAGE(D17:J17),2)</f>
        <v/>
      </c>
      <c r="O17" s="93" t="inlineStr">
        <is>
          <t>S</t>
        </is>
      </c>
      <c r="P17" s="97" t="inlineStr">
        <is>
          <t>PROMOVIDO</t>
        </is>
      </c>
      <c r="Q17" s="100" t="n"/>
    </row>
    <row r="18" ht="15" customHeight="1" s="254">
      <c r="A18" s="56" t="n">
        <v>11</v>
      </c>
      <c r="B18" s="101" t="inlineStr">
        <is>
          <t>CHUJUTALLI QUEZADA PAUL ESTEBAN</t>
        </is>
      </c>
      <c r="C18" s="103" t="n"/>
      <c r="D18" s="63" t="n">
        <v>7.86</v>
      </c>
      <c r="E18" s="77" t="n">
        <v>7.01</v>
      </c>
      <c r="F18" s="142" t="n">
        <v>7.04</v>
      </c>
      <c r="G18" s="104" t="n">
        <v>7.12</v>
      </c>
      <c r="H18" s="107" t="n">
        <v>7.06</v>
      </c>
      <c r="I18" s="109" t="n">
        <v>7.92</v>
      </c>
      <c r="J18" s="76" t="n">
        <v>8.24</v>
      </c>
      <c r="K18" s="79" t="inlineStr">
        <is>
          <t>A-</t>
        </is>
      </c>
      <c r="L18" s="81" t="inlineStr">
        <is>
          <t>A-</t>
        </is>
      </c>
      <c r="M18" s="65" t="inlineStr">
        <is>
          <t>A-</t>
        </is>
      </c>
      <c r="N18" s="86">
        <f>TRUNC(AVERAGE(D18:J18),2)</f>
        <v/>
      </c>
      <c r="O18" s="93" t="inlineStr">
        <is>
          <t>S</t>
        </is>
      </c>
      <c r="P18" s="97" t="inlineStr">
        <is>
          <t>PROMOVIDO</t>
        </is>
      </c>
      <c r="Q18" s="100" t="n"/>
    </row>
    <row r="19" ht="15" customHeight="1" s="254">
      <c r="A19" s="124" t="n">
        <v>12</v>
      </c>
      <c r="B19" s="101" t="inlineStr">
        <is>
          <t>CORONEL BERMEO JULIANA MICAELA</t>
        </is>
      </c>
      <c r="C19" s="103" t="n"/>
      <c r="D19" s="63" t="n">
        <v>7.74</v>
      </c>
      <c r="E19" s="77" t="n">
        <v>7</v>
      </c>
      <c r="F19" s="142" t="n">
        <v>7.12</v>
      </c>
      <c r="G19" s="104" t="n">
        <v>7.05</v>
      </c>
      <c r="H19" s="107" t="n">
        <v>7</v>
      </c>
      <c r="I19" s="109" t="n">
        <v>7.42</v>
      </c>
      <c r="J19" s="76" t="n">
        <v>8.539999999999999</v>
      </c>
      <c r="K19" s="79" t="inlineStr">
        <is>
          <t>B-</t>
        </is>
      </c>
      <c r="L19" s="81" t="inlineStr">
        <is>
          <t>A-</t>
        </is>
      </c>
      <c r="M19" s="65" t="inlineStr">
        <is>
          <t>B+</t>
        </is>
      </c>
      <c r="N19" s="86">
        <f>TRUNC(AVERAGE(D19:J19),2)</f>
        <v/>
      </c>
      <c r="O19" s="93" t="inlineStr">
        <is>
          <t>O</t>
        </is>
      </c>
      <c r="P19" s="97" t="inlineStr">
        <is>
          <t>PROMOVIDO</t>
        </is>
      </c>
      <c r="Q19" s="100" t="n"/>
    </row>
    <row r="20" ht="15" customHeight="1" s="254">
      <c r="A20" s="56" t="n">
        <v>13</v>
      </c>
      <c r="B20" s="101" t="inlineStr">
        <is>
          <t>DURAZNO LATA CINDY ELIZABETH</t>
        </is>
      </c>
      <c r="C20" s="103" t="n"/>
      <c r="D20" s="63" t="n">
        <v>9.23</v>
      </c>
      <c r="E20" s="77" t="n">
        <v>8.699999999999999</v>
      </c>
      <c r="F20" s="142" t="n">
        <v>8.33</v>
      </c>
      <c r="G20" s="104" t="n">
        <v>9</v>
      </c>
      <c r="H20" s="107" t="n">
        <v>8.33</v>
      </c>
      <c r="I20" s="109" t="n">
        <v>9.81</v>
      </c>
      <c r="J20" s="76" t="n">
        <v>9.49</v>
      </c>
      <c r="K20" s="79" t="inlineStr">
        <is>
          <t>A-</t>
        </is>
      </c>
      <c r="L20" s="81" t="inlineStr">
        <is>
          <t>A+</t>
        </is>
      </c>
      <c r="M20" s="65" t="inlineStr">
        <is>
          <t>A+</t>
        </is>
      </c>
      <c r="N20" s="86">
        <f>TRUNC(AVERAGE(D20:J20),2)</f>
        <v/>
      </c>
      <c r="O20" s="93" t="inlineStr">
        <is>
          <t>S</t>
        </is>
      </c>
      <c r="P20" s="97" t="inlineStr">
        <is>
          <t>PROMOVIDO</t>
        </is>
      </c>
      <c r="Q20" s="100" t="n"/>
    </row>
    <row r="21" ht="15" customHeight="1" s="254">
      <c r="A21" s="56" t="n">
        <v>14</v>
      </c>
      <c r="B21" s="101" t="inlineStr">
        <is>
          <t>ENRIQUEZ SINCHE PEDRO PABLO</t>
        </is>
      </c>
      <c r="C21" s="103" t="n"/>
      <c r="D21" s="63" t="n">
        <v>9.109999999999999</v>
      </c>
      <c r="E21" s="77" t="n">
        <v>8.34</v>
      </c>
      <c r="F21" s="142" t="n">
        <v>8.800000000000001</v>
      </c>
      <c r="G21" s="104" t="n">
        <v>9.140000000000001</v>
      </c>
      <c r="H21" s="107" t="n">
        <v>8.41</v>
      </c>
      <c r="I21" s="109" t="n">
        <v>9.5</v>
      </c>
      <c r="J21" s="76" t="n">
        <v>9.6</v>
      </c>
      <c r="K21" s="79" t="inlineStr">
        <is>
          <t>A-</t>
        </is>
      </c>
      <c r="L21" s="81" t="inlineStr">
        <is>
          <t>A+</t>
        </is>
      </c>
      <c r="M21" s="65" t="inlineStr">
        <is>
          <t>A+</t>
        </is>
      </c>
      <c r="N21" s="86">
        <f>TRUNC(AVERAGE(D21:J21),2)</f>
        <v/>
      </c>
      <c r="O21" s="93" t="inlineStr">
        <is>
          <t>S</t>
        </is>
      </c>
      <c r="P21" s="97" t="inlineStr">
        <is>
          <t>PROMOVIDO</t>
        </is>
      </c>
      <c r="Q21" s="100" t="n"/>
    </row>
    <row r="22" ht="15" customHeight="1" s="254">
      <c r="A22" s="124" t="n">
        <v>15</v>
      </c>
      <c r="B22" s="101" t="inlineStr">
        <is>
          <t>GUACHICHULLCA TADAY WILLIAN DAVID</t>
        </is>
      </c>
      <c r="C22" s="103" t="n"/>
      <c r="D22" s="63" t="n">
        <v>9.35</v>
      </c>
      <c r="E22" s="77" t="n">
        <v>9.35</v>
      </c>
      <c r="F22" s="142" t="n">
        <v>8.720000000000001</v>
      </c>
      <c r="G22" s="104" t="n">
        <v>9.16</v>
      </c>
      <c r="H22" s="107" t="n">
        <v>8.880000000000001</v>
      </c>
      <c r="I22" s="109" t="n">
        <v>9.880000000000001</v>
      </c>
      <c r="J22" s="76" t="n">
        <v>9.630000000000001</v>
      </c>
      <c r="K22" s="79" t="inlineStr">
        <is>
          <t>A-</t>
        </is>
      </c>
      <c r="L22" s="81" t="inlineStr">
        <is>
          <t>A+</t>
        </is>
      </c>
      <c r="M22" s="65" t="inlineStr">
        <is>
          <t>A+</t>
        </is>
      </c>
      <c r="N22" s="86">
        <f>TRUNC(AVERAGE(D22:J22),2)</f>
        <v/>
      </c>
      <c r="O22" s="93" t="inlineStr">
        <is>
          <t>S</t>
        </is>
      </c>
      <c r="P22" s="97" t="inlineStr">
        <is>
          <t>PROMOVIDO</t>
        </is>
      </c>
      <c r="Q22" s="100" t="n"/>
    </row>
    <row r="23" ht="15" customHeight="1" s="254">
      <c r="A23" s="56" t="n">
        <v>16</v>
      </c>
      <c r="B23" s="101" t="inlineStr">
        <is>
          <t>GUZHÑAY BARBECHO BELEN LILIANA</t>
        </is>
      </c>
      <c r="C23" s="103" t="n"/>
      <c r="D23" s="63" t="n">
        <v>9.300000000000001</v>
      </c>
      <c r="E23" s="77" t="n">
        <v>9.41</v>
      </c>
      <c r="F23" s="142" t="n">
        <v>8.720000000000001</v>
      </c>
      <c r="G23" s="104" t="n">
        <v>9.1</v>
      </c>
      <c r="H23" s="107" t="n">
        <v>9.56</v>
      </c>
      <c r="I23" s="109" t="n">
        <v>9.85</v>
      </c>
      <c r="J23" s="76" t="n">
        <v>9.630000000000001</v>
      </c>
      <c r="K23" s="79" t="inlineStr">
        <is>
          <t>A-</t>
        </is>
      </c>
      <c r="L23" s="81" t="inlineStr">
        <is>
          <t>A+</t>
        </is>
      </c>
      <c r="M23" s="65" t="inlineStr">
        <is>
          <t>A+</t>
        </is>
      </c>
      <c r="N23" s="86">
        <f>TRUNC(AVERAGE(D23:J23),2)</f>
        <v/>
      </c>
      <c r="O23" s="93" t="inlineStr">
        <is>
          <t>S</t>
        </is>
      </c>
      <c r="P23" s="97" t="inlineStr">
        <is>
          <t>PROMOVIDO</t>
        </is>
      </c>
      <c r="Q23" s="100" t="n"/>
    </row>
    <row r="24" ht="15" customHeight="1" s="254">
      <c r="A24" s="56" t="n">
        <v>17</v>
      </c>
      <c r="B24" s="101" t="inlineStr">
        <is>
          <t>IÑAMAGUA PATIÑO ANDREA LIZBETH</t>
        </is>
      </c>
      <c r="C24" s="103" t="n"/>
      <c r="D24" s="63" t="n">
        <v>9.039999999999999</v>
      </c>
      <c r="E24" s="77" t="n">
        <v>9.42</v>
      </c>
      <c r="F24" s="142" t="n">
        <v>7.8</v>
      </c>
      <c r="G24" s="104" t="n">
        <v>8.869999999999999</v>
      </c>
      <c r="H24" s="107" t="n">
        <v>8.48</v>
      </c>
      <c r="I24" s="109" t="n">
        <v>9.27</v>
      </c>
      <c r="J24" s="76" t="n">
        <v>8.31</v>
      </c>
      <c r="K24" s="79" t="inlineStr">
        <is>
          <t>A-</t>
        </is>
      </c>
      <c r="L24" s="81" t="inlineStr">
        <is>
          <t>A+</t>
        </is>
      </c>
      <c r="M24" s="65" t="inlineStr">
        <is>
          <t>A+</t>
        </is>
      </c>
      <c r="N24" s="86">
        <f>TRUNC(AVERAGE(D24:J24),2)</f>
        <v/>
      </c>
      <c r="O24" s="93" t="inlineStr">
        <is>
          <t>F</t>
        </is>
      </c>
      <c r="P24" s="97" t="inlineStr">
        <is>
          <t>PROMOVIDO</t>
        </is>
      </c>
      <c r="Q24" s="100" t="n"/>
    </row>
    <row r="25" ht="15" customHeight="1" s="254">
      <c r="A25" s="124" t="n">
        <v>18</v>
      </c>
      <c r="B25" s="101" t="inlineStr">
        <is>
          <t>LEMA PERALTA CARLOS DANIEL</t>
        </is>
      </c>
      <c r="C25" s="103" t="n"/>
      <c r="D25" s="63" t="n">
        <v>7.99</v>
      </c>
      <c r="E25" s="77" t="n">
        <v>7.07</v>
      </c>
      <c r="F25" s="142" t="n">
        <v>7.03</v>
      </c>
      <c r="G25" s="104" t="n">
        <v>7.2</v>
      </c>
      <c r="H25" s="107" t="n">
        <v>7.3</v>
      </c>
      <c r="I25" s="109" t="n">
        <v>8.050000000000001</v>
      </c>
      <c r="J25" s="76" t="n">
        <v>8.5</v>
      </c>
      <c r="K25" s="79" t="inlineStr">
        <is>
          <t>B+</t>
        </is>
      </c>
      <c r="L25" s="81" t="inlineStr">
        <is>
          <t>A-</t>
        </is>
      </c>
      <c r="M25" s="65" t="inlineStr">
        <is>
          <t>A-</t>
        </is>
      </c>
      <c r="N25" s="86">
        <f>TRUNC(AVERAGE(D25:J25),2)</f>
        <v/>
      </c>
      <c r="O25" s="93" t="inlineStr">
        <is>
          <t>S</t>
        </is>
      </c>
      <c r="P25" s="97" t="inlineStr">
        <is>
          <t>PROMOVIDO</t>
        </is>
      </c>
      <c r="Q25" s="100" t="n"/>
    </row>
    <row r="26" ht="15" customHeight="1" s="254">
      <c r="A26" s="56" t="n">
        <v>19</v>
      </c>
      <c r="B26" s="101" t="inlineStr">
        <is>
          <t>LLANGARI ALVAREZ ITZEL ABIGAIL</t>
        </is>
      </c>
      <c r="C26" s="103" t="n"/>
      <c r="D26" s="63" t="n">
        <v>8.720000000000001</v>
      </c>
      <c r="E26" s="77" t="n">
        <v>8.84</v>
      </c>
      <c r="F26" s="142" t="n">
        <v>9.06</v>
      </c>
      <c r="G26" s="104" t="n">
        <v>8.4</v>
      </c>
      <c r="H26" s="107" t="n">
        <v>8.960000000000001</v>
      </c>
      <c r="I26" s="109" t="n">
        <v>9.710000000000001</v>
      </c>
      <c r="J26" s="76" t="n">
        <v>9.640000000000001</v>
      </c>
      <c r="K26" s="79" t="inlineStr">
        <is>
          <t>A-</t>
        </is>
      </c>
      <c r="L26" s="81" t="inlineStr">
        <is>
          <t>A+</t>
        </is>
      </c>
      <c r="M26" s="65" t="inlineStr">
        <is>
          <t>A+</t>
        </is>
      </c>
      <c r="N26" s="86">
        <f>TRUNC(AVERAGE(D26:J26),2)</f>
        <v/>
      </c>
      <c r="O26" s="93" t="inlineStr">
        <is>
          <t>S</t>
        </is>
      </c>
      <c r="P26" s="97" t="inlineStr">
        <is>
          <t>PROMOVIDO</t>
        </is>
      </c>
      <c r="Q26" s="100" t="n"/>
    </row>
    <row r="27" ht="18" customHeight="1" s="254">
      <c r="A27" s="56" t="n">
        <v>20</v>
      </c>
      <c r="B27" s="101" t="inlineStr">
        <is>
          <t>LLAPA JUNCAL BETSY ANABEL</t>
        </is>
      </c>
      <c r="C27" s="103" t="n"/>
      <c r="D27" s="63" t="n">
        <v>9</v>
      </c>
      <c r="E27" s="77" t="n">
        <v>9.06</v>
      </c>
      <c r="F27" s="142" t="n">
        <v>8.779999999999999</v>
      </c>
      <c r="G27" s="104" t="n">
        <v>8.880000000000001</v>
      </c>
      <c r="H27" s="107" t="n">
        <v>8.31</v>
      </c>
      <c r="I27" s="109" t="n">
        <v>9.77</v>
      </c>
      <c r="J27" s="76" t="n">
        <v>9.83</v>
      </c>
      <c r="K27" s="133" t="inlineStr">
        <is>
          <t>A-</t>
        </is>
      </c>
      <c r="L27" s="81" t="inlineStr">
        <is>
          <t>A+</t>
        </is>
      </c>
      <c r="M27" s="65" t="inlineStr">
        <is>
          <t>A+</t>
        </is>
      </c>
      <c r="N27" s="86">
        <f>TRUNC(AVERAGE(D27:J27),2)</f>
        <v/>
      </c>
      <c r="O27" s="93" t="inlineStr">
        <is>
          <t>S</t>
        </is>
      </c>
      <c r="P27" s="97" t="inlineStr">
        <is>
          <t>PROMOVIDO</t>
        </is>
      </c>
      <c r="Q27" s="100" t="n"/>
    </row>
    <row r="28" ht="15" customHeight="1" s="254">
      <c r="A28" s="124" t="n">
        <v>21</v>
      </c>
      <c r="B28" s="101" t="inlineStr">
        <is>
          <t>LLAPA SIBRI EILEEN MAYTE</t>
        </is>
      </c>
      <c r="C28" s="103" t="n"/>
      <c r="D28" s="63" t="n">
        <v>9.359999999999999</v>
      </c>
      <c r="E28" s="77" t="n">
        <v>9.6</v>
      </c>
      <c r="F28" s="142" t="n">
        <v>9.23</v>
      </c>
      <c r="G28" s="104" t="n">
        <v>9.800000000000001</v>
      </c>
      <c r="H28" s="107" t="n">
        <v>9.5</v>
      </c>
      <c r="I28" s="109" t="n">
        <v>9.66</v>
      </c>
      <c r="J28" s="76" t="n">
        <v>9.91</v>
      </c>
      <c r="K28" s="133" t="inlineStr">
        <is>
          <t>A+</t>
        </is>
      </c>
      <c r="L28" s="81" t="inlineStr">
        <is>
          <t>A+</t>
        </is>
      </c>
      <c r="M28" s="65" t="inlineStr">
        <is>
          <t>A+</t>
        </is>
      </c>
      <c r="N28" s="86">
        <f>TRUNC(AVERAGE(D28:J28),2)</f>
        <v/>
      </c>
      <c r="O28" s="93" t="inlineStr">
        <is>
          <t>S</t>
        </is>
      </c>
      <c r="P28" s="97" t="inlineStr">
        <is>
          <t>PROMOVIDO</t>
        </is>
      </c>
      <c r="Q28" s="100" t="n"/>
    </row>
    <row r="29" ht="18" customHeight="1" s="254">
      <c r="A29" s="56" t="n">
        <v>22</v>
      </c>
      <c r="B29" s="291" t="inlineStr">
        <is>
          <t>LONDA VIÑANZACA NATHALY DANIELA</t>
        </is>
      </c>
      <c r="C29" s="103" t="n"/>
      <c r="D29" s="63" t="n">
        <v>9.119999999999999</v>
      </c>
      <c r="E29" s="77" t="n">
        <v>9.19</v>
      </c>
      <c r="F29" s="142" t="n">
        <v>8.970000000000001</v>
      </c>
      <c r="G29" s="104" t="n">
        <v>9.460000000000001</v>
      </c>
      <c r="H29" s="107" t="n">
        <v>9.16</v>
      </c>
      <c r="I29" s="289" t="n">
        <v>9.23</v>
      </c>
      <c r="J29" s="76" t="n">
        <v>9.69</v>
      </c>
      <c r="K29" s="133" t="inlineStr">
        <is>
          <t>A-</t>
        </is>
      </c>
      <c r="L29" s="81" t="inlineStr">
        <is>
          <t>A+</t>
        </is>
      </c>
      <c r="M29" s="65" t="inlineStr">
        <is>
          <t>A+</t>
        </is>
      </c>
      <c r="N29" s="86">
        <f>TRUNC(AVERAGE(D29:J29),2)</f>
        <v/>
      </c>
      <c r="O29" s="93" t="inlineStr">
        <is>
          <t>S</t>
        </is>
      </c>
      <c r="P29" s="97" t="inlineStr">
        <is>
          <t>PROMOVIDO</t>
        </is>
      </c>
      <c r="Q29" s="100" t="n"/>
    </row>
    <row r="30" ht="15" customHeight="1" s="254">
      <c r="A30" s="56" t="n">
        <v>23</v>
      </c>
      <c r="B30" s="101" t="inlineStr">
        <is>
          <t>MARIN GOMEZ ANDREA BELEN</t>
        </is>
      </c>
      <c r="C30" s="103" t="n"/>
      <c r="D30" s="63" t="n">
        <v>8.23</v>
      </c>
      <c r="E30" s="77" t="n">
        <v>7.5</v>
      </c>
      <c r="F30" s="142" t="n">
        <v>7.78</v>
      </c>
      <c r="G30" s="104" t="n">
        <v>8.199999999999999</v>
      </c>
      <c r="H30" s="107" t="n">
        <v>7.54</v>
      </c>
      <c r="I30" s="109" t="n">
        <v>9.19</v>
      </c>
      <c r="J30" s="76" t="n">
        <v>8.18</v>
      </c>
      <c r="K30" s="133" t="inlineStr">
        <is>
          <t>B+</t>
        </is>
      </c>
      <c r="L30" s="81" t="inlineStr">
        <is>
          <t>A-</t>
        </is>
      </c>
      <c r="M30" s="65" t="inlineStr">
        <is>
          <t>A+</t>
        </is>
      </c>
      <c r="N30" s="86">
        <f>TRUNC(AVERAGE(D30:J30),2)</f>
        <v/>
      </c>
      <c r="O30" s="93" t="inlineStr">
        <is>
          <t>S</t>
        </is>
      </c>
      <c r="P30" s="97" t="inlineStr">
        <is>
          <t>PROMOVIDO</t>
        </is>
      </c>
      <c r="Q30" s="100" t="n"/>
    </row>
    <row r="31" ht="15" customHeight="1" s="254">
      <c r="A31" s="124" t="n">
        <v>24</v>
      </c>
      <c r="B31" s="101" t="inlineStr">
        <is>
          <t>MOROCHO PELAEZ DANIELA FERNANDA</t>
        </is>
      </c>
      <c r="C31" s="103" t="n"/>
      <c r="D31" s="63" t="n">
        <v>8.69</v>
      </c>
      <c r="E31" s="77" t="n">
        <v>7.68</v>
      </c>
      <c r="F31" s="142" t="n">
        <v>7.78</v>
      </c>
      <c r="G31" s="104" t="n">
        <v>7.78</v>
      </c>
      <c r="H31" s="134" t="n">
        <v>8.119999999999999</v>
      </c>
      <c r="I31" s="109" t="n">
        <v>9.33</v>
      </c>
      <c r="J31" s="76" t="n">
        <v>9.24</v>
      </c>
      <c r="K31" s="133" t="inlineStr">
        <is>
          <t>B+</t>
        </is>
      </c>
      <c r="L31" s="81" t="inlineStr">
        <is>
          <t>A-</t>
        </is>
      </c>
      <c r="M31" s="65" t="inlineStr">
        <is>
          <t>A+</t>
        </is>
      </c>
      <c r="N31" s="86">
        <f>TRUNC(AVERAGE(D31:J31),2)</f>
        <v/>
      </c>
      <c r="O31" s="93" t="inlineStr">
        <is>
          <t>S</t>
        </is>
      </c>
      <c r="P31" s="97" t="inlineStr">
        <is>
          <t>PROMOVIDO</t>
        </is>
      </c>
      <c r="Q31" s="100" t="n"/>
    </row>
    <row r="32" ht="15" customHeight="1" s="254">
      <c r="A32" s="56" t="n">
        <v>25</v>
      </c>
      <c r="B32" s="101" t="inlineStr">
        <is>
          <t>OVILLO GUALLPA JIMMY XAVIER</t>
        </is>
      </c>
      <c r="C32" s="103" t="n"/>
      <c r="D32" s="63" t="n">
        <v>9.140000000000001</v>
      </c>
      <c r="E32" s="77" t="n">
        <v>9.48</v>
      </c>
      <c r="F32" s="142" t="n">
        <v>9.09</v>
      </c>
      <c r="G32" s="104" t="n">
        <v>9.289999999999999</v>
      </c>
      <c r="H32" s="107" t="n">
        <v>8.859999999999999</v>
      </c>
      <c r="I32" s="109" t="n">
        <v>9.85</v>
      </c>
      <c r="J32" s="76" t="n">
        <v>9.94</v>
      </c>
      <c r="K32" s="133" t="inlineStr">
        <is>
          <t>A-</t>
        </is>
      </c>
      <c r="L32" s="81" t="inlineStr">
        <is>
          <t>A+</t>
        </is>
      </c>
      <c r="M32" s="65" t="inlineStr">
        <is>
          <t>A+</t>
        </is>
      </c>
      <c r="N32" s="86">
        <f>TRUNC(AVERAGE(D32:J32),2)</f>
        <v/>
      </c>
      <c r="O32" s="93" t="inlineStr">
        <is>
          <t>S</t>
        </is>
      </c>
      <c r="P32" s="97" t="inlineStr">
        <is>
          <t>PROMOVIDO</t>
        </is>
      </c>
      <c r="Q32" s="100" t="n"/>
    </row>
    <row r="33" ht="15" customHeight="1" s="254">
      <c r="A33" s="56" t="n">
        <v>26</v>
      </c>
      <c r="B33" s="101" t="inlineStr">
        <is>
          <t>PERALTA MENDEZ SAMUEL MATEO</t>
        </is>
      </c>
      <c r="C33" s="103" t="n"/>
      <c r="D33" s="63" t="n">
        <v>9.59</v>
      </c>
      <c r="E33" s="77" t="n">
        <v>9.58</v>
      </c>
      <c r="F33" s="142" t="n">
        <v>9.49</v>
      </c>
      <c r="G33" s="104" t="n">
        <v>9.4</v>
      </c>
      <c r="H33" s="134" t="n">
        <v>9.9</v>
      </c>
      <c r="I33" s="109" t="n">
        <v>9.720000000000001</v>
      </c>
      <c r="J33" s="76" t="n">
        <v>9.74</v>
      </c>
      <c r="K33" s="133" t="inlineStr">
        <is>
          <t>A+</t>
        </is>
      </c>
      <c r="L33" s="81" t="inlineStr">
        <is>
          <t>A+</t>
        </is>
      </c>
      <c r="M33" s="65" t="inlineStr">
        <is>
          <t>A+</t>
        </is>
      </c>
      <c r="N33" s="86">
        <f>TRUNC(AVERAGE(D33:J33),2)</f>
        <v/>
      </c>
      <c r="O33" s="93" t="inlineStr">
        <is>
          <t>S</t>
        </is>
      </c>
      <c r="P33" s="97" t="inlineStr">
        <is>
          <t>PROMOVIDO</t>
        </is>
      </c>
      <c r="Q33" s="100" t="n"/>
    </row>
    <row r="34" ht="15" customHeight="1" s="254">
      <c r="A34" s="124" t="n">
        <v>27</v>
      </c>
      <c r="B34" s="101" t="inlineStr">
        <is>
          <t>PEÑA ORELLANA MATEO ALEXANDER</t>
        </is>
      </c>
      <c r="C34" s="103" t="n"/>
      <c r="D34" s="63" t="n">
        <v>8.789999999999999</v>
      </c>
      <c r="E34" s="77" t="n">
        <v>8.93</v>
      </c>
      <c r="F34" s="142" t="n">
        <v>8.42</v>
      </c>
      <c r="G34" s="104" t="n">
        <v>8.52</v>
      </c>
      <c r="H34" s="134" t="n">
        <v>8.9</v>
      </c>
      <c r="I34" s="109" t="n">
        <v>9.4</v>
      </c>
      <c r="J34" s="76" t="n">
        <v>9.800000000000001</v>
      </c>
      <c r="K34" s="133" t="inlineStr">
        <is>
          <t>A-</t>
        </is>
      </c>
      <c r="L34" s="81" t="inlineStr">
        <is>
          <t>A+</t>
        </is>
      </c>
      <c r="M34" s="65" t="inlineStr">
        <is>
          <t>A+</t>
        </is>
      </c>
      <c r="N34" s="86">
        <f>TRUNC(AVERAGE(D34:J34),2)</f>
        <v/>
      </c>
      <c r="O34" s="93" t="inlineStr">
        <is>
          <t>S</t>
        </is>
      </c>
      <c r="P34" s="97" t="inlineStr">
        <is>
          <t>PROMOVIDO</t>
        </is>
      </c>
      <c r="Q34" s="100" t="n"/>
    </row>
    <row r="35" ht="15" customHeight="1" s="254">
      <c r="A35" s="56" t="n">
        <v>28</v>
      </c>
      <c r="B35" s="101" t="inlineStr">
        <is>
          <t>PINTADO ROBLES ADELA BELEN</t>
        </is>
      </c>
      <c r="C35" s="103" t="n"/>
      <c r="D35" s="63" t="n">
        <v>9.77</v>
      </c>
      <c r="E35" s="77" t="n">
        <v>9.369999999999999</v>
      </c>
      <c r="F35" s="142" t="n">
        <v>9.07</v>
      </c>
      <c r="G35" s="104" t="n">
        <v>9.18</v>
      </c>
      <c r="H35" s="107" t="n">
        <v>9.539999999999999</v>
      </c>
      <c r="I35" s="109" t="n">
        <v>9.84</v>
      </c>
      <c r="J35" s="76" t="n">
        <v>9.93</v>
      </c>
      <c r="K35" s="133" t="inlineStr">
        <is>
          <t>A-</t>
        </is>
      </c>
      <c r="L35" s="81" t="inlineStr">
        <is>
          <t>A+</t>
        </is>
      </c>
      <c r="M35" s="65" t="inlineStr">
        <is>
          <t>A+</t>
        </is>
      </c>
      <c r="N35" s="86">
        <f>TRUNC(AVERAGE(D35:J35),2)</f>
        <v/>
      </c>
      <c r="O35" s="93" t="inlineStr">
        <is>
          <t>S</t>
        </is>
      </c>
      <c r="P35" s="97" t="inlineStr">
        <is>
          <t>PROMOVIDO</t>
        </is>
      </c>
      <c r="Q35" s="100" t="n"/>
    </row>
    <row r="36" ht="15" customHeight="1" s="254">
      <c r="A36" s="56" t="n">
        <v>29</v>
      </c>
      <c r="B36" s="101" t="inlineStr">
        <is>
          <t>PONCE SANCHEZ NAOMI MADELEIN</t>
        </is>
      </c>
      <c r="C36" s="103" t="n"/>
      <c r="D36" s="63" t="n">
        <v>8.23</v>
      </c>
      <c r="E36" s="77" t="n">
        <v>7.53</v>
      </c>
      <c r="F36" s="142" t="n">
        <v>7.44</v>
      </c>
      <c r="G36" s="104" t="n">
        <v>7.69</v>
      </c>
      <c r="H36" s="107" t="n">
        <v>7.43</v>
      </c>
      <c r="I36" s="109" t="n">
        <v>8.949999999999999</v>
      </c>
      <c r="J36" s="76" t="n">
        <v>8.44</v>
      </c>
      <c r="K36" s="133" t="inlineStr">
        <is>
          <t>A-</t>
        </is>
      </c>
      <c r="L36" s="81" t="inlineStr">
        <is>
          <t>A-</t>
        </is>
      </c>
      <c r="M36" s="65" t="inlineStr">
        <is>
          <t>A-</t>
        </is>
      </c>
      <c r="N36" s="86">
        <f>TRUNC(AVERAGE(D36:J36),2)</f>
        <v/>
      </c>
      <c r="O36" s="93" t="inlineStr">
        <is>
          <t>F</t>
        </is>
      </c>
      <c r="P36" s="97" t="inlineStr">
        <is>
          <t>PROMOVIDO</t>
        </is>
      </c>
      <c r="Q36" s="100" t="n"/>
    </row>
    <row r="37" ht="15" customHeight="1" s="254">
      <c r="A37" s="124" t="n">
        <v>30</v>
      </c>
      <c r="B37" s="101" t="inlineStr">
        <is>
          <t>QUIZHPE MUÑOZ JHON ESTIVEN</t>
        </is>
      </c>
      <c r="C37" s="103" t="n"/>
      <c r="D37" s="63" t="n">
        <v>7.56</v>
      </c>
      <c r="E37" s="77" t="n">
        <v>7</v>
      </c>
      <c r="F37" s="142" t="n">
        <v>7</v>
      </c>
      <c r="G37" s="104" t="n">
        <v>7</v>
      </c>
      <c r="H37" s="107" t="n">
        <v>7</v>
      </c>
      <c r="I37" s="109" t="n">
        <v>8.17</v>
      </c>
      <c r="J37" s="76" t="n">
        <v>8.66</v>
      </c>
      <c r="K37" s="133" t="inlineStr">
        <is>
          <t>B+</t>
        </is>
      </c>
      <c r="L37" s="81" t="inlineStr">
        <is>
          <t>A-</t>
        </is>
      </c>
      <c r="M37" s="65" t="inlineStr">
        <is>
          <t>B+</t>
        </is>
      </c>
      <c r="N37" s="86">
        <f>TRUNC(AVERAGE(D37:J37),2)</f>
        <v/>
      </c>
      <c r="O37" s="93" t="inlineStr">
        <is>
          <t>S</t>
        </is>
      </c>
      <c r="P37" s="97" t="inlineStr">
        <is>
          <t>PROMOVIDO</t>
        </is>
      </c>
      <c r="Q37" s="100" t="n"/>
    </row>
    <row r="38" ht="15" customHeight="1" s="254">
      <c r="A38" s="56" t="n">
        <v>31</v>
      </c>
      <c r="B38" s="101" t="inlineStr">
        <is>
          <t>RIVERA GARCIA EMILY MICHELLE</t>
        </is>
      </c>
      <c r="C38" s="103" t="n"/>
      <c r="D38" s="63" t="n">
        <v>8.94</v>
      </c>
      <c r="E38" s="77" t="n">
        <v>7.98</v>
      </c>
      <c r="F38" s="142" t="n">
        <v>8.18</v>
      </c>
      <c r="G38" s="104" t="n">
        <v>8.43</v>
      </c>
      <c r="H38" s="107" t="n">
        <v>8.630000000000001</v>
      </c>
      <c r="I38" s="109" t="n">
        <v>9.220000000000001</v>
      </c>
      <c r="J38" s="76" t="n">
        <v>9.029999999999999</v>
      </c>
      <c r="K38" s="133" t="inlineStr">
        <is>
          <t>B+</t>
        </is>
      </c>
      <c r="L38" s="81" t="inlineStr">
        <is>
          <t>A+</t>
        </is>
      </c>
      <c r="M38" s="65" t="inlineStr">
        <is>
          <t>A-</t>
        </is>
      </c>
      <c r="N38" s="86">
        <f>TRUNC(AVERAGE(D38:J38),2)</f>
        <v/>
      </c>
      <c r="O38" s="93" t="inlineStr">
        <is>
          <t>S</t>
        </is>
      </c>
      <c r="P38" s="97" t="inlineStr">
        <is>
          <t>PROMOVIDO</t>
        </is>
      </c>
      <c r="Q38" s="100" t="n"/>
    </row>
    <row r="39" ht="16.5" customHeight="1" s="254">
      <c r="A39" s="56" t="n">
        <v>32</v>
      </c>
      <c r="B39" s="101" t="inlineStr">
        <is>
          <t>ROMERO ORELLANA AMILIS SOFIA</t>
        </is>
      </c>
      <c r="C39" s="103" t="n"/>
      <c r="D39" s="63" t="n">
        <v>9.16</v>
      </c>
      <c r="E39" s="77" t="n">
        <v>8.73</v>
      </c>
      <c r="F39" s="142" t="n">
        <v>8.9</v>
      </c>
      <c r="G39" s="104" t="n">
        <v>9.56</v>
      </c>
      <c r="H39" s="107" t="n">
        <v>9.210000000000001</v>
      </c>
      <c r="I39" s="109" t="n">
        <v>9.880000000000001</v>
      </c>
      <c r="J39" s="76" t="n">
        <v>9.56</v>
      </c>
      <c r="K39" s="133" t="inlineStr">
        <is>
          <t>A-</t>
        </is>
      </c>
      <c r="L39" s="81" t="inlineStr">
        <is>
          <t>A+</t>
        </is>
      </c>
      <c r="M39" s="65" t="inlineStr">
        <is>
          <t>A+</t>
        </is>
      </c>
      <c r="N39" s="86">
        <f>TRUNC(AVERAGE(D39:J39),2)</f>
        <v/>
      </c>
      <c r="O39" s="93" t="inlineStr">
        <is>
          <t>S</t>
        </is>
      </c>
      <c r="P39" s="97" t="inlineStr">
        <is>
          <t>PROMOVIDO</t>
        </is>
      </c>
      <c r="Q39" s="100" t="n"/>
    </row>
    <row r="40" ht="15" customHeight="1" s="254">
      <c r="A40" s="124" t="n">
        <v>33</v>
      </c>
      <c r="B40" s="101" t="inlineStr">
        <is>
          <t>SARAGURO CARCHIPULLA JOAN ALEXANDER</t>
        </is>
      </c>
      <c r="C40" s="103" t="n"/>
      <c r="D40" s="63" t="n">
        <v>8.210000000000001</v>
      </c>
      <c r="E40" s="77" t="n">
        <v>8.1</v>
      </c>
      <c r="F40" s="142" t="n">
        <v>7.31</v>
      </c>
      <c r="G40" s="104" t="n">
        <v>7.92</v>
      </c>
      <c r="H40" s="107" t="n">
        <v>7.32</v>
      </c>
      <c r="I40" s="109" t="n">
        <v>8.300000000000001</v>
      </c>
      <c r="J40" s="76" t="n">
        <v>7.92</v>
      </c>
      <c r="K40" s="133" t="inlineStr">
        <is>
          <t>B+</t>
        </is>
      </c>
      <c r="L40" s="81" t="inlineStr">
        <is>
          <t>A-</t>
        </is>
      </c>
      <c r="M40" s="65" t="inlineStr">
        <is>
          <t>A-</t>
        </is>
      </c>
      <c r="N40" s="86">
        <f>TRUNC(AVERAGE(D40:J40),2)</f>
        <v/>
      </c>
      <c r="O40" s="93" t="inlineStr">
        <is>
          <t>O</t>
        </is>
      </c>
      <c r="P40" s="97" t="inlineStr">
        <is>
          <t>PROMOVIDO</t>
        </is>
      </c>
      <c r="Q40" s="100" t="n"/>
    </row>
    <row r="41" ht="14.25" customHeight="1" s="254">
      <c r="A41" s="56" t="n">
        <v>34</v>
      </c>
      <c r="B41" s="291" t="inlineStr">
        <is>
          <t>SOLIZ GUZHÑAY MATEO ISMAEL</t>
        </is>
      </c>
      <c r="C41" s="103" t="n"/>
      <c r="D41" s="63" t="n">
        <v>8.539999999999999</v>
      </c>
      <c r="E41" s="77" t="n">
        <v>7.89</v>
      </c>
      <c r="F41" s="142" t="n">
        <v>7.77</v>
      </c>
      <c r="G41" s="104" t="n">
        <v>8.17</v>
      </c>
      <c r="H41" s="107" t="n">
        <v>7.57</v>
      </c>
      <c r="I41" s="109" t="n">
        <v>8.970000000000001</v>
      </c>
      <c r="J41" s="288" t="n">
        <v>8.4</v>
      </c>
      <c r="K41" s="133" t="inlineStr">
        <is>
          <t>A-</t>
        </is>
      </c>
      <c r="L41" s="81" t="inlineStr">
        <is>
          <t>A-</t>
        </is>
      </c>
      <c r="M41" s="65" t="inlineStr">
        <is>
          <t>A-</t>
        </is>
      </c>
      <c r="N41" s="86">
        <f>TRUNC(AVERAGE(D41:J41),2)</f>
        <v/>
      </c>
      <c r="O41" s="93" t="inlineStr">
        <is>
          <t>S</t>
        </is>
      </c>
      <c r="P41" s="97" t="inlineStr">
        <is>
          <t>PROMOVIDO</t>
        </is>
      </c>
      <c r="Q41" s="100" t="n"/>
    </row>
    <row r="42" ht="15" customHeight="1" s="254">
      <c r="A42" s="56" t="n">
        <v>35</v>
      </c>
      <c r="B42" s="101" t="inlineStr">
        <is>
          <t>SONGOR LLIVISACA DAYANNA DEL CISNE</t>
        </is>
      </c>
      <c r="C42" s="103" t="n"/>
      <c r="D42" s="63" t="n">
        <v>8.33</v>
      </c>
      <c r="E42" s="77" t="n">
        <v>7.54</v>
      </c>
      <c r="F42" s="142" t="n">
        <v>7.05</v>
      </c>
      <c r="G42" s="104" t="n">
        <v>7.2</v>
      </c>
      <c r="H42" s="107" t="n">
        <v>7.21</v>
      </c>
      <c r="I42" s="109" t="n">
        <v>8.9</v>
      </c>
      <c r="J42" s="76" t="n">
        <v>8.630000000000001</v>
      </c>
      <c r="K42" s="133" t="inlineStr">
        <is>
          <t>A-</t>
        </is>
      </c>
      <c r="L42" s="81" t="inlineStr">
        <is>
          <t>A-</t>
        </is>
      </c>
      <c r="M42" s="65" t="inlineStr">
        <is>
          <t>A-</t>
        </is>
      </c>
      <c r="N42" s="86">
        <f>TRUNC(AVERAGE(D42:J42),2)</f>
        <v/>
      </c>
      <c r="O42" s="93" t="inlineStr">
        <is>
          <t>S</t>
        </is>
      </c>
      <c r="P42" s="97" t="inlineStr">
        <is>
          <t>PROMOVIDO</t>
        </is>
      </c>
      <c r="Q42" s="100" t="n"/>
    </row>
    <row r="43" ht="15" customHeight="1" s="254">
      <c r="A43" s="124" t="n">
        <v>36</v>
      </c>
      <c r="B43" s="101" t="inlineStr">
        <is>
          <t>TENEZACA JARRIN JEYKING NICOLAS</t>
        </is>
      </c>
      <c r="C43" s="103" t="n"/>
      <c r="D43" s="63" t="n">
        <v>8.59</v>
      </c>
      <c r="E43" s="77" t="n">
        <v>8.16</v>
      </c>
      <c r="F43" s="142" t="n">
        <v>7.6</v>
      </c>
      <c r="G43" s="104" t="n">
        <v>8.369999999999999</v>
      </c>
      <c r="H43" s="107" t="n">
        <v>8</v>
      </c>
      <c r="I43" s="109" t="n">
        <v>9.09</v>
      </c>
      <c r="J43" s="76" t="n">
        <v>8.869999999999999</v>
      </c>
      <c r="K43" s="133" t="inlineStr">
        <is>
          <t>B+</t>
        </is>
      </c>
      <c r="L43" s="81" t="inlineStr">
        <is>
          <t>A-</t>
        </is>
      </c>
      <c r="M43" s="65" t="inlineStr">
        <is>
          <t>A-</t>
        </is>
      </c>
      <c r="N43" s="86">
        <f>TRUNC(AVERAGE(D43:J43),2)</f>
        <v/>
      </c>
      <c r="O43" s="93" t="inlineStr">
        <is>
          <t>S</t>
        </is>
      </c>
      <c r="P43" s="97" t="inlineStr">
        <is>
          <t>PROMOVIDO</t>
        </is>
      </c>
      <c r="Q43" s="100" t="n"/>
    </row>
    <row r="44" ht="15" customHeight="1" s="254">
      <c r="A44" s="56" t="n">
        <v>37</v>
      </c>
      <c r="B44" s="101" t="inlineStr">
        <is>
          <t>TOCTE CORRALES JORDY ALEXANDER</t>
        </is>
      </c>
      <c r="C44" s="103" t="n"/>
      <c r="D44" s="63" t="n">
        <v>8.109999999999999</v>
      </c>
      <c r="E44" s="77" t="n">
        <v>7.31</v>
      </c>
      <c r="F44" s="142" t="n">
        <v>7.79</v>
      </c>
      <c r="G44" s="104" t="n">
        <v>8.359999999999999</v>
      </c>
      <c r="H44" s="107" t="n">
        <v>7.41</v>
      </c>
      <c r="I44" s="109" t="n">
        <v>8.93</v>
      </c>
      <c r="J44" s="76" t="n">
        <v>8.859999999999999</v>
      </c>
      <c r="K44" s="133" t="inlineStr">
        <is>
          <t>B+</t>
        </is>
      </c>
      <c r="L44" s="81" t="inlineStr">
        <is>
          <t>A+</t>
        </is>
      </c>
      <c r="M44" s="65" t="inlineStr">
        <is>
          <t>A-</t>
        </is>
      </c>
      <c r="N44" s="86">
        <f>TRUNC(AVERAGE(D44:J44),2)</f>
        <v/>
      </c>
      <c r="O44" s="93" t="inlineStr">
        <is>
          <t>S</t>
        </is>
      </c>
      <c r="P44" s="97" t="inlineStr">
        <is>
          <t>PROMOVIDO</t>
        </is>
      </c>
      <c r="Q44" s="100" t="n"/>
    </row>
    <row r="45" ht="15" customHeight="1" s="254">
      <c r="A45" s="56" t="n">
        <v>38</v>
      </c>
      <c r="B45" s="101" t="inlineStr">
        <is>
          <t>TORRES SARMIENTO DANIEL MAXIMILIANO</t>
        </is>
      </c>
      <c r="C45" s="103" t="n"/>
      <c r="D45" s="63" t="n">
        <v>8.460000000000001</v>
      </c>
      <c r="E45" s="77" t="n">
        <v>7.85</v>
      </c>
      <c r="F45" s="142" t="n">
        <v>7.44</v>
      </c>
      <c r="G45" s="104" t="n">
        <v>8.279999999999999</v>
      </c>
      <c r="H45" s="107" t="n">
        <v>7.36</v>
      </c>
      <c r="I45" s="109" t="n">
        <v>9.029999999999999</v>
      </c>
      <c r="J45" s="76" t="n">
        <v>8.93</v>
      </c>
      <c r="K45" s="133" t="inlineStr">
        <is>
          <t>B-</t>
        </is>
      </c>
      <c r="L45" s="81" t="inlineStr">
        <is>
          <t>A-</t>
        </is>
      </c>
      <c r="M45" s="65" t="inlineStr">
        <is>
          <t>A-</t>
        </is>
      </c>
      <c r="N45" s="86">
        <f>TRUNC(AVERAGE(D45:J45),2)</f>
        <v/>
      </c>
      <c r="O45" s="93" t="inlineStr">
        <is>
          <t>F</t>
        </is>
      </c>
      <c r="P45" s="97" t="inlineStr">
        <is>
          <t>PROMOVIDO</t>
        </is>
      </c>
      <c r="Q45" s="13" t="n"/>
    </row>
    <row r="46" ht="15" customHeight="1" s="254">
      <c r="A46" s="124" t="n">
        <v>39</v>
      </c>
      <c r="B46" s="101" t="inlineStr">
        <is>
          <t>VILLAVICENCIO NAVARRO DARWIN ADRIAN</t>
        </is>
      </c>
      <c r="C46" s="103" t="n"/>
      <c r="D46" s="145" t="n">
        <v>8.460000000000001</v>
      </c>
      <c r="E46" s="77" t="n">
        <v>7.44</v>
      </c>
      <c r="F46" s="142" t="n">
        <v>7.43</v>
      </c>
      <c r="G46" s="104" t="n">
        <v>7.77</v>
      </c>
      <c r="H46" s="107" t="n">
        <v>8.07</v>
      </c>
      <c r="I46" s="109" t="n">
        <v>8.59</v>
      </c>
      <c r="J46" s="76" t="n">
        <v>8.51</v>
      </c>
      <c r="K46" s="133" t="inlineStr">
        <is>
          <t>A-</t>
        </is>
      </c>
      <c r="L46" s="81" t="inlineStr">
        <is>
          <t>A+</t>
        </is>
      </c>
      <c r="M46" s="65" t="inlineStr">
        <is>
          <t>A-</t>
        </is>
      </c>
      <c r="N46" s="86">
        <f>TRUNC(AVERAGE(D46:J46),2)</f>
        <v/>
      </c>
      <c r="O46" s="93" t="inlineStr">
        <is>
          <t>S</t>
        </is>
      </c>
      <c r="P46" s="141" t="inlineStr">
        <is>
          <t>PROMOVIDO</t>
        </is>
      </c>
      <c r="Q46" s="13" t="n"/>
    </row>
    <row r="47" ht="14.25" customHeight="1" s="254">
      <c r="A47" s="56" t="n">
        <v>40</v>
      </c>
      <c r="B47" s="101" t="inlineStr">
        <is>
          <t>VIÑANZACA VIÑANSACA DAYANNA GUADALUPE</t>
        </is>
      </c>
      <c r="C47" s="103" t="n"/>
      <c r="D47" s="145" t="n">
        <v>8.73</v>
      </c>
      <c r="E47" s="77" t="n">
        <v>8.51</v>
      </c>
      <c r="F47" s="142" t="n">
        <v>8.779999999999999</v>
      </c>
      <c r="G47" s="104" t="n">
        <v>9.039999999999999</v>
      </c>
      <c r="H47" s="107" t="n">
        <v>8.359999999999999</v>
      </c>
      <c r="I47" s="109" t="n">
        <v>9.44</v>
      </c>
      <c r="J47" s="76" t="n">
        <v>9.34</v>
      </c>
      <c r="K47" s="133" t="inlineStr">
        <is>
          <t>A-</t>
        </is>
      </c>
      <c r="L47" s="81" t="inlineStr">
        <is>
          <t>A+</t>
        </is>
      </c>
      <c r="M47" s="65" t="inlineStr">
        <is>
          <t>A+</t>
        </is>
      </c>
      <c r="N47" s="86">
        <f>TRUNC(AVERAGE(D47:J47),2)</f>
        <v/>
      </c>
      <c r="O47" s="93" t="inlineStr">
        <is>
          <t>S</t>
        </is>
      </c>
      <c r="P47" s="141" t="inlineStr">
        <is>
          <t>PROMOVIDO</t>
        </is>
      </c>
      <c r="Q47" s="13" t="n"/>
    </row>
    <row r="48" ht="14.25" customHeight="1" s="254">
      <c r="B48" s="261" t="inlineStr">
        <is>
          <t>Promedio</t>
        </is>
      </c>
      <c r="D48" s="145">
        <f>AVERAGE(D10:D47)</f>
        <v/>
      </c>
      <c r="E48" s="146">
        <f>AVERAGE(E10:E47)</f>
        <v/>
      </c>
      <c r="F48" s="147">
        <f>AVERAGE(F10:F47)</f>
        <v/>
      </c>
      <c r="G48" s="148">
        <f>AVERAGE(G10:G47)</f>
        <v/>
      </c>
      <c r="H48" s="149">
        <f>AVERAGE(H10:H47)</f>
        <v/>
      </c>
      <c r="I48" s="159">
        <f>AVERAGE(I10:I47)</f>
        <v/>
      </c>
      <c r="J48" s="152">
        <f>AVERAGE(J10:J47)</f>
        <v/>
      </c>
      <c r="K48" s="154" t="n"/>
      <c r="L48" s="155" t="n"/>
      <c r="M48" s="155" t="n"/>
      <c r="N48" s="86">
        <f>AVERAGE(N10:N47)</f>
        <v/>
      </c>
      <c r="O48" s="156" t="n"/>
      <c r="P48" s="157" t="n"/>
    </row>
    <row r="49" ht="14.25" customHeight="1" s="254"/>
    <row r="50" ht="14.25" customHeight="1" s="254">
      <c r="B50" s="262" t="inlineStr">
        <is>
          <t xml:space="preserve">Ing. Sonia Chicaiza Mgtr. </t>
        </is>
      </c>
      <c r="D50" s="281" t="inlineStr">
        <is>
          <t xml:space="preserve">Lcda. Isabel Carpio Mgtr. </t>
        </is>
      </c>
      <c r="E50" s="264" t="n"/>
      <c r="F50" s="264" t="n"/>
      <c r="G50" s="265" t="n"/>
      <c r="H50" s="162" t="n"/>
      <c r="I50" s="281" t="inlineStr">
        <is>
          <t>Ing. Javier Velez</t>
        </is>
      </c>
      <c r="J50" s="264" t="n"/>
      <c r="K50" s="264" t="n"/>
      <c r="L50" s="265" t="n"/>
    </row>
    <row r="51" ht="14.25" customHeight="1" s="254">
      <c r="B51" s="262" t="inlineStr">
        <is>
          <t>Rectora (e)</t>
        </is>
      </c>
      <c r="D51" s="281" t="inlineStr">
        <is>
          <t>Vicerrectora (e)Matutina</t>
        </is>
      </c>
      <c r="E51" s="264" t="n"/>
      <c r="F51" s="264" t="n"/>
      <c r="G51" s="265" t="n"/>
      <c r="H51" s="162" t="n"/>
      <c r="I51" s="281" t="inlineStr">
        <is>
          <t>Docente Tutor</t>
        </is>
      </c>
      <c r="J51" s="264" t="n"/>
      <c r="K51" s="264" t="n"/>
      <c r="L51" s="265" t="n"/>
    </row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4.25" customHeight="1" s="254"/>
    <row r="243" ht="14.25" customHeight="1" s="254"/>
    <row r="244" ht="14.25" customHeight="1" s="254"/>
    <row r="245" ht="14.25" customHeight="1" s="254"/>
    <row r="246" ht="14.25" customHeight="1" s="254"/>
    <row r="247" ht="14.25" customHeight="1" s="254"/>
    <row r="248" ht="15.75" customHeight="1" s="254"/>
    <row r="249" ht="15.75" customHeight="1" s="254"/>
    <row r="250" ht="15.7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</sheetData>
  <mergeCells count="16">
    <mergeCell ref="I50:L50"/>
    <mergeCell ref="B6:P6"/>
    <mergeCell ref="I4:J4"/>
    <mergeCell ref="B2:P2"/>
    <mergeCell ref="B7:C7"/>
    <mergeCell ref="B48:C48"/>
    <mergeCell ref="K3:N3"/>
    <mergeCell ref="A1:P1"/>
    <mergeCell ref="D50:G50"/>
    <mergeCell ref="B51:C51"/>
    <mergeCell ref="I51:L51"/>
    <mergeCell ref="C3:E3"/>
    <mergeCell ref="B50:C50"/>
    <mergeCell ref="D51:G51"/>
    <mergeCell ref="B8:C8"/>
    <mergeCell ref="I3:J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4.71" customWidth="1" style="254" min="1" max="1"/>
    <col width="20.43" customWidth="1" style="254" min="2" max="2"/>
    <col width="13.71" customWidth="1" style="254" min="3" max="3"/>
    <col width="6.29" customWidth="1" style="254" min="4" max="4"/>
    <col width="8.140000000000001" customWidth="1" style="254" min="14" max="14"/>
    <col width="7.57" customWidth="1" style="254" min="15" max="15"/>
    <col width="13.86" customWidth="1" style="254" min="16" max="16"/>
    <col width="20.57" customWidth="1" style="254" min="17" max="17"/>
    <col width="8" customWidth="1" style="254" min="18" max="18"/>
  </cols>
  <sheetData>
    <row r="1" ht="72.75" customHeight="1" s="254">
      <c r="A1" s="2" t="inlineStr">
        <is>
          <t>UNIDAD EDUCATIVA "ESTADOS UNIDOS DE NORTE AMÉRICA" 
Correo electrónico: eeuuescuela@gmail.com  eeuuvicerrectorado@gmail.com
Teléfono: (07)289-0677 Distrito: 01D01  Zona:6</t>
        </is>
      </c>
    </row>
    <row r="2" ht="15.75" customHeight="1" s="254">
      <c r="A2" s="282" t="inlineStr">
        <is>
          <t>AÑO LECTIVO: 2025-2026</t>
        </is>
      </c>
    </row>
    <row r="3" ht="14.25" customHeight="1" s="254">
      <c r="B3" s="5" t="inlineStr">
        <is>
          <t xml:space="preserve">DOCENTE:             </t>
        </is>
      </c>
      <c r="C3" s="6" t="n"/>
      <c r="F3" s="7" t="n"/>
      <c r="G3" s="7" t="n"/>
      <c r="H3" s="7" t="n"/>
      <c r="I3" s="8" t="inlineStr">
        <is>
          <t xml:space="preserve">JORNADA: </t>
        </is>
      </c>
      <c r="K3" s="9" t="inlineStr">
        <is>
          <t>MATUTINA</t>
        </is>
      </c>
    </row>
    <row r="4" ht="14.25" customHeight="1" s="254">
      <c r="B4" s="10" t="inlineStr">
        <is>
          <t xml:space="preserve">AÑO DE EGB:        </t>
        </is>
      </c>
      <c r="C4" s="11" t="inlineStr">
        <is>
          <t>DÉCIMO A</t>
        </is>
      </c>
      <c r="E4" s="7" t="n"/>
      <c r="F4" s="7" t="n"/>
      <c r="G4" s="7" t="n"/>
      <c r="H4" s="7" t="n"/>
      <c r="I4" s="8" t="n"/>
      <c r="K4" s="13" t="n"/>
      <c r="M4" s="7" t="n"/>
    </row>
    <row r="5" ht="15.75" customHeight="1" s="254">
      <c r="B5" s="255" t="inlineStr">
        <is>
          <t>CONSOLIDADO FINAL</t>
        </is>
      </c>
    </row>
    <row r="6" ht="157.5" customHeight="1" s="254">
      <c r="A6" s="23" t="inlineStr">
        <is>
          <t>No</t>
        </is>
      </c>
      <c r="B6" s="278" t="inlineStr">
        <is>
          <t>NOMINA</t>
        </is>
      </c>
      <c r="C6" s="256" t="n"/>
      <c r="D6" s="30" t="inlineStr">
        <is>
          <t>LENGUA Y LITERATURA</t>
        </is>
      </c>
      <c r="E6" s="32" t="inlineStr">
        <is>
          <t>MATEMÁTICA</t>
        </is>
      </c>
      <c r="F6" s="34" t="inlineStr">
        <is>
          <t>CIENCIAS NATURALES</t>
        </is>
      </c>
      <c r="G6" s="36" t="inlineStr">
        <is>
          <t>ESTUDIOS SOCIALES</t>
        </is>
      </c>
      <c r="H6" s="38" t="inlineStr">
        <is>
          <t>INGLÉS</t>
        </is>
      </c>
      <c r="I6" s="40" t="inlineStr">
        <is>
          <t>EDUCACIÓN CULTURAL Y ARTISTICA</t>
        </is>
      </c>
      <c r="J6" s="43" t="inlineStr">
        <is>
          <t>EDUCACIÓN FÍSICA</t>
        </is>
      </c>
      <c r="K6" s="46" t="inlineStr">
        <is>
          <t>ANIMACIÓN A LA LECTURA</t>
        </is>
      </c>
      <c r="L6" s="48" t="inlineStr">
        <is>
          <t>ACOMPAÑAMIENTO INTEGRAL EN EL AULA</t>
        </is>
      </c>
      <c r="M6" s="50" t="inlineStr">
        <is>
          <t>ORIENTACIÓN VOCACIONAL</t>
        </is>
      </c>
      <c r="N6" s="52" t="inlineStr">
        <is>
          <t>PROMEDIO FINAL</t>
        </is>
      </c>
      <c r="O6" s="54" t="inlineStr">
        <is>
          <t>CCOMPORTAMIENTO</t>
        </is>
      </c>
      <c r="P6" s="55" t="inlineStr">
        <is>
          <t>OBSERVACIONES</t>
        </is>
      </c>
    </row>
    <row r="7" ht="14.25" customHeight="1" s="254">
      <c r="A7" s="56" t="n">
        <v>1</v>
      </c>
      <c r="B7" s="225" t="inlineStr">
        <is>
          <t>ALBARRACIN QUIZHPI CRISTOPHER SEBASTIAN</t>
        </is>
      </c>
      <c r="C7" s="225" t="n"/>
      <c r="D7" s="145" t="n">
        <v>9.039999999999999</v>
      </c>
      <c r="E7" s="77" t="n">
        <v>8.4</v>
      </c>
      <c r="F7" s="142" t="n">
        <v>7.97</v>
      </c>
      <c r="G7" s="70" t="n">
        <v>9.24</v>
      </c>
      <c r="H7" s="73" t="n">
        <v>7.98</v>
      </c>
      <c r="I7" s="75" t="n">
        <v>9.27</v>
      </c>
      <c r="J7" s="76" t="n">
        <v>8.69</v>
      </c>
      <c r="K7" s="90" t="inlineStr">
        <is>
          <t>A+</t>
        </is>
      </c>
      <c r="L7" s="91" t="inlineStr">
        <is>
          <t>A+</t>
        </is>
      </c>
      <c r="M7" s="226" t="inlineStr">
        <is>
          <t>A-</t>
        </is>
      </c>
      <c r="N7" s="86">
        <f>TRUNC(AVERAGE(D7:J7),2)</f>
        <v/>
      </c>
      <c r="O7" s="99" t="inlineStr">
        <is>
          <t>S</t>
        </is>
      </c>
      <c r="P7" s="227" t="inlineStr">
        <is>
          <t>PROMOVIDO</t>
        </is>
      </c>
      <c r="Q7" s="100" t="n"/>
    </row>
    <row r="8" ht="15" customHeight="1" s="254">
      <c r="A8" s="56" t="n">
        <v>2</v>
      </c>
      <c r="B8" s="225" t="inlineStr">
        <is>
          <t>ALMACHI ALCIVAR FREDDY NERON</t>
        </is>
      </c>
      <c r="C8" s="225" t="n"/>
      <c r="D8" s="145" t="n">
        <v>9.619999999999999</v>
      </c>
      <c r="E8" s="77" t="n">
        <v>9.449999999999999</v>
      </c>
      <c r="F8" s="142" t="n">
        <v>9.16</v>
      </c>
      <c r="G8" s="104" t="n">
        <v>9.85</v>
      </c>
      <c r="H8" s="107" t="n">
        <v>9.77</v>
      </c>
      <c r="I8" s="109" t="n">
        <v>9.84</v>
      </c>
      <c r="J8" s="76" t="n">
        <v>9.85</v>
      </c>
      <c r="K8" s="90" t="inlineStr">
        <is>
          <t>A-</t>
        </is>
      </c>
      <c r="L8" s="91" t="inlineStr">
        <is>
          <t>A+</t>
        </is>
      </c>
      <c r="M8" s="228" t="inlineStr">
        <is>
          <t>A+</t>
        </is>
      </c>
      <c r="N8" s="86">
        <f>TRUNC(AVERAGE(D8:J8),2)</f>
        <v/>
      </c>
      <c r="O8" s="99" t="inlineStr">
        <is>
          <t>S</t>
        </is>
      </c>
      <c r="P8" s="227" t="inlineStr">
        <is>
          <t>PROMOVIDO</t>
        </is>
      </c>
      <c r="Q8" s="113" t="n"/>
      <c r="R8" s="115" t="n"/>
    </row>
    <row r="9" ht="15" customHeight="1" s="254">
      <c r="A9" s="56" t="n">
        <v>3</v>
      </c>
      <c r="B9" s="225" t="inlineStr">
        <is>
          <t>ANASICHA LEMACHE JHON ESTEVAN</t>
        </is>
      </c>
      <c r="C9" s="225" t="n"/>
      <c r="D9" s="145" t="n">
        <v>8.83</v>
      </c>
      <c r="E9" s="77" t="n">
        <v>8.109999999999999</v>
      </c>
      <c r="F9" s="142" t="n">
        <v>8.4</v>
      </c>
      <c r="G9" s="104" t="n">
        <v>8.76</v>
      </c>
      <c r="H9" s="107" t="n">
        <v>8.26</v>
      </c>
      <c r="I9" s="109" t="n">
        <v>9.220000000000001</v>
      </c>
      <c r="J9" s="76" t="n">
        <v>9.17</v>
      </c>
      <c r="K9" s="90" t="inlineStr">
        <is>
          <t>A-</t>
        </is>
      </c>
      <c r="L9" s="91" t="inlineStr">
        <is>
          <t>A+</t>
        </is>
      </c>
      <c r="M9" s="228" t="inlineStr">
        <is>
          <t>A-</t>
        </is>
      </c>
      <c r="N9" s="86">
        <f>TRUNC(AVERAGE(D9:J9),2)</f>
        <v/>
      </c>
      <c r="O9" s="99" t="inlineStr">
        <is>
          <t>S</t>
        </is>
      </c>
      <c r="P9" s="227" t="inlineStr">
        <is>
          <t>PROMOVIDO</t>
        </is>
      </c>
      <c r="Q9" s="113" t="n"/>
      <c r="R9" s="118" t="n"/>
    </row>
    <row r="10" ht="15" customHeight="1" s="254">
      <c r="A10" s="56" t="n">
        <v>4</v>
      </c>
      <c r="B10" s="153" t="inlineStr">
        <is>
          <t>APOLO ENRIQUEZ JAVIER SNYDER</t>
        </is>
      </c>
      <c r="C10" s="256" t="n"/>
      <c r="D10" s="145" t="n">
        <v>7.27</v>
      </c>
      <c r="E10" s="77" t="n">
        <v>7</v>
      </c>
      <c r="F10" s="142" t="n">
        <v>7</v>
      </c>
      <c r="G10" s="104" t="n">
        <v>7.02</v>
      </c>
      <c r="H10" s="134" t="n">
        <v>7</v>
      </c>
      <c r="I10" s="109" t="n">
        <v>7.68</v>
      </c>
      <c r="J10" s="76" t="n">
        <v>7.18</v>
      </c>
      <c r="K10" s="90" t="inlineStr">
        <is>
          <t>B-</t>
        </is>
      </c>
      <c r="L10" s="91" t="inlineStr">
        <is>
          <t>B-</t>
        </is>
      </c>
      <c r="M10" s="228" t="inlineStr">
        <is>
          <t>B+</t>
        </is>
      </c>
      <c r="N10" s="86">
        <f>TRUNC(AVERAGE(D10:J10),2)</f>
        <v/>
      </c>
      <c r="O10" s="99" t="inlineStr">
        <is>
          <t>F</t>
        </is>
      </c>
      <c r="P10" s="227" t="inlineStr">
        <is>
          <t>NO PROMOVIDO</t>
        </is>
      </c>
      <c r="Q10" s="229" t="n">
        <v>6.25</v>
      </c>
      <c r="R10" s="115" t="inlineStr">
        <is>
          <t>MMTT</t>
        </is>
      </c>
    </row>
    <row r="11" ht="15" customHeight="1" s="254">
      <c r="A11" s="56" t="n">
        <v>5</v>
      </c>
      <c r="B11" s="225" t="inlineStr">
        <is>
          <t>ARMIJOS HIDALGO ANTHONY ANDRES</t>
        </is>
      </c>
      <c r="C11" s="225" t="n"/>
      <c r="D11" s="145" t="n">
        <v>7.82</v>
      </c>
      <c r="E11" s="77" t="n">
        <v>7</v>
      </c>
      <c r="F11" s="142" t="n">
        <v>7</v>
      </c>
      <c r="G11" s="104" t="n">
        <v>7.43</v>
      </c>
      <c r="H11" s="107" t="n">
        <v>7</v>
      </c>
      <c r="I11" s="109" t="n">
        <v>8.210000000000001</v>
      </c>
      <c r="J11" s="76" t="n">
        <v>7</v>
      </c>
      <c r="K11" s="90" t="inlineStr">
        <is>
          <t>B+</t>
        </is>
      </c>
      <c r="L11" s="91" t="inlineStr">
        <is>
          <t>C-</t>
        </is>
      </c>
      <c r="M11" s="228" t="inlineStr">
        <is>
          <t>B+</t>
        </is>
      </c>
      <c r="N11" s="86">
        <f>TRUNC(AVERAGE(D11:J11),2)</f>
        <v/>
      </c>
      <c r="O11" s="99" t="inlineStr">
        <is>
          <t>O</t>
        </is>
      </c>
      <c r="P11" s="227" t="inlineStr">
        <is>
          <t>PROMOVIDO</t>
        </is>
      </c>
      <c r="Q11" s="100" t="n"/>
    </row>
    <row r="12" ht="15" customHeight="1" s="254">
      <c r="A12" s="56" t="n">
        <v>6</v>
      </c>
      <c r="B12" s="225" t="inlineStr">
        <is>
          <t>AYABACA ANDRADE PRISCILA TATIANA</t>
        </is>
      </c>
      <c r="C12" s="225" t="n"/>
      <c r="D12" s="145" t="n">
        <v>8.109999999999999</v>
      </c>
      <c r="E12" s="77" t="n">
        <v>7.93</v>
      </c>
      <c r="F12" s="142" t="n">
        <v>7.65</v>
      </c>
      <c r="G12" s="104" t="n">
        <v>8.31</v>
      </c>
      <c r="H12" s="107" t="n">
        <v>7.39</v>
      </c>
      <c r="I12" s="109" t="n">
        <v>9.5</v>
      </c>
      <c r="J12" s="76" t="n">
        <v>7.63</v>
      </c>
      <c r="K12" s="90" t="inlineStr">
        <is>
          <t>C+</t>
        </is>
      </c>
      <c r="L12" s="91" t="inlineStr">
        <is>
          <t>A+</t>
        </is>
      </c>
      <c r="M12" s="228" t="inlineStr">
        <is>
          <t>A-</t>
        </is>
      </c>
      <c r="N12" s="86">
        <f>TRUNC(AVERAGE(D12:J12),2)</f>
        <v/>
      </c>
      <c r="O12" s="99" t="inlineStr">
        <is>
          <t>S</t>
        </is>
      </c>
      <c r="P12" s="227" t="inlineStr">
        <is>
          <t>PROMOVIDO</t>
        </is>
      </c>
      <c r="Q12" s="100" t="n"/>
    </row>
    <row r="13" ht="15" customHeight="1" s="254">
      <c r="A13" s="56" t="n">
        <v>7</v>
      </c>
      <c r="B13" s="292" t="inlineStr">
        <is>
          <t>BARROS VELESACA EMILIO NICOLAS</t>
        </is>
      </c>
      <c r="C13" s="225" t="n"/>
      <c r="D13" s="145" t="n">
        <v>8.57</v>
      </c>
      <c r="E13" s="77" t="n">
        <v>7.24</v>
      </c>
      <c r="F13" s="142" t="n">
        <v>7.51</v>
      </c>
      <c r="G13" s="104" t="n">
        <v>7.59</v>
      </c>
      <c r="H13" s="134" t="n">
        <v>7.38</v>
      </c>
      <c r="I13" s="289" t="n">
        <v>8.390000000000001</v>
      </c>
      <c r="J13" s="76" t="n">
        <v>9.17</v>
      </c>
      <c r="K13" s="90" t="inlineStr">
        <is>
          <t>B-</t>
        </is>
      </c>
      <c r="L13" s="91" t="inlineStr">
        <is>
          <t>A+</t>
        </is>
      </c>
      <c r="M13" s="228" t="inlineStr">
        <is>
          <t>A-</t>
        </is>
      </c>
      <c r="N13" s="285">
        <f>TRUNC(AVERAGE(D13:J13),2)</f>
        <v/>
      </c>
      <c r="O13" s="99" t="inlineStr">
        <is>
          <t>S</t>
        </is>
      </c>
      <c r="P13" s="227" t="inlineStr">
        <is>
          <t>PROMOVIDO</t>
        </is>
      </c>
      <c r="Q13" s="100" t="n"/>
    </row>
    <row r="14" ht="15" customHeight="1" s="254">
      <c r="A14" s="56" t="n">
        <v>8</v>
      </c>
      <c r="B14" s="225" t="inlineStr">
        <is>
          <t>BARSALLO CORAISACA ANAHI NATALIA</t>
        </is>
      </c>
      <c r="C14" s="225" t="n"/>
      <c r="D14" s="145" t="n">
        <v>8.630000000000001</v>
      </c>
      <c r="E14" s="77" t="n">
        <v>8.57</v>
      </c>
      <c r="F14" s="142" t="n">
        <v>8.15</v>
      </c>
      <c r="G14" s="104" t="n">
        <v>8.460000000000001</v>
      </c>
      <c r="H14" s="134" t="n">
        <v>7.72</v>
      </c>
      <c r="I14" s="109" t="n">
        <v>9.220000000000001</v>
      </c>
      <c r="J14" s="76" t="n">
        <v>8.6</v>
      </c>
      <c r="K14" s="90" t="inlineStr">
        <is>
          <t>B+</t>
        </is>
      </c>
      <c r="L14" s="91" t="inlineStr">
        <is>
          <t>B-</t>
        </is>
      </c>
      <c r="M14" s="228" t="inlineStr">
        <is>
          <t>A-</t>
        </is>
      </c>
      <c r="N14" s="86">
        <f>TRUNC(AVERAGE(D14:J14),2)</f>
        <v/>
      </c>
      <c r="O14" s="99" t="inlineStr">
        <is>
          <t>F</t>
        </is>
      </c>
      <c r="P14" s="227" t="inlineStr">
        <is>
          <t>PROMOVIDO</t>
        </is>
      </c>
      <c r="Q14" s="100" t="n"/>
    </row>
    <row r="15" ht="15" customHeight="1" s="254">
      <c r="A15" s="56" t="n">
        <v>9</v>
      </c>
      <c r="B15" s="225" t="inlineStr">
        <is>
          <t>BASANTES LONDA JENNIFER VALERIA</t>
        </is>
      </c>
      <c r="C15" s="225" t="n"/>
      <c r="D15" s="145" t="n">
        <v>8.640000000000001</v>
      </c>
      <c r="E15" s="77" t="n">
        <v>8.529999999999999</v>
      </c>
      <c r="F15" s="142" t="n">
        <v>7.72</v>
      </c>
      <c r="G15" s="104" t="n">
        <v>8.859999999999999</v>
      </c>
      <c r="H15" s="134" t="n">
        <v>8.07</v>
      </c>
      <c r="I15" s="109" t="n">
        <v>9.289999999999999</v>
      </c>
      <c r="J15" s="76" t="n">
        <v>8.82</v>
      </c>
      <c r="K15" s="90" t="inlineStr">
        <is>
          <t>B+</t>
        </is>
      </c>
      <c r="L15" s="91" t="inlineStr">
        <is>
          <t>B-</t>
        </is>
      </c>
      <c r="M15" s="228" t="inlineStr">
        <is>
          <t>A-</t>
        </is>
      </c>
      <c r="N15" s="86">
        <f>TRUNC(AVERAGE(D15:J15),2)</f>
        <v/>
      </c>
      <c r="O15" s="99" t="inlineStr">
        <is>
          <t>F</t>
        </is>
      </c>
      <c r="P15" s="227" t="inlineStr">
        <is>
          <t>PROMOVIDO</t>
        </is>
      </c>
      <c r="Q15" s="100" t="n"/>
    </row>
    <row r="16" ht="15" customHeight="1" s="254">
      <c r="A16" s="56" t="n">
        <v>10</v>
      </c>
      <c r="B16" s="225" t="inlineStr">
        <is>
          <t>CABRERA CABRERA CRISTOFER REINALDO</t>
        </is>
      </c>
      <c r="C16" s="225" t="n"/>
      <c r="D16" s="145" t="n">
        <v>9.41</v>
      </c>
      <c r="E16" s="77" t="n">
        <v>9.27</v>
      </c>
      <c r="F16" s="142" t="n">
        <v>9.1</v>
      </c>
      <c r="G16" s="104" t="n">
        <v>9.92</v>
      </c>
      <c r="H16" s="107" t="n">
        <v>9.09</v>
      </c>
      <c r="I16" s="109" t="n">
        <v>9.869999999999999</v>
      </c>
      <c r="J16" s="76" t="n">
        <v>9.949999999999999</v>
      </c>
      <c r="K16" s="90" t="inlineStr">
        <is>
          <t>A-</t>
        </is>
      </c>
      <c r="L16" s="91" t="inlineStr">
        <is>
          <t>A+</t>
        </is>
      </c>
      <c r="M16" s="228" t="inlineStr">
        <is>
          <t>A+</t>
        </is>
      </c>
      <c r="N16" s="86">
        <f>TRUNC(AVERAGE(D16:J16),2)</f>
        <v/>
      </c>
      <c r="O16" s="99" t="inlineStr">
        <is>
          <t>S</t>
        </is>
      </c>
      <c r="P16" s="227" t="inlineStr">
        <is>
          <t>PROMOVIDO</t>
        </is>
      </c>
      <c r="Q16" s="100" t="n"/>
    </row>
    <row r="17" ht="15" customHeight="1" s="254">
      <c r="A17" s="56" t="n">
        <v>11</v>
      </c>
      <c r="B17" s="225" t="inlineStr">
        <is>
          <t>CALDAS GARCIA DAYANNA RASHEL</t>
        </is>
      </c>
      <c r="C17" s="225" t="n"/>
      <c r="D17" s="145" t="n">
        <v>9.5</v>
      </c>
      <c r="E17" s="77" t="n">
        <v>9.44</v>
      </c>
      <c r="F17" s="142" t="n">
        <v>9.369999999999999</v>
      </c>
      <c r="G17" s="104" t="n">
        <v>9.67</v>
      </c>
      <c r="H17" s="107" t="n">
        <v>9.49</v>
      </c>
      <c r="I17" s="109" t="n">
        <v>9.859999999999999</v>
      </c>
      <c r="J17" s="76" t="n">
        <v>9.949999999999999</v>
      </c>
      <c r="K17" s="90" t="inlineStr">
        <is>
          <t>A-</t>
        </is>
      </c>
      <c r="L17" s="91" t="inlineStr">
        <is>
          <t>B-</t>
        </is>
      </c>
      <c r="M17" s="228" t="inlineStr">
        <is>
          <t>A+</t>
        </is>
      </c>
      <c r="N17" s="86">
        <f>TRUNC(AVERAGE(D17:J17),2)</f>
        <v/>
      </c>
      <c r="O17" s="99" t="inlineStr">
        <is>
          <t>F</t>
        </is>
      </c>
      <c r="P17" s="227" t="inlineStr">
        <is>
          <t>PROMOVIDO</t>
        </is>
      </c>
      <c r="Q17" s="100" t="n"/>
    </row>
    <row r="18" ht="15" customHeight="1" s="254">
      <c r="A18" s="56" t="n">
        <v>12</v>
      </c>
      <c r="B18" s="153" t="inlineStr">
        <is>
          <t>CALI TINOCO MELANY ANAHÍ</t>
        </is>
      </c>
      <c r="C18" s="256" t="n"/>
      <c r="D18" s="145" t="n">
        <v>9.199999999999999</v>
      </c>
      <c r="E18" s="77" t="n">
        <v>8.02</v>
      </c>
      <c r="F18" s="142" t="n">
        <v>7.19</v>
      </c>
      <c r="G18" s="104" t="n">
        <v>8.289999999999999</v>
      </c>
      <c r="H18" s="107" t="n">
        <v>7.79</v>
      </c>
      <c r="I18" s="109" t="n">
        <v>9.56</v>
      </c>
      <c r="J18" s="76" t="n">
        <v>7.83</v>
      </c>
      <c r="K18" s="90" t="inlineStr">
        <is>
          <t>B+</t>
        </is>
      </c>
      <c r="L18" s="91" t="inlineStr">
        <is>
          <t>B-</t>
        </is>
      </c>
      <c r="M18" s="228" t="inlineStr">
        <is>
          <t>A-</t>
        </is>
      </c>
      <c r="N18" s="86">
        <f>TRUNC(AVERAGE(D18:J18),2)</f>
        <v/>
      </c>
      <c r="O18" s="99" t="inlineStr">
        <is>
          <t>F</t>
        </is>
      </c>
      <c r="P18" s="227" t="inlineStr">
        <is>
          <t>PROMOVIDO</t>
        </is>
      </c>
      <c r="Q18" s="100" t="n"/>
    </row>
    <row r="19" ht="15" customHeight="1" s="254">
      <c r="A19" s="56" t="n">
        <v>13</v>
      </c>
      <c r="B19" s="225" t="inlineStr">
        <is>
          <t>CARDENAS NIEMES ANTHONY DANIEL</t>
        </is>
      </c>
      <c r="C19" s="225" t="n"/>
      <c r="D19" s="145" t="n">
        <v>8.5</v>
      </c>
      <c r="E19" s="77" t="n">
        <v>8.130000000000001</v>
      </c>
      <c r="F19" s="142" t="n">
        <v>7.58</v>
      </c>
      <c r="G19" s="104" t="n">
        <v>8.06</v>
      </c>
      <c r="H19" s="107" t="n">
        <v>7.65</v>
      </c>
      <c r="I19" s="109" t="n">
        <v>9.15</v>
      </c>
      <c r="J19" s="76" t="n">
        <v>8.279999999999999</v>
      </c>
      <c r="K19" s="90" t="inlineStr">
        <is>
          <t>B+</t>
        </is>
      </c>
      <c r="L19" s="91" t="inlineStr">
        <is>
          <t>A+</t>
        </is>
      </c>
      <c r="M19" s="228" t="inlineStr">
        <is>
          <t>A-</t>
        </is>
      </c>
      <c r="N19" s="86">
        <f>TRUNC(AVERAGE(D19:J19),2)</f>
        <v/>
      </c>
      <c r="O19" s="99" t="inlineStr">
        <is>
          <t>S</t>
        </is>
      </c>
      <c r="P19" s="227" t="inlineStr">
        <is>
          <t>PROMOVIDO</t>
        </is>
      </c>
      <c r="Q19" s="100" t="n"/>
    </row>
    <row r="20" ht="15" customHeight="1" s="254">
      <c r="A20" s="56" t="n">
        <v>14</v>
      </c>
      <c r="B20" s="153" t="inlineStr">
        <is>
          <t>CHIQUI TIGSI PAMELA DAMARIS</t>
        </is>
      </c>
      <c r="C20" s="256" t="n"/>
      <c r="D20" s="145" t="n">
        <v>8.529999999999999</v>
      </c>
      <c r="E20" s="77" t="n">
        <v>8.23</v>
      </c>
      <c r="F20" s="142" t="n">
        <v>8.18</v>
      </c>
      <c r="G20" s="104" t="n">
        <v>9.6</v>
      </c>
      <c r="H20" s="107" t="n">
        <v>7.61</v>
      </c>
      <c r="I20" s="109" t="n">
        <v>9.69</v>
      </c>
      <c r="J20" s="76" t="n">
        <v>9.68</v>
      </c>
      <c r="K20" s="90" t="inlineStr">
        <is>
          <t>A-</t>
        </is>
      </c>
      <c r="L20" s="91" t="inlineStr">
        <is>
          <t>A+</t>
        </is>
      </c>
      <c r="M20" s="228" t="inlineStr">
        <is>
          <t>A-</t>
        </is>
      </c>
      <c r="N20" s="86">
        <f>TRUNC(AVERAGE(D20:J20),2)</f>
        <v/>
      </c>
      <c r="O20" s="99" t="inlineStr">
        <is>
          <t>S</t>
        </is>
      </c>
      <c r="P20" s="227" t="inlineStr">
        <is>
          <t>PROMOVIDO</t>
        </is>
      </c>
      <c r="Q20" s="100" t="n"/>
    </row>
    <row r="21" ht="15" customHeight="1" s="254">
      <c r="A21" s="56" t="n">
        <v>15</v>
      </c>
      <c r="B21" s="225" t="inlineStr">
        <is>
          <t>DELGADO UZHCA ISDRAEL ARMANDO</t>
        </is>
      </c>
      <c r="C21" s="225" t="n"/>
      <c r="D21" s="145" t="n">
        <v>8.07</v>
      </c>
      <c r="E21" s="77" t="n">
        <v>7.59</v>
      </c>
      <c r="F21" s="142" t="n">
        <v>7.2</v>
      </c>
      <c r="G21" s="104" t="n">
        <v>8.619999999999999</v>
      </c>
      <c r="H21" s="107" t="n">
        <v>7.31</v>
      </c>
      <c r="I21" s="109" t="n">
        <v>8.68</v>
      </c>
      <c r="J21" s="76" t="n">
        <v>7.78</v>
      </c>
      <c r="K21" s="90" t="inlineStr">
        <is>
          <t>B-</t>
        </is>
      </c>
      <c r="L21" s="91" t="inlineStr">
        <is>
          <t>B-</t>
        </is>
      </c>
      <c r="M21" s="228" t="inlineStr">
        <is>
          <t>A-</t>
        </is>
      </c>
      <c r="N21" s="86">
        <f>TRUNC(AVERAGE(D21:J21),2)</f>
        <v/>
      </c>
      <c r="O21" s="99" t="inlineStr">
        <is>
          <t>F</t>
        </is>
      </c>
      <c r="P21" s="227" t="inlineStr">
        <is>
          <t>PROMOVIDO</t>
        </is>
      </c>
      <c r="Q21" s="100" t="n"/>
    </row>
    <row r="22" ht="15" customHeight="1" s="254">
      <c r="A22" s="232" t="n">
        <v>16</v>
      </c>
      <c r="B22" s="225" t="inlineStr">
        <is>
          <t>DIAZ MISHQUERO KATHERINE MICHELLE</t>
        </is>
      </c>
      <c r="C22" s="225" t="n"/>
      <c r="D22" s="145" t="n">
        <v>9.23</v>
      </c>
      <c r="E22" s="77" t="n">
        <v>8.789999999999999</v>
      </c>
      <c r="F22" s="142" t="n">
        <v>7.74</v>
      </c>
      <c r="G22" s="104" t="n">
        <v>8.949999999999999</v>
      </c>
      <c r="H22" s="107" t="n">
        <v>7.76</v>
      </c>
      <c r="I22" s="109" t="n">
        <v>9.44</v>
      </c>
      <c r="J22" s="76" t="n">
        <v>8.82</v>
      </c>
      <c r="K22" s="90" t="inlineStr">
        <is>
          <t>B+</t>
        </is>
      </c>
      <c r="L22" s="91" t="inlineStr">
        <is>
          <t>B-</t>
        </is>
      </c>
      <c r="M22" s="228" t="inlineStr">
        <is>
          <t>A-</t>
        </is>
      </c>
      <c r="N22" s="86">
        <f>TRUNC(AVERAGE(D22:J22),2)</f>
        <v/>
      </c>
      <c r="O22" s="99" t="inlineStr">
        <is>
          <t>O</t>
        </is>
      </c>
      <c r="P22" s="227" t="inlineStr">
        <is>
          <t>PROMOVIDO</t>
        </is>
      </c>
      <c r="Q22" s="100" t="n"/>
    </row>
    <row r="23" ht="15" customHeight="1" s="254">
      <c r="A23" s="56" t="n">
        <v>17</v>
      </c>
      <c r="B23" s="153" t="inlineStr">
        <is>
          <t>DUTA ESPINOZA MIKE ANTHONY</t>
        </is>
      </c>
      <c r="C23" s="256" t="n"/>
      <c r="D23" s="145" t="n">
        <v>8.35</v>
      </c>
      <c r="E23" s="77" t="n">
        <v>7.05</v>
      </c>
      <c r="F23" s="142" t="n">
        <v>7.21</v>
      </c>
      <c r="G23" s="104" t="n">
        <v>8.41</v>
      </c>
      <c r="H23" s="107" t="n">
        <v>7.91</v>
      </c>
      <c r="I23" s="109" t="n">
        <v>8.529999999999999</v>
      </c>
      <c r="J23" s="76" t="n">
        <v>8.25</v>
      </c>
      <c r="K23" s="90" t="inlineStr">
        <is>
          <t>B+</t>
        </is>
      </c>
      <c r="L23" s="91" t="inlineStr">
        <is>
          <t>B-</t>
        </is>
      </c>
      <c r="M23" s="228" t="inlineStr">
        <is>
          <t>A-</t>
        </is>
      </c>
      <c r="N23" s="86">
        <f>TRUNC(AVERAGE(D23:J23),2)</f>
        <v/>
      </c>
      <c r="O23" s="99" t="inlineStr">
        <is>
          <t>F</t>
        </is>
      </c>
      <c r="P23" s="227" t="inlineStr">
        <is>
          <t>PROMOVIDO</t>
        </is>
      </c>
      <c r="Q23" s="100" t="n"/>
    </row>
    <row r="24" ht="15" customHeight="1" s="254">
      <c r="A24" s="56" t="n">
        <v>18</v>
      </c>
      <c r="B24" s="225" t="inlineStr">
        <is>
          <t>GONZALEZ CALLE SCARLETTE ABIGAIL</t>
        </is>
      </c>
      <c r="C24" s="225" t="n"/>
      <c r="D24" s="145" t="n">
        <v>9.34</v>
      </c>
      <c r="E24" s="77" t="n">
        <v>8.66</v>
      </c>
      <c r="F24" s="142" t="n">
        <v>8.31</v>
      </c>
      <c r="G24" s="104" t="n">
        <v>9.539999999999999</v>
      </c>
      <c r="H24" s="107" t="n">
        <v>7.56</v>
      </c>
      <c r="I24" s="109" t="n">
        <v>9.94</v>
      </c>
      <c r="J24" s="76" t="n">
        <v>9.51</v>
      </c>
      <c r="K24" s="90" t="inlineStr">
        <is>
          <t>A-</t>
        </is>
      </c>
      <c r="L24" s="91" t="inlineStr">
        <is>
          <t>A+</t>
        </is>
      </c>
      <c r="M24" s="228" t="inlineStr">
        <is>
          <t>A+</t>
        </is>
      </c>
      <c r="N24" s="86">
        <f>TRUNC(AVERAGE(D24:J24),2)</f>
        <v/>
      </c>
      <c r="O24" s="99" t="inlineStr">
        <is>
          <t>S</t>
        </is>
      </c>
      <c r="P24" s="227" t="inlineStr">
        <is>
          <t>PROMOVIDO</t>
        </is>
      </c>
      <c r="Q24" s="100" t="n"/>
    </row>
    <row r="25" ht="15" customHeight="1" s="254">
      <c r="A25" s="56" t="n">
        <v>19</v>
      </c>
      <c r="B25" s="225" t="inlineStr">
        <is>
          <t>GONZALEZ VALDES ANTHONY JHULIAN</t>
        </is>
      </c>
      <c r="C25" s="225" t="n"/>
      <c r="D25" s="145" t="n">
        <v>8.17</v>
      </c>
      <c r="E25" s="77" t="n">
        <v>7.6</v>
      </c>
      <c r="F25" s="142" t="n">
        <v>7.35</v>
      </c>
      <c r="G25" s="104" t="n">
        <v>8.19</v>
      </c>
      <c r="H25" s="134" t="n">
        <v>7.03</v>
      </c>
      <c r="I25" s="109" t="n">
        <v>8.85</v>
      </c>
      <c r="J25" s="76" t="n">
        <v>7.65</v>
      </c>
      <c r="K25" s="90" t="inlineStr">
        <is>
          <t>C+</t>
        </is>
      </c>
      <c r="L25" s="91" t="inlineStr">
        <is>
          <t>C-</t>
        </is>
      </c>
      <c r="M25" s="228" t="inlineStr">
        <is>
          <t>B+</t>
        </is>
      </c>
      <c r="N25" s="86">
        <f>TRUNC(AVERAGE(D25:J25),2)</f>
        <v/>
      </c>
      <c r="O25" s="99" t="inlineStr">
        <is>
          <t>O</t>
        </is>
      </c>
      <c r="P25" s="227" t="inlineStr">
        <is>
          <t>PROMOVIDO</t>
        </is>
      </c>
      <c r="Q25" s="100" t="n"/>
    </row>
    <row r="26" ht="15" customHeight="1" s="254">
      <c r="A26" s="56" t="n">
        <v>20</v>
      </c>
      <c r="B26" s="225" t="inlineStr">
        <is>
          <t>GONZALEZ VALDES CRISTHOPHER JOAO</t>
        </is>
      </c>
      <c r="C26" s="225" t="n"/>
      <c r="D26" s="145" t="n">
        <v>7.54</v>
      </c>
      <c r="E26" s="77" t="n">
        <v>7.16</v>
      </c>
      <c r="F26" s="142" t="n">
        <v>7.28</v>
      </c>
      <c r="G26" s="104" t="n">
        <v>7.79</v>
      </c>
      <c r="H26" s="107" t="n">
        <v>7.24</v>
      </c>
      <c r="I26" s="109" t="n">
        <v>8.68</v>
      </c>
      <c r="J26" s="76" t="n">
        <v>8.460000000000001</v>
      </c>
      <c r="K26" s="90" t="inlineStr">
        <is>
          <t>C-</t>
        </is>
      </c>
      <c r="L26" s="91" t="inlineStr">
        <is>
          <t>C-</t>
        </is>
      </c>
      <c r="M26" s="228" t="inlineStr">
        <is>
          <t>B+</t>
        </is>
      </c>
      <c r="N26" s="86">
        <f>TRUNC(AVERAGE(D26:J26),2)</f>
        <v/>
      </c>
      <c r="O26" s="99" t="inlineStr">
        <is>
          <t>O</t>
        </is>
      </c>
      <c r="P26" s="227" t="inlineStr">
        <is>
          <t>PROMOVIDO</t>
        </is>
      </c>
      <c r="Q26" s="100" t="n"/>
    </row>
    <row r="27" ht="15" customHeight="1" s="254">
      <c r="A27" s="56" t="n">
        <v>21</v>
      </c>
      <c r="B27" s="225" t="inlineStr">
        <is>
          <t>GUACHICHULLCA SIAVICHAY JOHN FERNANDO</t>
        </is>
      </c>
      <c r="C27" s="225" t="n"/>
      <c r="D27" s="145" t="n">
        <v>9.06</v>
      </c>
      <c r="E27" s="77" t="n">
        <v>8.710000000000001</v>
      </c>
      <c r="F27" s="142" t="n">
        <v>7.44</v>
      </c>
      <c r="G27" s="104" t="n">
        <v>8.529999999999999</v>
      </c>
      <c r="H27" s="107" t="n">
        <v>7.63</v>
      </c>
      <c r="I27" s="109" t="n">
        <v>8.949999999999999</v>
      </c>
      <c r="J27" s="76" t="n">
        <v>8.49</v>
      </c>
      <c r="K27" s="90" t="inlineStr">
        <is>
          <t>B+</t>
        </is>
      </c>
      <c r="L27" s="91" t="inlineStr">
        <is>
          <t>A+</t>
        </is>
      </c>
      <c r="M27" s="228" t="inlineStr">
        <is>
          <t>A+</t>
        </is>
      </c>
      <c r="N27" s="86">
        <f>TRUNC(AVERAGE(D27:J27),2)</f>
        <v/>
      </c>
      <c r="O27" s="99" t="inlineStr">
        <is>
          <t>S</t>
        </is>
      </c>
      <c r="P27" s="227" t="inlineStr">
        <is>
          <t>PROMOVIDO</t>
        </is>
      </c>
      <c r="Q27" s="100" t="n"/>
    </row>
    <row r="28" ht="18" customHeight="1" s="254">
      <c r="A28" s="56" t="n">
        <v>22</v>
      </c>
      <c r="B28" s="225" t="inlineStr">
        <is>
          <t>GUALAN YUNGA DAYANNA DEL CISNE</t>
        </is>
      </c>
      <c r="C28" s="225" t="n"/>
      <c r="D28" s="145" t="n">
        <v>9.48</v>
      </c>
      <c r="E28" s="77" t="n">
        <v>9.57</v>
      </c>
      <c r="F28" s="142" t="n">
        <v>9.24</v>
      </c>
      <c r="G28" s="104" t="n">
        <v>9.66</v>
      </c>
      <c r="H28" s="107" t="n">
        <v>9.19</v>
      </c>
      <c r="I28" s="109" t="n">
        <v>9.98</v>
      </c>
      <c r="J28" s="76" t="n">
        <v>9.869999999999999</v>
      </c>
      <c r="K28" s="90" t="inlineStr">
        <is>
          <t>A+</t>
        </is>
      </c>
      <c r="L28" s="91" t="inlineStr">
        <is>
          <t>A+</t>
        </is>
      </c>
      <c r="M28" s="228" t="inlineStr">
        <is>
          <t>A+</t>
        </is>
      </c>
      <c r="N28" s="86">
        <f>TRUNC(AVERAGE(D28:J28),2)</f>
        <v/>
      </c>
      <c r="O28" s="99" t="inlineStr">
        <is>
          <t>S</t>
        </is>
      </c>
      <c r="P28" s="227" t="inlineStr">
        <is>
          <t>PROMOVIDO</t>
        </is>
      </c>
      <c r="Q28" s="100" t="n"/>
    </row>
    <row r="29" ht="15" customHeight="1" s="254">
      <c r="A29" s="56" t="n">
        <v>23</v>
      </c>
      <c r="B29" s="225" t="inlineStr">
        <is>
          <t>GUALLPA QUITUISACA SANTIAGO NICOLAS</t>
        </is>
      </c>
      <c r="C29" s="225" t="n"/>
      <c r="D29" s="145" t="n">
        <v>9.15</v>
      </c>
      <c r="E29" s="77" t="n">
        <v>8.390000000000001</v>
      </c>
      <c r="F29" s="142" t="n">
        <v>8.48</v>
      </c>
      <c r="G29" s="104" t="n">
        <v>9.59</v>
      </c>
      <c r="H29" s="134" t="n">
        <v>8.02</v>
      </c>
      <c r="I29" s="109" t="n">
        <v>9.720000000000001</v>
      </c>
      <c r="J29" s="76" t="n">
        <v>9.119999999999999</v>
      </c>
      <c r="K29" s="90" t="inlineStr">
        <is>
          <t>A-</t>
        </is>
      </c>
      <c r="L29" s="91" t="inlineStr">
        <is>
          <t>A+</t>
        </is>
      </c>
      <c r="M29" s="228" t="inlineStr">
        <is>
          <t>A-</t>
        </is>
      </c>
      <c r="N29" s="86">
        <f>TRUNC(AVERAGE(D29:J29),2)</f>
        <v/>
      </c>
      <c r="O29" s="99" t="inlineStr">
        <is>
          <t>F</t>
        </is>
      </c>
      <c r="P29" s="227" t="inlineStr">
        <is>
          <t>PROMOVIDO</t>
        </is>
      </c>
      <c r="Q29" s="100" t="n"/>
    </row>
    <row r="30" ht="18" customHeight="1" s="254">
      <c r="A30" s="56" t="n">
        <v>24</v>
      </c>
      <c r="B30" s="225" t="inlineStr">
        <is>
          <t>GUALPA DELGADO EVELYN TATIANA</t>
        </is>
      </c>
      <c r="C30" s="225" t="n"/>
      <c r="D30" s="145" t="n">
        <v>9.050000000000001</v>
      </c>
      <c r="E30" s="77" t="n">
        <v>9.18</v>
      </c>
      <c r="F30" s="142" t="n">
        <v>8.359999999999999</v>
      </c>
      <c r="G30" s="104" t="n">
        <v>9.67</v>
      </c>
      <c r="H30" s="107" t="n">
        <v>8.9</v>
      </c>
      <c r="I30" s="109" t="n">
        <v>9.98</v>
      </c>
      <c r="J30" s="76" t="n">
        <v>9.57</v>
      </c>
      <c r="K30" s="90" t="inlineStr">
        <is>
          <t>A-</t>
        </is>
      </c>
      <c r="L30" s="91" t="inlineStr">
        <is>
          <t>A+</t>
        </is>
      </c>
      <c r="M30" s="228" t="inlineStr">
        <is>
          <t>A+</t>
        </is>
      </c>
      <c r="N30" s="86">
        <f>TRUNC(AVERAGE(D30:J30),2)</f>
        <v/>
      </c>
      <c r="O30" s="99" t="inlineStr">
        <is>
          <t>S</t>
        </is>
      </c>
      <c r="P30" s="227" t="inlineStr">
        <is>
          <t>PROMOVIDO</t>
        </is>
      </c>
      <c r="Q30" s="100" t="n"/>
    </row>
    <row r="31" ht="15" customHeight="1" s="254">
      <c r="A31" s="56" t="n">
        <v>25</v>
      </c>
      <c r="B31" s="225" t="inlineStr">
        <is>
          <t>GUAMAN LLAMBA CAMILA ALEJANDRA</t>
        </is>
      </c>
      <c r="C31" s="225" t="n"/>
      <c r="D31" s="145" t="n">
        <v>8.33</v>
      </c>
      <c r="E31" s="77" t="n">
        <v>8.369999999999999</v>
      </c>
      <c r="F31" s="142" t="n">
        <v>7.54</v>
      </c>
      <c r="G31" s="104" t="n">
        <v>7.96</v>
      </c>
      <c r="H31" s="107" t="n">
        <v>7.42</v>
      </c>
      <c r="I31" s="109" t="n">
        <v>9.16</v>
      </c>
      <c r="J31" s="76" t="n">
        <v>8.380000000000001</v>
      </c>
      <c r="K31" s="90" t="inlineStr">
        <is>
          <t>B-</t>
        </is>
      </c>
      <c r="L31" s="91" t="inlineStr">
        <is>
          <t>B-</t>
        </is>
      </c>
      <c r="M31" s="228" t="inlineStr">
        <is>
          <t>A-</t>
        </is>
      </c>
      <c r="N31" s="86">
        <f>TRUNC(AVERAGE(D31:J31),2)</f>
        <v/>
      </c>
      <c r="O31" s="99" t="inlineStr">
        <is>
          <t>O</t>
        </is>
      </c>
      <c r="P31" s="227" t="inlineStr">
        <is>
          <t>PROMOVIDO</t>
        </is>
      </c>
      <c r="Q31" s="100" t="n"/>
    </row>
    <row r="32" ht="15" customHeight="1" s="254">
      <c r="A32" s="56" t="n">
        <v>26</v>
      </c>
      <c r="B32" s="225" t="inlineStr">
        <is>
          <t>GUAMAN SIGUA DOMENICA ALEXANDRA</t>
        </is>
      </c>
      <c r="C32" s="225" t="n"/>
      <c r="D32" s="145" t="n">
        <v>9</v>
      </c>
      <c r="E32" s="77" t="n">
        <v>7.94</v>
      </c>
      <c r="F32" s="142" t="n">
        <v>7.56</v>
      </c>
      <c r="G32" s="104" t="n">
        <v>8.68</v>
      </c>
      <c r="H32" s="107" t="n">
        <v>7.3</v>
      </c>
      <c r="I32" s="109" t="n">
        <v>8.92</v>
      </c>
      <c r="J32" s="76" t="n">
        <v>7.54</v>
      </c>
      <c r="K32" s="90" t="inlineStr">
        <is>
          <t>B+</t>
        </is>
      </c>
      <c r="L32" s="91" t="inlineStr">
        <is>
          <t>B-</t>
        </is>
      </c>
      <c r="M32" s="228" t="inlineStr">
        <is>
          <t>A+</t>
        </is>
      </c>
      <c r="N32" s="86">
        <f>TRUNC(AVERAGE(D32:J32),2)</f>
        <v/>
      </c>
      <c r="O32" s="99" t="inlineStr">
        <is>
          <t>F</t>
        </is>
      </c>
      <c r="P32" s="227" t="inlineStr">
        <is>
          <t>PROMOVIDO</t>
        </is>
      </c>
      <c r="Q32" s="100" t="n"/>
    </row>
    <row r="33" ht="15" customHeight="1" s="254">
      <c r="A33" s="56" t="n">
        <v>27</v>
      </c>
      <c r="B33" s="225" t="inlineStr">
        <is>
          <t>HERRERA ASMAL ESTEBAN NICOLAS</t>
        </is>
      </c>
      <c r="C33" s="225" t="n"/>
      <c r="D33" s="145" t="n">
        <v>8.67</v>
      </c>
      <c r="E33" s="77" t="n">
        <v>8.17</v>
      </c>
      <c r="F33" s="142" t="n">
        <v>7.47</v>
      </c>
      <c r="G33" s="104" t="n">
        <v>8.539999999999999</v>
      </c>
      <c r="H33" s="107" t="n">
        <v>8.140000000000001</v>
      </c>
      <c r="I33" s="109" t="n">
        <v>8.99</v>
      </c>
      <c r="J33" s="76" t="n">
        <v>8.529999999999999</v>
      </c>
      <c r="K33" s="90" t="inlineStr">
        <is>
          <t>B-</t>
        </is>
      </c>
      <c r="L33" s="91" t="inlineStr">
        <is>
          <t>B-</t>
        </is>
      </c>
      <c r="M33" s="228" t="inlineStr">
        <is>
          <t>A-</t>
        </is>
      </c>
      <c r="N33" s="86">
        <f>TRUNC(AVERAGE(D33:J33),2)</f>
        <v/>
      </c>
      <c r="O33" s="99" t="inlineStr">
        <is>
          <t>S</t>
        </is>
      </c>
      <c r="P33" s="227" t="inlineStr">
        <is>
          <t>PROMOVIDO</t>
        </is>
      </c>
      <c r="Q33" s="100" t="n"/>
    </row>
    <row r="34" ht="15" customHeight="1" s="254">
      <c r="A34" s="232" t="n">
        <v>28</v>
      </c>
      <c r="B34" s="153" t="inlineStr">
        <is>
          <t>JARRIN DAVILA MARLON STEVEN</t>
        </is>
      </c>
      <c r="C34" s="256" t="n"/>
      <c r="D34" s="145" t="n">
        <v>8.01</v>
      </c>
      <c r="E34" s="77" t="n">
        <v>7.02</v>
      </c>
      <c r="F34" s="142" t="n">
        <v>7.01</v>
      </c>
      <c r="G34" s="104" t="n">
        <v>7.19</v>
      </c>
      <c r="H34" s="134" t="n">
        <v>7</v>
      </c>
      <c r="I34" s="109" t="n">
        <v>8.44</v>
      </c>
      <c r="J34" s="76" t="n">
        <v>8.31</v>
      </c>
      <c r="K34" s="90" t="inlineStr">
        <is>
          <t>C-</t>
        </is>
      </c>
      <c r="L34" s="91" t="inlineStr">
        <is>
          <t>B+</t>
        </is>
      </c>
      <c r="M34" s="228" t="inlineStr">
        <is>
          <t>A-</t>
        </is>
      </c>
      <c r="N34" s="86">
        <f>TRUNC(AVERAGE(D34:J34),2)</f>
        <v/>
      </c>
      <c r="O34" s="99" t="inlineStr">
        <is>
          <t>F</t>
        </is>
      </c>
      <c r="P34" s="227" t="inlineStr">
        <is>
          <t>PROMOVIDO</t>
        </is>
      </c>
      <c r="Q34" s="100" t="n"/>
    </row>
    <row r="35" ht="15" customHeight="1" s="254">
      <c r="A35" s="56" t="n">
        <v>29</v>
      </c>
      <c r="B35" s="225" t="inlineStr">
        <is>
          <t>LEMA PAUCAR MIGUEL ALEJANDRO</t>
        </is>
      </c>
      <c r="C35" s="225" t="n"/>
      <c r="D35" s="145" t="n">
        <v>8.619999999999999</v>
      </c>
      <c r="E35" s="77" t="n">
        <v>8.24</v>
      </c>
      <c r="F35" s="142" t="n">
        <v>8.119999999999999</v>
      </c>
      <c r="G35" s="104" t="n">
        <v>9.09</v>
      </c>
      <c r="H35" s="107" t="n">
        <v>8.210000000000001</v>
      </c>
      <c r="I35" s="109" t="n">
        <v>9.19</v>
      </c>
      <c r="J35" s="76" t="n">
        <v>9.59</v>
      </c>
      <c r="K35" s="90" t="inlineStr">
        <is>
          <t>A-</t>
        </is>
      </c>
      <c r="L35" s="91" t="inlineStr">
        <is>
          <t>A+</t>
        </is>
      </c>
      <c r="M35" s="228" t="inlineStr">
        <is>
          <t>A-</t>
        </is>
      </c>
      <c r="N35" s="86">
        <f>TRUNC(AVERAGE(D35:J35),2)</f>
        <v/>
      </c>
      <c r="O35" s="99" t="inlineStr">
        <is>
          <t>S</t>
        </is>
      </c>
      <c r="P35" s="227" t="inlineStr">
        <is>
          <t>PROMOVIDO</t>
        </is>
      </c>
      <c r="Q35" s="100" t="n"/>
    </row>
    <row r="36" ht="15" customHeight="1" s="254">
      <c r="A36" s="56" t="n">
        <v>30</v>
      </c>
      <c r="B36" s="153" t="inlineStr">
        <is>
          <t>LEON CRUZ LUIS ALFREDO</t>
        </is>
      </c>
      <c r="C36" s="256" t="n"/>
      <c r="D36" s="145" t="n">
        <v>7.2</v>
      </c>
      <c r="E36" s="77" t="n">
        <v>7.09</v>
      </c>
      <c r="F36" s="142" t="n">
        <v>7.27</v>
      </c>
      <c r="G36" s="104" t="n">
        <v>7.02</v>
      </c>
      <c r="H36" s="107" t="n">
        <v>7</v>
      </c>
      <c r="I36" s="109" t="n">
        <v>8.43</v>
      </c>
      <c r="J36" s="76" t="n">
        <v>8.140000000000001</v>
      </c>
      <c r="K36" s="90" t="inlineStr">
        <is>
          <t>B-</t>
        </is>
      </c>
      <c r="L36" s="91" t="inlineStr">
        <is>
          <t>C-</t>
        </is>
      </c>
      <c r="M36" s="228" t="inlineStr">
        <is>
          <t>B+</t>
        </is>
      </c>
      <c r="N36" s="86">
        <f>TRUNC(AVERAGE(D36:J36),2)</f>
        <v/>
      </c>
      <c r="O36" s="99" t="inlineStr">
        <is>
          <t>O</t>
        </is>
      </c>
      <c r="P36" s="227" t="inlineStr">
        <is>
          <t>PROMOVIDO</t>
        </is>
      </c>
      <c r="Q36" s="100" t="n"/>
    </row>
    <row r="37" ht="15" customHeight="1" s="254">
      <c r="A37" s="56" t="n">
        <v>31</v>
      </c>
      <c r="B37" s="225" t="inlineStr">
        <is>
          <t>MARCATOMA RODRIGUEZ NICOLE STEPHANY</t>
        </is>
      </c>
      <c r="C37" s="225" t="n"/>
      <c r="D37" s="145" t="n">
        <v>8.109999999999999</v>
      </c>
      <c r="E37" s="77" t="n">
        <v>7.4</v>
      </c>
      <c r="F37" s="142" t="n">
        <v>7.08</v>
      </c>
      <c r="G37" s="104" t="n">
        <v>7.91</v>
      </c>
      <c r="H37" s="134" t="n">
        <v>7.05</v>
      </c>
      <c r="I37" s="109" t="n">
        <v>8.720000000000001</v>
      </c>
      <c r="J37" s="76" t="n">
        <v>7.93</v>
      </c>
      <c r="K37" s="90" t="inlineStr">
        <is>
          <t>B-</t>
        </is>
      </c>
      <c r="L37" s="91" t="inlineStr">
        <is>
          <t>A+</t>
        </is>
      </c>
      <c r="M37" s="228" t="inlineStr">
        <is>
          <t>A-</t>
        </is>
      </c>
      <c r="N37" s="86">
        <f>TRUNC(AVERAGE(D37:J37),2)</f>
        <v/>
      </c>
      <c r="O37" s="99" t="inlineStr">
        <is>
          <t>S</t>
        </is>
      </c>
      <c r="P37" s="227" t="inlineStr">
        <is>
          <t>PROMOVIDO</t>
        </is>
      </c>
      <c r="Q37" s="100" t="n"/>
    </row>
    <row r="38" ht="15" customHeight="1" s="254">
      <c r="A38" s="56" t="n">
        <v>32</v>
      </c>
      <c r="B38" s="225" t="inlineStr">
        <is>
          <t>MOROCHO PELAEZ MATEO ALEJANDRO</t>
        </is>
      </c>
      <c r="C38" s="225" t="n"/>
      <c r="D38" s="145" t="n">
        <v>8.779999999999999</v>
      </c>
      <c r="E38" s="77" t="n">
        <v>7.65</v>
      </c>
      <c r="F38" s="142" t="n">
        <v>7.73</v>
      </c>
      <c r="G38" s="104" t="n">
        <v>8.390000000000001</v>
      </c>
      <c r="H38" s="107" t="n">
        <v>7.67</v>
      </c>
      <c r="I38" s="109" t="n">
        <v>8.91</v>
      </c>
      <c r="J38" s="76" t="n">
        <v>8.699999999999999</v>
      </c>
      <c r="K38" s="90" t="inlineStr">
        <is>
          <t>B-</t>
        </is>
      </c>
      <c r="L38" s="91" t="inlineStr">
        <is>
          <t>B-</t>
        </is>
      </c>
      <c r="M38" s="228" t="inlineStr">
        <is>
          <t>A-</t>
        </is>
      </c>
      <c r="N38" s="86">
        <f>TRUNC(AVERAGE(D38:J38),2)</f>
        <v/>
      </c>
      <c r="O38" s="99" t="inlineStr">
        <is>
          <t>F</t>
        </is>
      </c>
      <c r="P38" s="227" t="inlineStr">
        <is>
          <t>PROMOVIDO</t>
        </is>
      </c>
      <c r="Q38" s="100" t="n"/>
    </row>
    <row r="39" ht="18" customHeight="1" s="254">
      <c r="A39" s="124" t="n">
        <v>33</v>
      </c>
      <c r="B39" s="225" t="inlineStr">
        <is>
          <t>ORTIZ PAUCAR JOSTIN ALEXANDER</t>
        </is>
      </c>
      <c r="C39" s="225" t="n"/>
      <c r="D39" s="145" t="n">
        <v>9.23</v>
      </c>
      <c r="E39" s="77" t="n">
        <v>7.98</v>
      </c>
      <c r="F39" s="142" t="n">
        <v>9.119999999999999</v>
      </c>
      <c r="G39" s="104" t="n">
        <v>9.43</v>
      </c>
      <c r="H39" s="134" t="n">
        <v>8.289999999999999</v>
      </c>
      <c r="I39" s="109" t="n">
        <v>9.869999999999999</v>
      </c>
      <c r="J39" s="76" t="n">
        <v>8.970000000000001</v>
      </c>
      <c r="K39" s="90" t="inlineStr">
        <is>
          <t>A-</t>
        </is>
      </c>
      <c r="L39" s="91" t="inlineStr">
        <is>
          <t>A+</t>
        </is>
      </c>
      <c r="M39" s="228" t="inlineStr">
        <is>
          <t>A+</t>
        </is>
      </c>
      <c r="N39" s="86">
        <f>TRUNC(AVERAGE(D39:J39),2)</f>
        <v/>
      </c>
      <c r="O39" s="99" t="inlineStr">
        <is>
          <t>S</t>
        </is>
      </c>
      <c r="P39" s="227" t="inlineStr">
        <is>
          <t>PROMOVIDO</t>
        </is>
      </c>
      <c r="Q39" s="100" t="n"/>
    </row>
    <row r="40" ht="15" customHeight="1" s="254">
      <c r="A40" s="124" t="n">
        <v>34</v>
      </c>
      <c r="B40" s="225" t="inlineStr">
        <is>
          <t>QUINDE VIÑANSACA AILYN TAMARA</t>
        </is>
      </c>
      <c r="C40" s="225" t="n"/>
      <c r="D40" s="145" t="n">
        <v>8.880000000000001</v>
      </c>
      <c r="E40" s="77" t="n">
        <v>9.27</v>
      </c>
      <c r="F40" s="142" t="n">
        <v>8.57</v>
      </c>
      <c r="G40" s="104" t="n">
        <v>8.779999999999999</v>
      </c>
      <c r="H40" s="107" t="n">
        <v>8.449999999999999</v>
      </c>
      <c r="I40" s="109" t="n">
        <v>9.73</v>
      </c>
      <c r="J40" s="76" t="n">
        <v>7.98</v>
      </c>
      <c r="K40" s="90" t="inlineStr">
        <is>
          <t>A-</t>
        </is>
      </c>
      <c r="L40" s="91" t="inlineStr">
        <is>
          <t>A+</t>
        </is>
      </c>
      <c r="M40" s="228" t="inlineStr">
        <is>
          <t>A+</t>
        </is>
      </c>
      <c r="N40" s="86">
        <f>TRUNC(AVERAGE(D40:J40),2)</f>
        <v/>
      </c>
      <c r="O40" s="99" t="inlineStr">
        <is>
          <t>S</t>
        </is>
      </c>
      <c r="P40" s="227" t="inlineStr">
        <is>
          <t>PROMOVIDO</t>
        </is>
      </c>
      <c r="Q40" s="100" t="n"/>
    </row>
    <row r="41" ht="14.25" customHeight="1" s="254">
      <c r="A41" s="124" t="n">
        <v>35</v>
      </c>
      <c r="B41" s="225" t="inlineStr">
        <is>
          <t>ROMERO NARVAEZ KATHERINE ANAHI</t>
        </is>
      </c>
      <c r="C41" s="225" t="n"/>
      <c r="D41" s="145" t="n">
        <v>9.44</v>
      </c>
      <c r="E41" s="77" t="n">
        <v>9.35</v>
      </c>
      <c r="F41" s="142" t="n">
        <v>8.48</v>
      </c>
      <c r="G41" s="104" t="n">
        <v>9.34</v>
      </c>
      <c r="H41" s="107" t="n">
        <v>8.44</v>
      </c>
      <c r="I41" s="109" t="n">
        <v>9.94</v>
      </c>
      <c r="J41" s="76" t="n">
        <v>9.609999999999999</v>
      </c>
      <c r="K41" s="90" t="inlineStr">
        <is>
          <t>A-</t>
        </is>
      </c>
      <c r="L41" s="91" t="inlineStr">
        <is>
          <t>A+</t>
        </is>
      </c>
      <c r="M41" s="228" t="inlineStr">
        <is>
          <t>A+</t>
        </is>
      </c>
      <c r="N41" s="86">
        <f>TRUNC(AVERAGE(D41:J41),2)</f>
        <v/>
      </c>
      <c r="O41" s="99" t="inlineStr">
        <is>
          <t>S</t>
        </is>
      </c>
      <c r="P41" s="227" t="inlineStr">
        <is>
          <t>PROMOVIDO</t>
        </is>
      </c>
      <c r="Q41" s="100" t="n"/>
    </row>
    <row r="42" ht="15" customHeight="1" s="254">
      <c r="A42" s="124" t="n">
        <v>36</v>
      </c>
      <c r="B42" s="225" t="inlineStr">
        <is>
          <t>SAETEROS ALLAICO DAVID ALEXANDER</t>
        </is>
      </c>
      <c r="C42" s="225" t="n"/>
      <c r="D42" s="145" t="n">
        <v>9.18</v>
      </c>
      <c r="E42" s="77" t="n">
        <v>8.92</v>
      </c>
      <c r="F42" s="142" t="n">
        <v>8.199999999999999</v>
      </c>
      <c r="G42" s="104" t="n">
        <v>8.949999999999999</v>
      </c>
      <c r="H42" s="107" t="n">
        <v>8.34</v>
      </c>
      <c r="I42" s="109" t="n">
        <v>9.789999999999999</v>
      </c>
      <c r="J42" s="76" t="n">
        <v>9.279999999999999</v>
      </c>
      <c r="K42" s="90" t="inlineStr">
        <is>
          <t>B+</t>
        </is>
      </c>
      <c r="L42" s="91" t="inlineStr">
        <is>
          <t>A+</t>
        </is>
      </c>
      <c r="M42" s="228" t="inlineStr">
        <is>
          <t>A-</t>
        </is>
      </c>
      <c r="N42" s="86">
        <f>TRUNC(AVERAGE(D42:J42),2)</f>
        <v/>
      </c>
      <c r="O42" s="99" t="inlineStr">
        <is>
          <t>S</t>
        </is>
      </c>
      <c r="P42" s="227" t="inlineStr">
        <is>
          <t>PROMOVIDO</t>
        </is>
      </c>
      <c r="Q42" s="100" t="n"/>
    </row>
    <row r="43" ht="15" customHeight="1" s="254">
      <c r="A43" s="124" t="n">
        <v>37</v>
      </c>
      <c r="B43" s="225" t="inlineStr">
        <is>
          <t>VIÑANZACA QUITO KIMBERLY GUADALUPE</t>
        </is>
      </c>
      <c r="C43" s="225" t="n"/>
      <c r="D43" s="145" t="n">
        <v>9.130000000000001</v>
      </c>
      <c r="E43" s="77" t="n">
        <v>9.51</v>
      </c>
      <c r="F43" s="142" t="n">
        <v>9.460000000000001</v>
      </c>
      <c r="G43" s="104" t="n">
        <v>9.94</v>
      </c>
      <c r="H43" s="107" t="n">
        <v>9.119999999999999</v>
      </c>
      <c r="I43" s="109" t="n">
        <v>10</v>
      </c>
      <c r="J43" s="76" t="n">
        <v>9.92</v>
      </c>
      <c r="K43" s="90" t="inlineStr">
        <is>
          <t>A-</t>
        </is>
      </c>
      <c r="L43" s="91" t="inlineStr">
        <is>
          <t>A+</t>
        </is>
      </c>
      <c r="M43" s="228" t="inlineStr">
        <is>
          <t>A+</t>
        </is>
      </c>
      <c r="N43" s="86">
        <f>TRUNC(AVERAGE(D43:J43),2)</f>
        <v/>
      </c>
      <c r="O43" s="99" t="inlineStr">
        <is>
          <t>S</t>
        </is>
      </c>
      <c r="P43" s="227" t="inlineStr">
        <is>
          <t>PROMOVIDO</t>
        </is>
      </c>
      <c r="Q43" s="100" t="n"/>
    </row>
    <row r="44" ht="15" customHeight="1" s="254">
      <c r="A44" s="124" t="n">
        <v>38</v>
      </c>
      <c r="B44" s="225" t="inlineStr">
        <is>
          <t>ZHUNGO FERNANDEZ EUNISE MAYTE</t>
        </is>
      </c>
      <c r="C44" s="225" t="n"/>
      <c r="D44" s="145" t="n">
        <v>8.460000000000001</v>
      </c>
      <c r="E44" s="77" t="n">
        <v>8.02</v>
      </c>
      <c r="F44" s="142" t="n">
        <v>7.76</v>
      </c>
      <c r="G44" s="104" t="n">
        <v>8.720000000000001</v>
      </c>
      <c r="H44" s="107" t="n">
        <v>7.45</v>
      </c>
      <c r="I44" s="109" t="n">
        <v>9.43</v>
      </c>
      <c r="J44" s="76" t="n">
        <v>8.890000000000001</v>
      </c>
      <c r="K44" s="90" t="inlineStr">
        <is>
          <t>B-</t>
        </is>
      </c>
      <c r="L44" s="91" t="inlineStr">
        <is>
          <t>A+</t>
        </is>
      </c>
      <c r="M44" s="228" t="inlineStr">
        <is>
          <t>A-</t>
        </is>
      </c>
      <c r="N44" s="86">
        <f>TRUNC(AVERAGE(D44:J44),2)</f>
        <v/>
      </c>
      <c r="O44" s="99" t="inlineStr">
        <is>
          <t>S</t>
        </is>
      </c>
      <c r="P44" s="227" t="inlineStr">
        <is>
          <t>PROMOVIDO</t>
        </is>
      </c>
      <c r="Q44" s="100" t="n"/>
    </row>
    <row r="45" ht="14.25" customHeight="1" s="254">
      <c r="B45" s="261" t="inlineStr">
        <is>
          <t>Promedio</t>
        </is>
      </c>
      <c r="D45" s="237">
        <f>AVERAGE(D8:D44)</f>
        <v/>
      </c>
      <c r="E45" s="238">
        <f>AVERAGE(E8:E44)</f>
        <v/>
      </c>
      <c r="F45" s="239">
        <f>AVERAGE(F8:F44)</f>
        <v/>
      </c>
      <c r="G45" s="240">
        <f>AVERAGE(G8:G44)</f>
        <v/>
      </c>
      <c r="H45" s="241">
        <f>AVERAGE(H8:H44)</f>
        <v/>
      </c>
      <c r="I45" s="242">
        <f>AVERAGE(I8:I44)</f>
        <v/>
      </c>
      <c r="J45" s="244">
        <f>AVERAGE(J8:J44)</f>
        <v/>
      </c>
      <c r="K45" s="245" t="n"/>
      <c r="L45" s="245" t="n"/>
      <c r="M45" s="245" t="n"/>
      <c r="N45" s="246">
        <f>AVERAGE(N8:N44)</f>
        <v/>
      </c>
      <c r="O45" s="247" t="n"/>
      <c r="P45" s="248" t="n"/>
    </row>
    <row r="46" ht="14.25" customHeight="1" s="254"/>
    <row r="47" ht="14.25" customHeight="1" s="254"/>
    <row r="48" ht="14.25" customHeight="1" s="254">
      <c r="B48" s="262" t="inlineStr">
        <is>
          <t xml:space="preserve">Ing. Sonia Chicaiza Mgtr. </t>
        </is>
      </c>
      <c r="D48" s="281" t="inlineStr">
        <is>
          <t xml:space="preserve">Lcda. Isabel Carpio Mgtr. </t>
        </is>
      </c>
      <c r="E48" s="264" t="n"/>
      <c r="F48" s="264" t="n"/>
      <c r="G48" s="265" t="n"/>
      <c r="H48" s="162" t="n"/>
      <c r="I48" s="281" t="inlineStr">
        <is>
          <t xml:space="preserve">Psic.. Lourdes Pomaquiza Mgtr. </t>
        </is>
      </c>
      <c r="J48" s="264" t="n"/>
      <c r="K48" s="264" t="n"/>
      <c r="L48" s="264" t="n"/>
      <c r="M48" s="264" t="n"/>
      <c r="N48" s="265" t="n"/>
    </row>
    <row r="49" ht="14.25" customHeight="1" s="254">
      <c r="B49" s="262" t="inlineStr">
        <is>
          <t>Rectora (e)</t>
        </is>
      </c>
      <c r="D49" s="281" t="inlineStr">
        <is>
          <t>Vicerrectora (e)Matutina</t>
        </is>
      </c>
      <c r="E49" s="264" t="n"/>
      <c r="F49" s="264" t="n"/>
      <c r="G49" s="265" t="n"/>
      <c r="H49" s="162" t="n"/>
      <c r="I49" s="281" t="inlineStr">
        <is>
          <t>Docente Tutora</t>
        </is>
      </c>
      <c r="J49" s="264" t="n"/>
      <c r="K49" s="264" t="n"/>
      <c r="L49" s="265" t="n"/>
    </row>
    <row r="50" ht="14.25" customHeight="1" s="254"/>
    <row r="51" ht="14.25" customHeight="1" s="254"/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4.25" customHeight="1" s="254"/>
    <row r="243" ht="14.25" customHeight="1" s="254"/>
    <row r="244" ht="14.25" customHeight="1" s="254"/>
    <row r="245" ht="15.75" customHeight="1" s="254"/>
    <row r="246" ht="15.75" customHeight="1" s="254"/>
    <row r="247" ht="15.75" customHeight="1" s="254"/>
    <row r="248" ht="15.75" customHeight="1" s="254"/>
    <row r="249" ht="15.75" customHeight="1" s="254"/>
    <row r="250" ht="15.7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</sheetData>
  <mergeCells count="21">
    <mergeCell ref="B18:C18"/>
    <mergeCell ref="B48:C48"/>
    <mergeCell ref="K3:N3"/>
    <mergeCell ref="I48:N48"/>
    <mergeCell ref="B23:C23"/>
    <mergeCell ref="I49:L49"/>
    <mergeCell ref="I3:J3"/>
    <mergeCell ref="A1:P1"/>
    <mergeCell ref="B34:C34"/>
    <mergeCell ref="B5:P5"/>
    <mergeCell ref="B10:C10"/>
    <mergeCell ref="C3:E3"/>
    <mergeCell ref="D49:G49"/>
    <mergeCell ref="B49:C49"/>
    <mergeCell ref="B6:C6"/>
    <mergeCell ref="I4:J4"/>
    <mergeCell ref="D48:G48"/>
    <mergeCell ref="B20:C20"/>
    <mergeCell ref="B45:C45"/>
    <mergeCell ref="B36:C36"/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cols>
    <col width="4.71" customWidth="1" style="254" min="1" max="1"/>
    <col width="20.43" customWidth="1" style="254" min="2" max="2"/>
    <col width="13.71" customWidth="1" style="254" min="3" max="3"/>
    <col width="6.29" customWidth="1" style="254" min="4" max="4"/>
    <col width="8.140000000000001" customWidth="1" style="254" min="14" max="14"/>
    <col width="7.57" customWidth="1" style="254" min="15" max="15"/>
    <col width="11.86" customWidth="1" style="254" min="16" max="16"/>
    <col width="19.29" customWidth="1" style="254" min="17" max="17"/>
    <col width="7" customWidth="1" style="254" min="18" max="18"/>
  </cols>
  <sheetData>
    <row r="1" ht="72.75" customHeight="1" s="254">
      <c r="A1" s="2" t="inlineStr">
        <is>
          <t>UNIDAD EDUCATIVA "ESTADOS UNIDOS DE NORTE AMÉRICA" 
Correo electrónico: eeuuescuela@gmail.com  eeuuvicerrectorado@gmail.com
Teléfono: (07)289-0677 Distrito: 01D01  Zona:6</t>
        </is>
      </c>
    </row>
    <row r="2" ht="14.25" customHeight="1" s="254">
      <c r="A2" s="3" t="n"/>
      <c r="B2" s="4" t="inlineStr">
        <is>
          <t>AÑO LECTIVO: 2025-2026</t>
        </is>
      </c>
    </row>
    <row r="3" ht="14.25" customHeight="1" s="254">
      <c r="B3" s="5" t="inlineStr">
        <is>
          <t xml:space="preserve">DOCENTE:             </t>
        </is>
      </c>
      <c r="C3" s="6" t="n"/>
      <c r="F3" s="7" t="n"/>
      <c r="G3" s="7" t="n"/>
      <c r="H3" s="7" t="n"/>
      <c r="I3" s="8" t="inlineStr">
        <is>
          <t xml:space="preserve">JORNADA: </t>
        </is>
      </c>
      <c r="K3" s="9" t="inlineStr">
        <is>
          <t>MATUTINA</t>
        </is>
      </c>
    </row>
    <row r="4" ht="14.25" customHeight="1" s="254">
      <c r="B4" s="10" t="inlineStr">
        <is>
          <t xml:space="preserve">AÑO DE EGB:        </t>
        </is>
      </c>
      <c r="C4" s="11" t="inlineStr">
        <is>
          <t>DÉCIMO B</t>
        </is>
      </c>
      <c r="E4" s="7" t="n"/>
      <c r="F4" s="7" t="n"/>
      <c r="G4" s="7" t="n"/>
      <c r="H4" s="7" t="n"/>
      <c r="I4" s="8" t="n"/>
      <c r="K4" s="13" t="n"/>
      <c r="M4" s="7" t="n"/>
    </row>
    <row r="5" ht="14.25" customHeight="1" s="254">
      <c r="B5" s="255" t="inlineStr">
        <is>
          <t>CONSOLIDADO FINAL</t>
        </is>
      </c>
    </row>
    <row r="6" ht="157.5" customHeight="1" s="254">
      <c r="A6" s="25" t="inlineStr">
        <is>
          <t>No</t>
        </is>
      </c>
      <c r="B6" s="24" t="inlineStr">
        <is>
          <t>NOMINA</t>
        </is>
      </c>
      <c r="C6" s="26" t="n"/>
      <c r="D6" s="30" t="inlineStr">
        <is>
          <t>LENGUA Y LITERATURA</t>
        </is>
      </c>
      <c r="E6" s="32" t="inlineStr">
        <is>
          <t>MATEMÁTICA</t>
        </is>
      </c>
      <c r="F6" s="34" t="inlineStr">
        <is>
          <t>CIENCIAS NATURALES</t>
        </is>
      </c>
      <c r="G6" s="36" t="inlineStr">
        <is>
          <t>ESTUDIOS SOCIALES</t>
        </is>
      </c>
      <c r="H6" s="38" t="inlineStr">
        <is>
          <t>INGLÉS</t>
        </is>
      </c>
      <c r="I6" s="40" t="inlineStr">
        <is>
          <t>EDUCACIÓN CULTURAL Y ARTISTICA</t>
        </is>
      </c>
      <c r="J6" s="43" t="inlineStr">
        <is>
          <t>EDUCACIÓN FÍSICA</t>
        </is>
      </c>
      <c r="K6" s="46" t="inlineStr">
        <is>
          <t>ANIMACIÓN A LA LECTURA</t>
        </is>
      </c>
      <c r="L6" s="48" t="inlineStr">
        <is>
          <t>ACOMPAÑAMIENTO INTEGRAL EN EL AULA</t>
        </is>
      </c>
      <c r="M6" s="50" t="inlineStr">
        <is>
          <t>ORIENTACIÓN VOCACIONAL</t>
        </is>
      </c>
      <c r="N6" s="52" t="inlineStr">
        <is>
          <t>PROMEDIO FINAL</t>
        </is>
      </c>
      <c r="O6" s="54" t="inlineStr">
        <is>
          <t>CCOMPORTAMIENTO</t>
        </is>
      </c>
      <c r="P6" s="55" t="inlineStr">
        <is>
          <t>OBSERVACIONES</t>
        </is>
      </c>
      <c r="R6" s="230" t="n"/>
    </row>
    <row r="7" ht="14.25" customHeight="1" s="254">
      <c r="A7" s="56" t="n">
        <v>1</v>
      </c>
      <c r="B7" s="293" t="inlineStr">
        <is>
          <t>APOLO GUZMAN ANTHONY IVAN</t>
        </is>
      </c>
      <c r="C7" s="153" t="n"/>
      <c r="D7" s="145" t="n">
        <v>9.460000000000001</v>
      </c>
      <c r="E7" s="77" t="n">
        <v>9.43</v>
      </c>
      <c r="F7" s="142" t="n">
        <v>8.98</v>
      </c>
      <c r="G7" s="70" t="n">
        <v>9.67</v>
      </c>
      <c r="H7" s="105" t="n">
        <v>8.949999999999999</v>
      </c>
      <c r="I7" s="288" t="n">
        <v>9.67</v>
      </c>
      <c r="J7" s="76" t="n">
        <v>9.93</v>
      </c>
      <c r="K7" s="233" t="inlineStr">
        <is>
          <t>A-</t>
        </is>
      </c>
      <c r="L7" s="234" t="inlineStr">
        <is>
          <t>A-</t>
        </is>
      </c>
      <c r="M7" s="226" t="inlineStr">
        <is>
          <t>A+</t>
        </is>
      </c>
      <c r="N7" s="86">
        <f>TRUNC(AVERAGE(D7:J7),2)</f>
        <v/>
      </c>
      <c r="O7" s="88" t="inlineStr">
        <is>
          <t>S</t>
        </is>
      </c>
      <c r="P7" s="227" t="inlineStr">
        <is>
          <t>PROMOVIDO</t>
        </is>
      </c>
    </row>
    <row r="8" ht="15" customHeight="1" s="254">
      <c r="A8" s="56" t="n">
        <v>2</v>
      </c>
      <c r="B8" s="231" t="inlineStr">
        <is>
          <t>ARIAS LUCERO KERLY GUADALUPE</t>
        </is>
      </c>
      <c r="C8" s="153" t="n"/>
      <c r="D8" s="145" t="n">
        <v>9.279999999999999</v>
      </c>
      <c r="E8" s="77" t="n">
        <v>9.26</v>
      </c>
      <c r="F8" s="142" t="n">
        <v>9.34</v>
      </c>
      <c r="G8" s="104" t="n">
        <v>9.94</v>
      </c>
      <c r="H8" s="105" t="n">
        <v>9.449999999999999</v>
      </c>
      <c r="I8" s="109" t="n">
        <v>9.9</v>
      </c>
      <c r="J8" s="76" t="n">
        <v>9.949999999999999</v>
      </c>
      <c r="K8" s="233" t="inlineStr">
        <is>
          <t>A+</t>
        </is>
      </c>
      <c r="L8" s="234" t="inlineStr">
        <is>
          <t>A+</t>
        </is>
      </c>
      <c r="M8" s="228" t="inlineStr">
        <is>
          <t>A-</t>
        </is>
      </c>
      <c r="N8" s="86">
        <f>TRUNC(AVERAGE(D8:J8),2)</f>
        <v/>
      </c>
      <c r="O8" s="88" t="inlineStr">
        <is>
          <t>S</t>
        </is>
      </c>
      <c r="P8" s="227" t="inlineStr">
        <is>
          <t>PROMOVIDO</t>
        </is>
      </c>
      <c r="Q8" s="113" t="inlineStr">
        <is>
          <t>PRIMER LUGAR</t>
        </is>
      </c>
      <c r="R8" s="115">
        <f>LARGE(N7:N45,1)</f>
        <v/>
      </c>
      <c r="S8" s="123" t="inlineStr">
        <is>
          <t>PIÑA</t>
        </is>
      </c>
    </row>
    <row r="9" ht="15" customHeight="1" s="254">
      <c r="A9" s="56" t="n">
        <v>3</v>
      </c>
      <c r="B9" s="231" t="inlineStr">
        <is>
          <t>CAMPOVERDE FERNANDEZ EMILY DAYANNA</t>
        </is>
      </c>
      <c r="C9" s="153" t="n"/>
      <c r="D9" s="145" t="n">
        <v>8.470000000000001</v>
      </c>
      <c r="E9" s="77" t="n">
        <v>8.32</v>
      </c>
      <c r="F9" s="142" t="n">
        <v>7.04</v>
      </c>
      <c r="G9" s="104" t="n">
        <v>8.1</v>
      </c>
      <c r="H9" s="105" t="n">
        <v>7.44</v>
      </c>
      <c r="I9" s="109" t="n">
        <v>9.1</v>
      </c>
      <c r="J9" s="76" t="n">
        <v>9.32</v>
      </c>
      <c r="K9" s="233" t="inlineStr">
        <is>
          <t>A-</t>
        </is>
      </c>
      <c r="L9" s="234" t="inlineStr">
        <is>
          <t>B+</t>
        </is>
      </c>
      <c r="M9" s="228" t="inlineStr">
        <is>
          <t>B+</t>
        </is>
      </c>
      <c r="N9" s="86">
        <f>TRUNC(AVERAGE(D9:J9),2)</f>
        <v/>
      </c>
      <c r="O9" s="88" t="inlineStr">
        <is>
          <t>S</t>
        </is>
      </c>
      <c r="P9" s="227" t="inlineStr">
        <is>
          <t>PROMOVIDO</t>
        </is>
      </c>
      <c r="Q9" s="113" t="inlineStr">
        <is>
          <t>SEGUNDO LUGAR</t>
        </is>
      </c>
      <c r="R9" s="118">
        <f>LARGE(N7:N45,2)</f>
        <v/>
      </c>
      <c r="S9" s="123" t="inlineStr">
        <is>
          <t>LOJA  E</t>
        </is>
      </c>
    </row>
    <row r="10" ht="15" customHeight="1" s="254">
      <c r="A10" s="56" t="n">
        <v>4</v>
      </c>
      <c r="B10" s="231" t="inlineStr">
        <is>
          <t>CARDENAS ORELLANA WENDY PAMELA</t>
        </is>
      </c>
      <c r="C10" s="153" t="n"/>
      <c r="D10" s="145" t="n">
        <v>9.73</v>
      </c>
      <c r="E10" s="77" t="n">
        <v>9.859999999999999</v>
      </c>
      <c r="F10" s="142" t="n">
        <v>9.52</v>
      </c>
      <c r="G10" s="104" t="n">
        <v>10</v>
      </c>
      <c r="H10" s="105" t="n">
        <v>9.720000000000001</v>
      </c>
      <c r="I10" s="109" t="n">
        <v>9.970000000000001</v>
      </c>
      <c r="J10" s="76" t="n">
        <v>9.949999999999999</v>
      </c>
      <c r="K10" s="233" t="inlineStr">
        <is>
          <t>A+</t>
        </is>
      </c>
      <c r="L10" s="234" t="inlineStr">
        <is>
          <t>A+</t>
        </is>
      </c>
      <c r="M10" s="228" t="inlineStr">
        <is>
          <t>A+</t>
        </is>
      </c>
      <c r="N10" s="86">
        <f>TRUNC(AVERAGE(D10:J10),2)</f>
        <v/>
      </c>
      <c r="O10" s="88" t="inlineStr">
        <is>
          <t>S</t>
        </is>
      </c>
      <c r="P10" s="227" t="inlineStr">
        <is>
          <t>PROMOVIDO</t>
        </is>
      </c>
      <c r="Q10" s="113" t="inlineStr">
        <is>
          <t>TERCER LUGAR</t>
        </is>
      </c>
      <c r="R10" s="118">
        <f>LARGE(N7:N45,3)</f>
        <v/>
      </c>
      <c r="S10" s="123" t="inlineStr">
        <is>
          <t>UZHCA Y</t>
        </is>
      </c>
    </row>
    <row r="11" ht="15" customHeight="1" s="254">
      <c r="A11" s="56" t="n">
        <v>5</v>
      </c>
      <c r="B11" s="231" t="inlineStr">
        <is>
          <t>CELI MADRID JOSTIN HAIR</t>
        </is>
      </c>
      <c r="C11" s="256" t="n"/>
      <c r="D11" s="145" t="n">
        <v>9.51</v>
      </c>
      <c r="E11" s="77" t="n">
        <v>9.32</v>
      </c>
      <c r="F11" s="142" t="n">
        <v>8.69</v>
      </c>
      <c r="G11" s="104" t="n">
        <v>9.529999999999999</v>
      </c>
      <c r="H11" s="105" t="n">
        <v>8.31</v>
      </c>
      <c r="I11" s="109" t="n">
        <v>9.470000000000001</v>
      </c>
      <c r="J11" s="76" t="n">
        <v>9.73</v>
      </c>
      <c r="K11" s="233" t="inlineStr">
        <is>
          <t>A-</t>
        </is>
      </c>
      <c r="L11" s="234" t="inlineStr">
        <is>
          <t>A-</t>
        </is>
      </c>
      <c r="M11" s="228" t="inlineStr">
        <is>
          <t>A-</t>
        </is>
      </c>
      <c r="N11" s="86">
        <f>TRUNC(AVERAGE(D11:J11),2)</f>
        <v/>
      </c>
      <c r="O11" s="88" t="inlineStr">
        <is>
          <t>S</t>
        </is>
      </c>
      <c r="P11" s="227" t="inlineStr">
        <is>
          <t>PROMOVIDO</t>
        </is>
      </c>
    </row>
    <row r="12" ht="15" customHeight="1" s="254">
      <c r="A12" s="56" t="n">
        <v>6</v>
      </c>
      <c r="B12" s="231" t="inlineStr">
        <is>
          <t>FERNANDEZ CUMBE KIMBERLY MARIBEL</t>
        </is>
      </c>
      <c r="C12" s="153" t="n"/>
      <c r="D12" s="145" t="n">
        <v>8.33</v>
      </c>
      <c r="E12" s="77" t="n">
        <v>8.27</v>
      </c>
      <c r="F12" s="142" t="n">
        <v>7.33</v>
      </c>
      <c r="G12" s="104" t="n">
        <v>8.109999999999999</v>
      </c>
      <c r="H12" s="105" t="n">
        <v>7.3</v>
      </c>
      <c r="I12" s="109" t="n">
        <v>9.029999999999999</v>
      </c>
      <c r="J12" s="76" t="n">
        <v>9.44</v>
      </c>
      <c r="K12" s="233" t="inlineStr">
        <is>
          <t>B+</t>
        </is>
      </c>
      <c r="L12" s="234" t="inlineStr">
        <is>
          <t>B+</t>
        </is>
      </c>
      <c r="M12" s="228" t="inlineStr">
        <is>
          <t>A-</t>
        </is>
      </c>
      <c r="N12" s="86">
        <f>TRUNC(AVERAGE(D12:J12),2)</f>
        <v/>
      </c>
      <c r="O12" s="88" t="inlineStr">
        <is>
          <t>S</t>
        </is>
      </c>
      <c r="P12" s="227" t="inlineStr">
        <is>
          <t>PROMOVIDO</t>
        </is>
      </c>
    </row>
    <row r="13" ht="15" customHeight="1" s="254">
      <c r="A13" s="56" t="n">
        <v>7</v>
      </c>
      <c r="B13" s="231" t="inlineStr">
        <is>
          <t>GUAMAN YANZA PAOLA ADRIANA</t>
        </is>
      </c>
      <c r="C13" s="153" t="n"/>
      <c r="D13" s="145" t="n">
        <v>9.800000000000001</v>
      </c>
      <c r="E13" s="77" t="n">
        <v>9.33</v>
      </c>
      <c r="F13" s="142" t="n">
        <v>9.01</v>
      </c>
      <c r="G13" s="104" t="n">
        <v>9.82</v>
      </c>
      <c r="H13" s="105" t="n">
        <v>9.6</v>
      </c>
      <c r="I13" s="109" t="n">
        <v>10</v>
      </c>
      <c r="J13" s="76" t="n">
        <v>9.9</v>
      </c>
      <c r="K13" s="233" t="inlineStr">
        <is>
          <t>A+</t>
        </is>
      </c>
      <c r="L13" s="234" t="inlineStr">
        <is>
          <t>A+</t>
        </is>
      </c>
      <c r="M13" s="228" t="inlineStr">
        <is>
          <t>A+</t>
        </is>
      </c>
      <c r="N13" s="86">
        <f>TRUNC(AVERAGE(D13:J13),2)</f>
        <v/>
      </c>
      <c r="O13" s="88" t="inlineStr">
        <is>
          <t>S</t>
        </is>
      </c>
      <c r="P13" s="227" t="inlineStr">
        <is>
          <t>PROMOVIDO</t>
        </is>
      </c>
    </row>
    <row r="14" ht="15" customHeight="1" s="254">
      <c r="A14" s="56" t="n">
        <v>8</v>
      </c>
      <c r="B14" s="231" t="inlineStr">
        <is>
          <t>GUAYANAY CAÑAR NATHALY BRIGITTE</t>
        </is>
      </c>
      <c r="C14" s="153" t="n"/>
      <c r="D14" s="145" t="n">
        <v>9.050000000000001</v>
      </c>
      <c r="E14" s="77" t="n">
        <v>9.44</v>
      </c>
      <c r="F14" s="142" t="n">
        <v>9.15</v>
      </c>
      <c r="G14" s="104" t="n">
        <v>9.77</v>
      </c>
      <c r="H14" s="105" t="n">
        <v>8.640000000000001</v>
      </c>
      <c r="I14" s="109" t="n">
        <v>9.869999999999999</v>
      </c>
      <c r="J14" s="76" t="n">
        <v>9.880000000000001</v>
      </c>
      <c r="K14" s="233" t="inlineStr">
        <is>
          <t>A+</t>
        </is>
      </c>
      <c r="L14" s="234" t="inlineStr">
        <is>
          <t>A+</t>
        </is>
      </c>
      <c r="M14" s="228" t="inlineStr">
        <is>
          <t>A+</t>
        </is>
      </c>
      <c r="N14" s="86">
        <f>TRUNC(AVERAGE(D14:J14),2)</f>
        <v/>
      </c>
      <c r="O14" s="88" t="inlineStr">
        <is>
          <t>S</t>
        </is>
      </c>
      <c r="P14" s="227" t="inlineStr">
        <is>
          <t>PROMOVIDO</t>
        </is>
      </c>
    </row>
    <row r="15" ht="15" customHeight="1" s="254">
      <c r="A15" s="56" t="n">
        <v>9</v>
      </c>
      <c r="B15" s="231" t="inlineStr">
        <is>
          <t>GUZHÑAY GUZHÑAY ALAN RANDY</t>
        </is>
      </c>
      <c r="C15" s="153" t="n"/>
      <c r="D15" s="145" t="n">
        <v>9.710000000000001</v>
      </c>
      <c r="E15" s="77" t="n">
        <v>9.779999999999999</v>
      </c>
      <c r="F15" s="142" t="n">
        <v>9.470000000000001</v>
      </c>
      <c r="G15" s="104" t="n">
        <v>9.93</v>
      </c>
      <c r="H15" s="105" t="n">
        <v>9.66</v>
      </c>
      <c r="I15" s="109" t="n">
        <v>9.880000000000001</v>
      </c>
      <c r="J15" s="76" t="n">
        <v>9.859999999999999</v>
      </c>
      <c r="K15" s="233" t="inlineStr">
        <is>
          <t>A+</t>
        </is>
      </c>
      <c r="L15" s="234" t="inlineStr">
        <is>
          <t>A+</t>
        </is>
      </c>
      <c r="M15" s="228" t="inlineStr">
        <is>
          <t>A+</t>
        </is>
      </c>
      <c r="N15" s="86">
        <f>TRUNC(AVERAGE(D15:J15),2)</f>
        <v/>
      </c>
      <c r="O15" s="88" t="inlineStr">
        <is>
          <t>S</t>
        </is>
      </c>
      <c r="P15" s="227" t="inlineStr">
        <is>
          <t>PROMOVIDO</t>
        </is>
      </c>
    </row>
    <row r="16" ht="15" customHeight="1" s="254">
      <c r="A16" s="56" t="n">
        <v>10</v>
      </c>
      <c r="B16" s="231" t="inlineStr">
        <is>
          <t>HUMALA SUCUZHAÑAY JIMMY ALEXANDER</t>
        </is>
      </c>
      <c r="C16" s="153" t="n"/>
      <c r="D16" s="145" t="n">
        <v>8.73</v>
      </c>
      <c r="E16" s="77" t="n">
        <v>8.949999999999999</v>
      </c>
      <c r="F16" s="142" t="n">
        <v>8.539999999999999</v>
      </c>
      <c r="G16" s="104" t="n">
        <v>9.220000000000001</v>
      </c>
      <c r="H16" s="105" t="n">
        <v>8.300000000000001</v>
      </c>
      <c r="I16" s="109" t="n">
        <v>9.42</v>
      </c>
      <c r="J16" s="76" t="n">
        <v>9.58</v>
      </c>
      <c r="K16" s="233" t="inlineStr">
        <is>
          <t>A+</t>
        </is>
      </c>
      <c r="L16" s="234" t="inlineStr">
        <is>
          <t>A+</t>
        </is>
      </c>
      <c r="M16" s="228" t="inlineStr">
        <is>
          <t>A-</t>
        </is>
      </c>
      <c r="N16" s="86">
        <f>TRUNC(AVERAGE(D16:J16),2)</f>
        <v/>
      </c>
      <c r="O16" s="88" t="inlineStr">
        <is>
          <t>S</t>
        </is>
      </c>
      <c r="P16" s="227" t="inlineStr">
        <is>
          <t>PROMOVIDO</t>
        </is>
      </c>
    </row>
    <row r="17" ht="15" customHeight="1" s="254">
      <c r="A17" s="56" t="n">
        <v>11</v>
      </c>
      <c r="B17" s="231" t="inlineStr">
        <is>
          <t>JIMBIQUITI NANTIPIA MATIAS MABERICK</t>
        </is>
      </c>
      <c r="C17" s="153" t="n"/>
      <c r="D17" s="145" t="n">
        <v>8.66</v>
      </c>
      <c r="E17" s="77" t="n">
        <v>8.029999999999999</v>
      </c>
      <c r="F17" s="142" t="n">
        <v>7.56</v>
      </c>
      <c r="G17" s="104" t="n">
        <v>8.23</v>
      </c>
      <c r="H17" s="84" t="n">
        <v>7.42</v>
      </c>
      <c r="I17" s="109" t="n">
        <v>8.380000000000001</v>
      </c>
      <c r="J17" s="76" t="n">
        <v>8.59</v>
      </c>
      <c r="K17" s="233" t="inlineStr">
        <is>
          <t>A-</t>
        </is>
      </c>
      <c r="L17" s="234" t="inlineStr">
        <is>
          <t>A-</t>
        </is>
      </c>
      <c r="M17" s="228" t="inlineStr">
        <is>
          <t>B+</t>
        </is>
      </c>
      <c r="N17" s="86">
        <f>TRUNC(AVERAGE(D17:J17),2)</f>
        <v/>
      </c>
      <c r="O17" s="88" t="inlineStr">
        <is>
          <t>S</t>
        </is>
      </c>
      <c r="P17" s="227" t="inlineStr">
        <is>
          <t>PROMOVIDO</t>
        </is>
      </c>
    </row>
    <row r="18" ht="15" customHeight="1" s="254">
      <c r="A18" s="56" t="n">
        <v>12</v>
      </c>
      <c r="B18" s="231" t="inlineStr">
        <is>
          <t>LITA RIVERA LARRY LEONEL</t>
        </is>
      </c>
      <c r="C18" s="256" t="n"/>
      <c r="D18" s="145" t="n">
        <v>9.199999999999999</v>
      </c>
      <c r="E18" s="77" t="n">
        <v>9.289999999999999</v>
      </c>
      <c r="F18" s="142" t="n">
        <v>8.65</v>
      </c>
      <c r="G18" s="104" t="n">
        <v>9.34</v>
      </c>
      <c r="H18" s="105" t="n">
        <v>8.4</v>
      </c>
      <c r="I18" s="109" t="n">
        <v>9.710000000000001</v>
      </c>
      <c r="J18" s="76" t="n">
        <v>9.57</v>
      </c>
      <c r="K18" s="233" t="inlineStr">
        <is>
          <t>A+</t>
        </is>
      </c>
      <c r="L18" s="234" t="inlineStr">
        <is>
          <t>A+</t>
        </is>
      </c>
      <c r="M18" s="228" t="inlineStr">
        <is>
          <t>A+</t>
        </is>
      </c>
      <c r="N18" s="86">
        <f>TRUNC(AVERAGE(D18:J18),2)</f>
        <v/>
      </c>
      <c r="O18" s="88" t="inlineStr">
        <is>
          <t>S</t>
        </is>
      </c>
      <c r="P18" s="227" t="inlineStr">
        <is>
          <t>PROMOVIDO</t>
        </is>
      </c>
    </row>
    <row r="19" ht="15" customHeight="1" s="254">
      <c r="A19" s="56" t="n">
        <v>13</v>
      </c>
      <c r="B19" s="231" t="inlineStr">
        <is>
          <t>LOJA GUACHICHULLCA EMILY CAROLINA</t>
        </is>
      </c>
      <c r="C19" s="153" t="n"/>
      <c r="D19" s="145" t="n">
        <v>9.789999999999999</v>
      </c>
      <c r="E19" s="77" t="n">
        <v>9.800000000000001</v>
      </c>
      <c r="F19" s="142" t="n">
        <v>9.789999999999999</v>
      </c>
      <c r="G19" s="104" t="n">
        <v>10</v>
      </c>
      <c r="H19" s="105" t="n">
        <v>9.84</v>
      </c>
      <c r="I19" s="109" t="n">
        <v>10</v>
      </c>
      <c r="J19" s="76" t="n">
        <v>9.93</v>
      </c>
      <c r="K19" s="233" t="inlineStr">
        <is>
          <t>A+</t>
        </is>
      </c>
      <c r="L19" s="234" t="inlineStr">
        <is>
          <t>A+</t>
        </is>
      </c>
      <c r="M19" s="228" t="inlineStr">
        <is>
          <t>A+</t>
        </is>
      </c>
      <c r="N19" s="86">
        <f>TRUNC(AVERAGE(D19:J19),2)</f>
        <v/>
      </c>
      <c r="O19" s="88" t="inlineStr">
        <is>
          <t>S</t>
        </is>
      </c>
      <c r="P19" s="227" t="inlineStr">
        <is>
          <t>PROMOVIDO</t>
        </is>
      </c>
    </row>
    <row r="20" ht="15" customHeight="1" s="254">
      <c r="A20" s="56" t="n">
        <v>14</v>
      </c>
      <c r="B20" s="231" t="inlineStr">
        <is>
          <t>LOJA ZHUMI DAYANNA MARIBEL</t>
        </is>
      </c>
      <c r="C20" s="256" t="n"/>
      <c r="D20" s="145" t="n">
        <v>9.09</v>
      </c>
      <c r="E20" s="77" t="n">
        <v>9.449999999999999</v>
      </c>
      <c r="F20" s="142" t="n">
        <v>8.67</v>
      </c>
      <c r="G20" s="104" t="n">
        <v>9.369999999999999</v>
      </c>
      <c r="H20" s="105" t="n">
        <v>8.57</v>
      </c>
      <c r="I20" s="109" t="n">
        <v>9.960000000000001</v>
      </c>
      <c r="J20" s="76" t="n">
        <v>9.43</v>
      </c>
      <c r="K20" s="233" t="inlineStr">
        <is>
          <t>A+</t>
        </is>
      </c>
      <c r="L20" s="234" t="inlineStr">
        <is>
          <t>B+</t>
        </is>
      </c>
      <c r="M20" s="228" t="inlineStr">
        <is>
          <t>B+</t>
        </is>
      </c>
      <c r="N20" s="86">
        <f>TRUNC(AVERAGE(D20:J20),2)</f>
        <v/>
      </c>
      <c r="O20" s="88" t="inlineStr">
        <is>
          <t>S</t>
        </is>
      </c>
      <c r="P20" s="227" t="inlineStr">
        <is>
          <t>PROMOVIDO</t>
        </is>
      </c>
    </row>
    <row r="21" ht="15" customHeight="1" s="254">
      <c r="A21" s="56" t="n">
        <v>15</v>
      </c>
      <c r="B21" s="231" t="inlineStr">
        <is>
          <t>LONDA ASMAL CARLOS MATEO</t>
        </is>
      </c>
      <c r="C21" s="256" t="n"/>
      <c r="D21" s="145" t="n">
        <v>8.93</v>
      </c>
      <c r="E21" s="77" t="n">
        <v>8.49</v>
      </c>
      <c r="F21" s="142" t="n">
        <v>8.09</v>
      </c>
      <c r="G21" s="104" t="n">
        <v>8.869999999999999</v>
      </c>
      <c r="H21" s="105" t="n">
        <v>8.51</v>
      </c>
      <c r="I21" s="109" t="n">
        <v>9.59</v>
      </c>
      <c r="J21" s="76" t="n">
        <v>9.539999999999999</v>
      </c>
      <c r="K21" s="233" t="inlineStr">
        <is>
          <t>A-</t>
        </is>
      </c>
      <c r="L21" s="234" t="inlineStr">
        <is>
          <t>A-</t>
        </is>
      </c>
      <c r="M21" s="228" t="inlineStr">
        <is>
          <t>A-</t>
        </is>
      </c>
      <c r="N21" s="86">
        <f>TRUNC(AVERAGE(D21:J21),2)</f>
        <v/>
      </c>
      <c r="O21" s="88" t="inlineStr">
        <is>
          <t>S</t>
        </is>
      </c>
      <c r="P21" s="227" t="inlineStr">
        <is>
          <t>PROMOVIDO</t>
        </is>
      </c>
    </row>
    <row r="22" ht="15" customHeight="1" s="254">
      <c r="A22" s="56" t="n">
        <v>16</v>
      </c>
      <c r="B22" s="231" t="inlineStr">
        <is>
          <t>MASQUI PEREZ ISRAEL EDUARDO</t>
        </is>
      </c>
      <c r="C22" s="153" t="n"/>
      <c r="D22" s="145" t="n">
        <v>9.74</v>
      </c>
      <c r="E22" s="77" t="n">
        <v>9.83</v>
      </c>
      <c r="F22" s="142" t="n">
        <v>9.609999999999999</v>
      </c>
      <c r="G22" s="104" t="n">
        <v>9.84</v>
      </c>
      <c r="H22" s="105" t="n">
        <v>9.43</v>
      </c>
      <c r="I22" s="109" t="n">
        <v>9.960000000000001</v>
      </c>
      <c r="J22" s="76" t="n">
        <v>9.76</v>
      </c>
      <c r="K22" s="233" t="inlineStr">
        <is>
          <t>A+</t>
        </is>
      </c>
      <c r="L22" s="234" t="inlineStr">
        <is>
          <t>A+</t>
        </is>
      </c>
      <c r="M22" s="228" t="inlineStr">
        <is>
          <t>A+</t>
        </is>
      </c>
      <c r="N22" s="86">
        <f>TRUNC(AVERAGE(D22:J22),2)</f>
        <v/>
      </c>
      <c r="O22" s="88" t="inlineStr">
        <is>
          <t>S</t>
        </is>
      </c>
      <c r="P22" s="227" t="inlineStr">
        <is>
          <t>PROMOVIDO</t>
        </is>
      </c>
    </row>
    <row r="23" ht="15" customHeight="1" s="254">
      <c r="A23" s="56" t="n">
        <v>17</v>
      </c>
      <c r="B23" s="231" t="inlineStr">
        <is>
          <t>MATUTE GUAMAN JOSELIN ANALY</t>
        </is>
      </c>
      <c r="C23" s="153" t="n"/>
      <c r="D23" s="145" t="n">
        <v>8.99</v>
      </c>
      <c r="E23" s="77" t="n">
        <v>8.49</v>
      </c>
      <c r="F23" s="142" t="n">
        <v>7.64</v>
      </c>
      <c r="G23" s="104" t="n">
        <v>8.880000000000001</v>
      </c>
      <c r="H23" s="105" t="n">
        <v>8.449999999999999</v>
      </c>
      <c r="I23" s="109" t="n">
        <v>9.949999999999999</v>
      </c>
      <c r="J23" s="76" t="n">
        <v>9.869999999999999</v>
      </c>
      <c r="K23" s="233" t="inlineStr">
        <is>
          <t>A+</t>
        </is>
      </c>
      <c r="L23" s="234" t="inlineStr">
        <is>
          <t>A+</t>
        </is>
      </c>
      <c r="M23" s="228" t="inlineStr">
        <is>
          <t>A-</t>
        </is>
      </c>
      <c r="N23" s="86">
        <f>TRUNC(AVERAGE(D23:J23),2)</f>
        <v/>
      </c>
      <c r="O23" s="88" t="inlineStr">
        <is>
          <t>S</t>
        </is>
      </c>
      <c r="P23" s="227" t="inlineStr">
        <is>
          <t>PROMOVIDO</t>
        </is>
      </c>
    </row>
    <row r="24" ht="15" customHeight="1" s="254">
      <c r="A24" s="56" t="n">
        <v>18</v>
      </c>
      <c r="B24" s="231" t="inlineStr">
        <is>
          <t>MAXI SIAVICHAY DAYANNA VALERIA</t>
        </is>
      </c>
      <c r="C24" s="153" t="n"/>
      <c r="D24" s="145" t="n">
        <v>9.6</v>
      </c>
      <c r="E24" s="77" t="n">
        <v>9.76</v>
      </c>
      <c r="F24" s="142" t="n">
        <v>9.300000000000001</v>
      </c>
      <c r="G24" s="104" t="n">
        <v>9.800000000000001</v>
      </c>
      <c r="H24" s="105" t="n">
        <v>9.300000000000001</v>
      </c>
      <c r="I24" s="109" t="n">
        <v>10</v>
      </c>
      <c r="J24" s="76" t="n">
        <v>9.9</v>
      </c>
      <c r="K24" s="233" t="inlineStr">
        <is>
          <t>A+</t>
        </is>
      </c>
      <c r="L24" s="234" t="inlineStr">
        <is>
          <t>A+</t>
        </is>
      </c>
      <c r="M24" s="228" t="inlineStr">
        <is>
          <t>A-</t>
        </is>
      </c>
      <c r="N24" s="86">
        <f>TRUNC(AVERAGE(D24:J24),2)</f>
        <v/>
      </c>
      <c r="O24" s="88" t="inlineStr">
        <is>
          <t>S</t>
        </is>
      </c>
      <c r="P24" s="227" t="inlineStr">
        <is>
          <t>PROMOVIDO</t>
        </is>
      </c>
    </row>
    <row r="25" ht="15" customHeight="1" s="254">
      <c r="A25" s="56" t="n">
        <v>19</v>
      </c>
      <c r="B25" s="283" t="inlineStr">
        <is>
          <t>MONAR CARDENAS MAYURY BRIGETTE</t>
        </is>
      </c>
      <c r="C25" s="256" t="n"/>
      <c r="D25" s="145" t="n">
        <v>8.24</v>
      </c>
      <c r="E25" s="77" t="n">
        <v>8.18</v>
      </c>
      <c r="F25" s="142" t="n">
        <v>7.44</v>
      </c>
      <c r="G25" s="104" t="n">
        <v>8.52</v>
      </c>
      <c r="H25" s="105" t="n">
        <v>7.83</v>
      </c>
      <c r="I25" s="109" t="n">
        <v>9.51</v>
      </c>
      <c r="J25" s="76" t="n">
        <v>9.279999999999999</v>
      </c>
      <c r="K25" s="233" t="inlineStr">
        <is>
          <t>B+</t>
        </is>
      </c>
      <c r="L25" s="234" t="inlineStr">
        <is>
          <t>B+</t>
        </is>
      </c>
      <c r="M25" s="228" t="inlineStr">
        <is>
          <t>B+</t>
        </is>
      </c>
      <c r="N25" s="86">
        <f>TRUNC(AVERAGE(D25:J25),2)</f>
        <v/>
      </c>
      <c r="O25" s="88" t="inlineStr">
        <is>
          <t>S</t>
        </is>
      </c>
      <c r="P25" s="227" t="inlineStr">
        <is>
          <t>PROMOVIDO</t>
        </is>
      </c>
    </row>
    <row r="26" ht="15" customHeight="1" s="254">
      <c r="A26" s="56" t="n">
        <v>20</v>
      </c>
      <c r="B26" s="231" t="inlineStr">
        <is>
          <t>MONAR ORELLANA ANDERSSON STALYN</t>
        </is>
      </c>
      <c r="C26" s="153" t="n"/>
      <c r="D26" s="145" t="n">
        <v>7.89</v>
      </c>
      <c r="E26" s="77" t="n">
        <v>8.050000000000001</v>
      </c>
      <c r="F26" s="142" t="n">
        <v>7.35</v>
      </c>
      <c r="G26" s="104" t="n">
        <v>8.33</v>
      </c>
      <c r="H26" s="105" t="n">
        <v>7.01</v>
      </c>
      <c r="I26" s="109" t="n">
        <v>8.640000000000001</v>
      </c>
      <c r="J26" s="76" t="n">
        <v>8.539999999999999</v>
      </c>
      <c r="K26" s="233" t="inlineStr">
        <is>
          <t>A-</t>
        </is>
      </c>
      <c r="L26" s="234" t="inlineStr">
        <is>
          <t>A-</t>
        </is>
      </c>
      <c r="M26" s="228" t="inlineStr">
        <is>
          <t>B+</t>
        </is>
      </c>
      <c r="N26" s="86">
        <f>TRUNC(AVERAGE(D26:J26),2)</f>
        <v/>
      </c>
      <c r="O26" s="88" t="inlineStr">
        <is>
          <t>S</t>
        </is>
      </c>
      <c r="P26" s="227" t="inlineStr">
        <is>
          <t>PROMOVIDO</t>
        </is>
      </c>
    </row>
    <row r="27" ht="15" customHeight="1" s="254">
      <c r="A27" s="56" t="n">
        <v>21</v>
      </c>
      <c r="B27" s="231" t="inlineStr">
        <is>
          <t>MORA MAQUISACA DARLA STEPHANIA</t>
        </is>
      </c>
      <c r="C27" s="153" t="n"/>
      <c r="D27" s="145" t="n">
        <v>7.58</v>
      </c>
      <c r="E27" s="77" t="n">
        <v>7.03</v>
      </c>
      <c r="F27" s="142" t="n">
        <v>7.06</v>
      </c>
      <c r="G27" s="104" t="n">
        <v>7.37</v>
      </c>
      <c r="H27" s="105" t="n">
        <v>7.1</v>
      </c>
      <c r="I27" s="109" t="n">
        <v>8.119999999999999</v>
      </c>
      <c r="J27" s="76" t="n">
        <v>8.85</v>
      </c>
      <c r="K27" s="233" t="inlineStr">
        <is>
          <t>B+</t>
        </is>
      </c>
      <c r="L27" s="234" t="inlineStr">
        <is>
          <t>B+</t>
        </is>
      </c>
      <c r="M27" s="228" t="inlineStr">
        <is>
          <t>B+</t>
        </is>
      </c>
      <c r="N27" s="86">
        <f>TRUNC(AVERAGE(D27:J27),2)</f>
        <v/>
      </c>
      <c r="O27" s="88" t="inlineStr">
        <is>
          <t>S</t>
        </is>
      </c>
      <c r="P27" s="227" t="inlineStr">
        <is>
          <t>PROMOVIDO</t>
        </is>
      </c>
    </row>
    <row r="28" ht="18" customHeight="1" s="254">
      <c r="A28" s="56" t="n">
        <v>22</v>
      </c>
      <c r="B28" s="231" t="inlineStr">
        <is>
          <t>MUÑOZ ANDRADE ABIGAIL PRISCILA</t>
        </is>
      </c>
      <c r="C28" s="153" t="n"/>
      <c r="D28" s="145" t="n">
        <v>9.1</v>
      </c>
      <c r="E28" s="77" t="n">
        <v>8.77</v>
      </c>
      <c r="F28" s="142" t="n">
        <v>8.98</v>
      </c>
      <c r="G28" s="104" t="n">
        <v>9.619999999999999</v>
      </c>
      <c r="H28" s="105" t="n">
        <v>7.81</v>
      </c>
      <c r="I28" s="109" t="n">
        <v>9.93</v>
      </c>
      <c r="J28" s="76" t="n">
        <v>9.68</v>
      </c>
      <c r="K28" s="233" t="inlineStr">
        <is>
          <t>A+</t>
        </is>
      </c>
      <c r="L28" s="234" t="inlineStr">
        <is>
          <t>A-</t>
        </is>
      </c>
      <c r="M28" s="228" t="inlineStr">
        <is>
          <t>A-</t>
        </is>
      </c>
      <c r="N28" s="86">
        <f>TRUNC(AVERAGE(D28:J28),2)</f>
        <v/>
      </c>
      <c r="O28" s="88" t="inlineStr">
        <is>
          <t>S</t>
        </is>
      </c>
      <c r="P28" s="227" t="inlineStr">
        <is>
          <t>PROMOVIDO</t>
        </is>
      </c>
    </row>
    <row r="29" ht="15" customHeight="1" s="254">
      <c r="A29" s="56" t="n">
        <v>23</v>
      </c>
      <c r="B29" s="231" t="inlineStr">
        <is>
          <t>PALLAZHCO LOJA MICHELLE CAROLINA</t>
        </is>
      </c>
      <c r="C29" s="153" t="n"/>
      <c r="D29" s="145" t="n">
        <v>9.039999999999999</v>
      </c>
      <c r="E29" s="77" t="n">
        <v>8.050000000000001</v>
      </c>
      <c r="F29" s="142" t="n">
        <v>8.83</v>
      </c>
      <c r="G29" s="104" t="n">
        <v>9.06</v>
      </c>
      <c r="H29" s="105" t="n">
        <v>7.89</v>
      </c>
      <c r="I29" s="109" t="n">
        <v>9.470000000000001</v>
      </c>
      <c r="J29" s="76" t="n">
        <v>9.41</v>
      </c>
      <c r="K29" s="233" t="inlineStr">
        <is>
          <t>A+</t>
        </is>
      </c>
      <c r="L29" s="234" t="inlineStr">
        <is>
          <t>A-</t>
        </is>
      </c>
      <c r="M29" s="228" t="inlineStr">
        <is>
          <t>A-</t>
        </is>
      </c>
      <c r="N29" s="86">
        <f>TRUNC(AVERAGE(D29:J29),2)</f>
        <v/>
      </c>
      <c r="O29" s="88" t="inlineStr">
        <is>
          <t>S</t>
        </is>
      </c>
      <c r="P29" s="227" t="inlineStr">
        <is>
          <t>PROMOVIDO</t>
        </is>
      </c>
    </row>
    <row r="30" ht="18" customHeight="1" s="254">
      <c r="A30" s="56" t="n">
        <v>24</v>
      </c>
      <c r="B30" s="231" t="inlineStr">
        <is>
          <t>PERALTA NIETO ALEX SANTIAGO</t>
        </is>
      </c>
      <c r="C30" s="256" t="n"/>
      <c r="D30" s="145" t="n">
        <v>9.42</v>
      </c>
      <c r="E30" s="77" t="n">
        <v>9.51</v>
      </c>
      <c r="F30" s="142" t="n">
        <v>8.9</v>
      </c>
      <c r="G30" s="104" t="n">
        <v>9.550000000000001</v>
      </c>
      <c r="H30" s="105" t="n">
        <v>8.609999999999999</v>
      </c>
      <c r="I30" s="109" t="n">
        <v>9.699999999999999</v>
      </c>
      <c r="J30" s="76" t="n">
        <v>9.69</v>
      </c>
      <c r="K30" s="233" t="inlineStr">
        <is>
          <t>A-</t>
        </is>
      </c>
      <c r="L30" s="234" t="inlineStr">
        <is>
          <t>A-</t>
        </is>
      </c>
      <c r="M30" s="228" t="inlineStr">
        <is>
          <t>A-</t>
        </is>
      </c>
      <c r="N30" s="86">
        <f>TRUNC(AVERAGE(D30:J30),2)</f>
        <v/>
      </c>
      <c r="O30" s="88" t="inlineStr">
        <is>
          <t>S</t>
        </is>
      </c>
      <c r="P30" s="227" t="inlineStr">
        <is>
          <t>PROMOVIDO</t>
        </is>
      </c>
    </row>
    <row r="31" ht="15" customHeight="1" s="254">
      <c r="A31" s="56" t="n">
        <v>25</v>
      </c>
      <c r="B31" s="231" t="inlineStr">
        <is>
          <t>PEREZ MATUTE MATIAS ALEJANDRO</t>
        </is>
      </c>
      <c r="C31" s="153" t="n"/>
      <c r="D31" s="145" t="n">
        <v>8.59</v>
      </c>
      <c r="E31" s="77" t="n">
        <v>8.640000000000001</v>
      </c>
      <c r="F31" s="142" t="n">
        <v>7.3</v>
      </c>
      <c r="G31" s="104" t="n">
        <v>8.6</v>
      </c>
      <c r="H31" s="105" t="n">
        <v>7.76</v>
      </c>
      <c r="I31" s="109" t="n">
        <v>8.81</v>
      </c>
      <c r="J31" s="76" t="n">
        <v>9.02</v>
      </c>
      <c r="K31" s="233" t="inlineStr">
        <is>
          <t>B+</t>
        </is>
      </c>
      <c r="L31" s="234" t="inlineStr">
        <is>
          <t>B+</t>
        </is>
      </c>
      <c r="M31" s="228" t="inlineStr">
        <is>
          <t>A-</t>
        </is>
      </c>
      <c r="N31" s="86">
        <f>TRUNC(AVERAGE(D31:J31),2)</f>
        <v/>
      </c>
      <c r="O31" s="88" t="inlineStr">
        <is>
          <t>S</t>
        </is>
      </c>
      <c r="P31" s="227" t="inlineStr">
        <is>
          <t>PROMOVIDO</t>
        </is>
      </c>
    </row>
    <row r="32" ht="15" customHeight="1" s="254">
      <c r="A32" s="56" t="n">
        <v>26</v>
      </c>
      <c r="B32" s="231" t="inlineStr">
        <is>
          <t>PIÑA GUARQUILA JUSTIN EDUARDO</t>
        </is>
      </c>
      <c r="C32" s="153" t="n"/>
      <c r="D32" s="145" t="n">
        <v>9.800000000000001</v>
      </c>
      <c r="E32" s="77" t="n">
        <v>9.98</v>
      </c>
      <c r="F32" s="142" t="n">
        <v>9.67</v>
      </c>
      <c r="G32" s="104" t="n">
        <v>10</v>
      </c>
      <c r="H32" s="105" t="n">
        <v>9.960000000000001</v>
      </c>
      <c r="I32" s="109" t="n">
        <v>10</v>
      </c>
      <c r="J32" s="76" t="n">
        <v>10</v>
      </c>
      <c r="K32" s="233" t="inlineStr">
        <is>
          <t>A+</t>
        </is>
      </c>
      <c r="L32" s="234" t="inlineStr">
        <is>
          <t>A+</t>
        </is>
      </c>
      <c r="M32" s="228" t="inlineStr">
        <is>
          <t>A+</t>
        </is>
      </c>
      <c r="N32" s="86">
        <f>TRUNC(AVERAGE(D32:J32),2)</f>
        <v/>
      </c>
      <c r="O32" s="88" t="inlineStr">
        <is>
          <t>S</t>
        </is>
      </c>
      <c r="P32" s="227" t="inlineStr">
        <is>
          <t>PROMOVIDO</t>
        </is>
      </c>
    </row>
    <row r="33" ht="15" customHeight="1" s="254">
      <c r="A33" s="56" t="n">
        <v>27</v>
      </c>
      <c r="B33" s="231" t="inlineStr">
        <is>
          <t>QUIZHPI MENDOZA JAVIER MAURICIO</t>
        </is>
      </c>
      <c r="C33" s="153" t="n"/>
      <c r="D33" s="145" t="n">
        <v>7.58</v>
      </c>
      <c r="E33" s="77" t="n">
        <v>7.22</v>
      </c>
      <c r="F33" s="142" t="n">
        <v>7.09</v>
      </c>
      <c r="G33" s="104" t="n">
        <v>7.14</v>
      </c>
      <c r="H33" s="105" t="n">
        <v>7.13</v>
      </c>
      <c r="I33" s="109" t="n">
        <v>8.17</v>
      </c>
      <c r="J33" s="76" t="n">
        <v>8.31</v>
      </c>
      <c r="K33" s="233" t="inlineStr">
        <is>
          <t>B+</t>
        </is>
      </c>
      <c r="L33" s="234" t="inlineStr">
        <is>
          <t>B+</t>
        </is>
      </c>
      <c r="M33" s="228" t="inlineStr">
        <is>
          <t>B+</t>
        </is>
      </c>
      <c r="N33" s="86">
        <f>TRUNC(AVERAGE(D33:J33),2)</f>
        <v/>
      </c>
      <c r="O33" s="88" t="inlineStr">
        <is>
          <t>S</t>
        </is>
      </c>
      <c r="P33" s="227" t="inlineStr">
        <is>
          <t>PROMOVIDO</t>
        </is>
      </c>
    </row>
    <row r="34" ht="15" customHeight="1" s="254">
      <c r="A34" s="56" t="n">
        <v>28</v>
      </c>
      <c r="B34" s="231" t="inlineStr">
        <is>
          <t>RAMIREZ AGUILAR MATHIWS JOEL</t>
        </is>
      </c>
      <c r="C34" s="153" t="n"/>
      <c r="D34" s="145" t="n">
        <v>7.51</v>
      </c>
      <c r="E34" s="77" t="n">
        <v>7.34</v>
      </c>
      <c r="F34" s="142" t="n">
        <v>7.26</v>
      </c>
      <c r="G34" s="104" t="n">
        <v>8.1</v>
      </c>
      <c r="H34" s="105" t="n">
        <v>7.12</v>
      </c>
      <c r="I34" s="109" t="n">
        <v>8.33</v>
      </c>
      <c r="J34" s="76" t="n">
        <v>8.84</v>
      </c>
      <c r="K34" s="233" t="inlineStr">
        <is>
          <t>B+</t>
        </is>
      </c>
      <c r="L34" s="234" t="inlineStr">
        <is>
          <t>B+</t>
        </is>
      </c>
      <c r="M34" s="228" t="inlineStr">
        <is>
          <t>B+</t>
        </is>
      </c>
      <c r="N34" s="86">
        <f>TRUNC(AVERAGE(D34:J34),2)</f>
        <v/>
      </c>
      <c r="O34" s="88" t="inlineStr">
        <is>
          <t>S</t>
        </is>
      </c>
      <c r="P34" s="227" t="inlineStr">
        <is>
          <t>PROMOVIDO</t>
        </is>
      </c>
    </row>
    <row r="35" ht="15" customHeight="1" s="254">
      <c r="A35" s="56" t="n">
        <v>29</v>
      </c>
      <c r="B35" s="231" t="inlineStr">
        <is>
          <t>ROMERO NACIPUCHA JUAN ERNESTO</t>
        </is>
      </c>
      <c r="C35" s="153" t="n"/>
      <c r="D35" s="145" t="n">
        <v>7.94</v>
      </c>
      <c r="E35" s="77" t="n">
        <v>7.65</v>
      </c>
      <c r="F35" s="142" t="n">
        <v>7.01</v>
      </c>
      <c r="G35" s="104" t="n">
        <v>7</v>
      </c>
      <c r="H35" s="105" t="n">
        <v>7</v>
      </c>
      <c r="I35" s="109" t="n">
        <v>7.79</v>
      </c>
      <c r="J35" s="76" t="n">
        <v>8.279999999999999</v>
      </c>
      <c r="K35" s="233" t="inlineStr">
        <is>
          <t>B+</t>
        </is>
      </c>
      <c r="L35" s="234" t="inlineStr">
        <is>
          <t>B+</t>
        </is>
      </c>
      <c r="M35" s="228" t="inlineStr">
        <is>
          <t>B+</t>
        </is>
      </c>
      <c r="N35" s="86">
        <f>TRUNC(AVERAGE(D35:J35),2)</f>
        <v/>
      </c>
      <c r="O35" s="88" t="inlineStr">
        <is>
          <t>S</t>
        </is>
      </c>
      <c r="P35" s="227" t="inlineStr">
        <is>
          <t>PROMOVIDO</t>
        </is>
      </c>
    </row>
    <row r="36" ht="15" customHeight="1" s="254">
      <c r="A36" s="56" t="n">
        <v>30</v>
      </c>
      <c r="B36" s="231" t="inlineStr">
        <is>
          <t>SANDOVAL ORDOÑEZ JOSUE ALEXANDER</t>
        </is>
      </c>
      <c r="C36" s="256" t="n"/>
      <c r="D36" s="145" t="n">
        <v>9.32</v>
      </c>
      <c r="E36" s="77" t="n">
        <v>9.140000000000001</v>
      </c>
      <c r="F36" s="142" t="n">
        <v>8.76</v>
      </c>
      <c r="G36" s="104" t="n">
        <v>8.970000000000001</v>
      </c>
      <c r="H36" s="105" t="n">
        <v>8.59</v>
      </c>
      <c r="I36" s="109" t="n">
        <v>9.32</v>
      </c>
      <c r="J36" s="76" t="n">
        <v>9.18</v>
      </c>
      <c r="K36" s="233" t="inlineStr">
        <is>
          <t>A+</t>
        </is>
      </c>
      <c r="L36" s="234" t="inlineStr">
        <is>
          <t>A+</t>
        </is>
      </c>
      <c r="M36" s="228" t="inlineStr">
        <is>
          <t>A-</t>
        </is>
      </c>
      <c r="N36" s="86">
        <f>TRUNC(AVERAGE(D36:J36),2)</f>
        <v/>
      </c>
      <c r="O36" s="88" t="inlineStr">
        <is>
          <t>S</t>
        </is>
      </c>
      <c r="P36" s="227" t="inlineStr">
        <is>
          <t>PROMOVIDO</t>
        </is>
      </c>
    </row>
    <row r="37" ht="15" customHeight="1" s="254">
      <c r="A37" s="56" t="n">
        <v>31</v>
      </c>
      <c r="B37" s="231" t="inlineStr">
        <is>
          <t>SANISACA CEME MARJORIE FERNANDA</t>
        </is>
      </c>
      <c r="C37" s="256" t="n"/>
      <c r="D37" s="145" t="n">
        <v>8.66</v>
      </c>
      <c r="E37" s="77" t="n">
        <v>8.140000000000001</v>
      </c>
      <c r="F37" s="142" t="n">
        <v>8.140000000000001</v>
      </c>
      <c r="G37" s="104" t="n">
        <v>9.15</v>
      </c>
      <c r="H37" s="105" t="n">
        <v>7.88</v>
      </c>
      <c r="I37" s="109" t="n">
        <v>9.92</v>
      </c>
      <c r="J37" s="76" t="n">
        <v>9.859999999999999</v>
      </c>
      <c r="K37" s="233" t="inlineStr">
        <is>
          <t>A+</t>
        </is>
      </c>
      <c r="L37" s="234" t="inlineStr">
        <is>
          <t>A+</t>
        </is>
      </c>
      <c r="M37" s="228" t="inlineStr">
        <is>
          <t>A+</t>
        </is>
      </c>
      <c r="N37" s="86">
        <f>TRUNC(AVERAGE(D37:J37),2)</f>
        <v/>
      </c>
      <c r="O37" s="88" t="inlineStr">
        <is>
          <t>S</t>
        </is>
      </c>
      <c r="P37" s="227" t="inlineStr">
        <is>
          <t>PROMOVIDO</t>
        </is>
      </c>
    </row>
    <row r="38" ht="15" customHeight="1" s="254">
      <c r="A38" s="56" t="n">
        <v>32</v>
      </c>
      <c r="B38" s="231" t="inlineStr">
        <is>
          <t>SARAGOCIN LLIVICOTA EZEQUIEL DAVID</t>
        </is>
      </c>
      <c r="C38" s="256" t="n"/>
      <c r="D38" s="145" t="n">
        <v>9.380000000000001</v>
      </c>
      <c r="E38" s="77" t="n">
        <v>9.31</v>
      </c>
      <c r="F38" s="142" t="n">
        <v>8.880000000000001</v>
      </c>
      <c r="G38" s="104" t="n">
        <v>9.720000000000001</v>
      </c>
      <c r="H38" s="105" t="n">
        <v>8.99</v>
      </c>
      <c r="I38" s="109" t="n">
        <v>9.109999999999999</v>
      </c>
      <c r="J38" s="76" t="n">
        <v>9.81</v>
      </c>
      <c r="K38" s="233" t="inlineStr">
        <is>
          <t>A+</t>
        </is>
      </c>
      <c r="L38" s="234" t="inlineStr">
        <is>
          <t>A+</t>
        </is>
      </c>
      <c r="M38" s="228" t="inlineStr">
        <is>
          <t>A+</t>
        </is>
      </c>
      <c r="N38" s="86">
        <f>TRUNC(AVERAGE(D38:J38),2)</f>
        <v/>
      </c>
      <c r="O38" s="88" t="inlineStr">
        <is>
          <t>S</t>
        </is>
      </c>
      <c r="P38" s="227" t="inlineStr">
        <is>
          <t>PROMOVIDO</t>
        </is>
      </c>
    </row>
    <row r="39" ht="15" customHeight="1" s="254">
      <c r="A39" s="56" t="n">
        <v>33</v>
      </c>
      <c r="B39" s="231" t="inlineStr">
        <is>
          <t>SOLIS TENEN MATEO ISRAEL</t>
        </is>
      </c>
      <c r="C39" s="256" t="n"/>
      <c r="D39" s="145" t="n">
        <v>8.08</v>
      </c>
      <c r="E39" s="77" t="n">
        <v>7.01</v>
      </c>
      <c r="F39" s="142" t="n">
        <v>7</v>
      </c>
      <c r="G39" s="104" t="n">
        <v>7.34</v>
      </c>
      <c r="H39" s="105" t="n">
        <v>7</v>
      </c>
      <c r="I39" s="109" t="n">
        <v>8.140000000000001</v>
      </c>
      <c r="J39" s="76" t="n">
        <v>8.220000000000001</v>
      </c>
      <c r="K39" s="233" t="inlineStr">
        <is>
          <t>B+</t>
        </is>
      </c>
      <c r="L39" s="234" t="inlineStr">
        <is>
          <t>B+</t>
        </is>
      </c>
      <c r="M39" s="228" t="inlineStr">
        <is>
          <t>B+</t>
        </is>
      </c>
      <c r="N39" s="86">
        <f>TRUNC(AVERAGE(D39:J39),2)</f>
        <v/>
      </c>
      <c r="O39" s="88" t="inlineStr">
        <is>
          <t>S</t>
        </is>
      </c>
      <c r="P39" s="227" t="inlineStr">
        <is>
          <t>PROMOVIDO</t>
        </is>
      </c>
    </row>
    <row r="40" ht="18" customHeight="1" s="254">
      <c r="A40" s="56" t="n">
        <v>34</v>
      </c>
      <c r="B40" s="231" t="inlineStr">
        <is>
          <t>TACURI PINTADO ASHLY VIVIANA</t>
        </is>
      </c>
      <c r="C40" s="256" t="n"/>
      <c r="D40" s="145" t="n">
        <v>8.23</v>
      </c>
      <c r="E40" s="77" t="n">
        <v>7.02</v>
      </c>
      <c r="F40" s="142" t="n">
        <v>7.18</v>
      </c>
      <c r="G40" s="104" t="n">
        <v>7.43</v>
      </c>
      <c r="H40" s="105" t="n">
        <v>7</v>
      </c>
      <c r="I40" s="109" t="n">
        <v>8.81</v>
      </c>
      <c r="J40" s="76" t="n">
        <v>7.59</v>
      </c>
      <c r="K40" s="233" t="inlineStr">
        <is>
          <t>B+</t>
        </is>
      </c>
      <c r="L40" s="234" t="inlineStr">
        <is>
          <t>B+</t>
        </is>
      </c>
      <c r="M40" s="228" t="inlineStr">
        <is>
          <t>A-</t>
        </is>
      </c>
      <c r="N40" s="86">
        <f>TRUNC(AVERAGE(D40:J40),2)</f>
        <v/>
      </c>
      <c r="O40" s="88" t="inlineStr">
        <is>
          <t>S</t>
        </is>
      </c>
      <c r="P40" s="227" t="inlineStr">
        <is>
          <t>PROMOVIDO</t>
        </is>
      </c>
    </row>
    <row r="41" ht="15" customHeight="1" s="254">
      <c r="A41" s="56" t="n">
        <v>35</v>
      </c>
      <c r="B41" s="231" t="inlineStr">
        <is>
          <t>TAMAY JARA VALERIA ELIZABETH</t>
        </is>
      </c>
      <c r="C41" s="153" t="n"/>
      <c r="D41" s="145" t="n">
        <v>9.66</v>
      </c>
      <c r="E41" s="77" t="n">
        <v>9.43</v>
      </c>
      <c r="F41" s="142" t="n">
        <v>8.93</v>
      </c>
      <c r="G41" s="104" t="n">
        <v>9.66</v>
      </c>
      <c r="H41" s="105" t="n">
        <v>9.140000000000001</v>
      </c>
      <c r="I41" s="109" t="n">
        <v>9.800000000000001</v>
      </c>
      <c r="J41" s="76" t="n">
        <v>9.890000000000001</v>
      </c>
      <c r="K41" s="233" t="inlineStr">
        <is>
          <t>A-</t>
        </is>
      </c>
      <c r="L41" s="234" t="inlineStr">
        <is>
          <t>A-</t>
        </is>
      </c>
      <c r="M41" s="228" t="inlineStr">
        <is>
          <t>A-</t>
        </is>
      </c>
      <c r="N41" s="86">
        <f>TRUNC(AVERAGE(D41:J41),2)</f>
        <v/>
      </c>
      <c r="O41" s="88" t="inlineStr">
        <is>
          <t>S</t>
        </is>
      </c>
      <c r="P41" s="227" t="inlineStr">
        <is>
          <t>PROMOVIDO</t>
        </is>
      </c>
    </row>
    <row r="42" ht="14.25" customHeight="1" s="254">
      <c r="A42" s="56" t="n">
        <v>36</v>
      </c>
      <c r="B42" s="231" t="inlineStr">
        <is>
          <t>UZHCA PUNIN MATIAS EDUARDO</t>
        </is>
      </c>
      <c r="C42" s="249" t="n"/>
      <c r="D42" s="145" t="n">
        <v>8.789999999999999</v>
      </c>
      <c r="E42" s="77" t="n">
        <v>7.93</v>
      </c>
      <c r="F42" s="142" t="n">
        <v>8.08</v>
      </c>
      <c r="G42" s="104" t="n">
        <v>8.24</v>
      </c>
      <c r="H42" s="105" t="n">
        <v>7.35</v>
      </c>
      <c r="I42" s="109" t="n">
        <v>8.84</v>
      </c>
      <c r="J42" s="76" t="n">
        <v>9.210000000000001</v>
      </c>
      <c r="K42" s="233" t="inlineStr">
        <is>
          <t>A-</t>
        </is>
      </c>
      <c r="L42" s="234" t="inlineStr">
        <is>
          <t>A-</t>
        </is>
      </c>
      <c r="M42" s="228" t="inlineStr">
        <is>
          <t>A+</t>
        </is>
      </c>
      <c r="N42" s="86">
        <f>TRUNC(AVERAGE(D42:J42),2)</f>
        <v/>
      </c>
      <c r="O42" s="88" t="inlineStr">
        <is>
          <t>S</t>
        </is>
      </c>
      <c r="P42" s="227" t="inlineStr">
        <is>
          <t>PROMOVIDO</t>
        </is>
      </c>
    </row>
    <row r="43" ht="14.25" customHeight="1" s="254">
      <c r="A43" s="56" t="n">
        <v>37</v>
      </c>
      <c r="B43" s="231" t="inlineStr">
        <is>
          <t>UZHCA SOLANO YALITZA MAITTE</t>
        </is>
      </c>
      <c r="C43" s="249" t="n"/>
      <c r="D43" s="145" t="n">
        <v>9.67</v>
      </c>
      <c r="E43" s="77" t="n">
        <v>9.77</v>
      </c>
      <c r="F43" s="142" t="n">
        <v>9.68</v>
      </c>
      <c r="G43" s="104" t="n">
        <v>10</v>
      </c>
      <c r="H43" s="105" t="n">
        <v>9.890000000000001</v>
      </c>
      <c r="I43" s="109" t="n">
        <v>10</v>
      </c>
      <c r="J43" s="76" t="n">
        <v>9.91</v>
      </c>
      <c r="K43" s="233" t="inlineStr">
        <is>
          <t>A+</t>
        </is>
      </c>
      <c r="L43" s="234" t="inlineStr">
        <is>
          <t>A+</t>
        </is>
      </c>
      <c r="M43" s="228" t="inlineStr">
        <is>
          <t>A+</t>
        </is>
      </c>
      <c r="N43" s="86">
        <f>TRUNC(AVERAGE(D43:J43),2)</f>
        <v/>
      </c>
      <c r="O43" s="88" t="inlineStr">
        <is>
          <t>S</t>
        </is>
      </c>
      <c r="P43" s="227" t="inlineStr">
        <is>
          <t>PROMOVIDO</t>
        </is>
      </c>
    </row>
    <row r="44" ht="14.25" customHeight="1" s="254">
      <c r="A44" s="56" t="n">
        <v>38</v>
      </c>
      <c r="B44" s="231" t="inlineStr">
        <is>
          <t>VEGA JADAN JOEL FRANCISCO</t>
        </is>
      </c>
      <c r="C44" s="256" t="n"/>
      <c r="D44" s="145" t="n">
        <v>8.890000000000001</v>
      </c>
      <c r="E44" s="77" t="n">
        <v>8.66</v>
      </c>
      <c r="F44" s="142" t="n">
        <v>7.57</v>
      </c>
      <c r="G44" s="104" t="n">
        <v>8.359999999999999</v>
      </c>
      <c r="H44" s="105" t="n">
        <v>8.18</v>
      </c>
      <c r="I44" s="109" t="n">
        <v>8.99</v>
      </c>
      <c r="J44" s="76" t="n">
        <v>9.630000000000001</v>
      </c>
      <c r="K44" s="233" t="inlineStr">
        <is>
          <t>A-</t>
        </is>
      </c>
      <c r="L44" s="234" t="inlineStr">
        <is>
          <t>A-</t>
        </is>
      </c>
      <c r="M44" s="228" t="inlineStr">
        <is>
          <t>A+</t>
        </is>
      </c>
      <c r="N44" s="86">
        <f>TRUNC(AVERAGE(D44:J44),2)</f>
        <v/>
      </c>
      <c r="O44" s="88" t="inlineStr">
        <is>
          <t>S</t>
        </is>
      </c>
      <c r="P44" s="227" t="inlineStr">
        <is>
          <t>PROMOVIDO</t>
        </is>
      </c>
    </row>
    <row r="45" ht="14.25" customHeight="1" s="254">
      <c r="A45" s="124" t="n">
        <v>39</v>
      </c>
      <c r="B45" s="231" t="inlineStr">
        <is>
          <t>YUQUILEMA RIPALDA SALOME HADMARIZ</t>
        </is>
      </c>
      <c r="D45" s="145" t="n">
        <v>8.779999999999999</v>
      </c>
      <c r="E45" s="77" t="n">
        <v>7.64</v>
      </c>
      <c r="F45" s="142" t="n">
        <v>7.99</v>
      </c>
      <c r="G45" s="104" t="n">
        <v>9.4</v>
      </c>
      <c r="H45" s="105" t="n">
        <v>7.76</v>
      </c>
      <c r="I45" s="109" t="n">
        <v>9.59</v>
      </c>
      <c r="J45" s="76" t="n">
        <v>9.48</v>
      </c>
      <c r="K45" s="233" t="inlineStr">
        <is>
          <t>A+</t>
        </is>
      </c>
      <c r="L45" s="234" t="inlineStr">
        <is>
          <t>A-</t>
        </is>
      </c>
      <c r="M45" s="228" t="inlineStr">
        <is>
          <t>A+</t>
        </is>
      </c>
      <c r="N45" s="86">
        <f>TRUNC(AVERAGE(D45:J45),2)</f>
        <v/>
      </c>
      <c r="O45" s="88" t="inlineStr">
        <is>
          <t>S</t>
        </is>
      </c>
      <c r="P45" s="227" t="inlineStr">
        <is>
          <t>PROMOVIDO</t>
        </is>
      </c>
    </row>
    <row r="46" ht="14.25" customHeight="1" s="254">
      <c r="B46" s="12" t="inlineStr">
        <is>
          <t>Promedio</t>
        </is>
      </c>
      <c r="D46" s="145">
        <f>AVERAGE(D8:D45)</f>
        <v/>
      </c>
      <c r="E46" s="146">
        <f>AVERAGE(E8:E45)</f>
        <v/>
      </c>
      <c r="F46" s="147">
        <f>AVERAGE(F8:F45)</f>
        <v/>
      </c>
      <c r="G46" s="148">
        <f>AVERAGE(G8:G45)</f>
        <v/>
      </c>
      <c r="H46" s="149">
        <f>AVERAGE(H8:H45)</f>
        <v/>
      </c>
      <c r="I46" s="159">
        <f>AVERAGE(I8:I45)</f>
        <v/>
      </c>
      <c r="J46" s="148">
        <f>AVERAGE(J8:J45)</f>
        <v/>
      </c>
      <c r="K46" s="250" t="n"/>
      <c r="L46" s="251" t="n"/>
      <c r="M46" s="252" t="n"/>
      <c r="N46" s="86">
        <f>AVERAGE(N8:N45)</f>
        <v/>
      </c>
    </row>
    <row r="47" ht="14.25" customHeight="1" s="254"/>
    <row r="48" ht="14.25" customHeight="1" s="254"/>
    <row r="49" ht="14.25" customHeight="1" s="254">
      <c r="B49" s="262" t="inlineStr">
        <is>
          <t xml:space="preserve">Ing. Sonia Chicaiza Mgtr. </t>
        </is>
      </c>
      <c r="D49" s="281" t="inlineStr">
        <is>
          <t xml:space="preserve">Lcda. Isabel Carpio Mgtr. </t>
        </is>
      </c>
      <c r="E49" s="264" t="n"/>
      <c r="F49" s="264" t="n"/>
      <c r="G49" s="265" t="n"/>
      <c r="H49" s="162" t="n"/>
      <c r="I49" s="281" t="inlineStr">
        <is>
          <t xml:space="preserve">Lcda. Maribel Peralta Mgtr. </t>
        </is>
      </c>
      <c r="J49" s="264" t="n"/>
      <c r="K49" s="264" t="n"/>
      <c r="L49" s="264" t="n"/>
      <c r="M49" s="265" t="n"/>
    </row>
    <row r="50" ht="14.25" customHeight="1" s="254">
      <c r="B50" s="262" t="inlineStr">
        <is>
          <t>Rectora (e)</t>
        </is>
      </c>
      <c r="D50" s="281" t="inlineStr">
        <is>
          <t>Vicerrectora (e)Matutina</t>
        </is>
      </c>
      <c r="E50" s="264" t="n"/>
      <c r="F50" s="264" t="n"/>
      <c r="G50" s="265" t="n"/>
      <c r="H50" s="162" t="n"/>
      <c r="I50" s="281" t="inlineStr">
        <is>
          <t>Docente Tutora</t>
        </is>
      </c>
      <c r="J50" s="264" t="n"/>
      <c r="K50" s="264" t="n"/>
      <c r="L50" s="265" t="n"/>
    </row>
    <row r="51" ht="14.25" customHeight="1" s="254"/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4.25" customHeight="1" s="254"/>
    <row r="222" ht="14.25" customHeight="1" s="254"/>
    <row r="223" ht="14.25" customHeight="1" s="254"/>
    <row r="224" ht="14.25" customHeight="1" s="254"/>
    <row r="225" ht="14.25" customHeight="1" s="254"/>
    <row r="226" ht="14.25" customHeight="1" s="254"/>
    <row r="227" ht="14.25" customHeight="1" s="254"/>
    <row r="228" ht="14.25" customHeight="1" s="254"/>
    <row r="229" ht="14.25" customHeight="1" s="254"/>
    <row r="230" ht="14.25" customHeight="1" s="254"/>
    <row r="231" ht="14.25" customHeight="1" s="254"/>
    <row r="232" ht="14.25" customHeight="1" s="254"/>
    <row r="233" ht="14.25" customHeight="1" s="254"/>
    <row r="234" ht="14.25" customHeight="1" s="254"/>
    <row r="235" ht="14.25" customHeight="1" s="254"/>
    <row r="236" ht="14.25" customHeight="1" s="254"/>
    <row r="237" ht="14.25" customHeight="1" s="254"/>
    <row r="238" ht="14.25" customHeight="1" s="254"/>
    <row r="239" ht="14.25" customHeight="1" s="254"/>
    <row r="240" ht="14.25" customHeight="1" s="254"/>
    <row r="241" ht="14.25" customHeight="1" s="254"/>
    <row r="242" ht="15.75" customHeight="1" s="254"/>
    <row r="243" ht="15.75" customHeight="1" s="254"/>
    <row r="244" ht="15.75" customHeight="1" s="254"/>
    <row r="245" ht="15.75" customHeight="1" s="254"/>
    <row r="246" ht="15.75" customHeight="1" s="254"/>
    <row r="247" ht="15.75" customHeight="1" s="254"/>
    <row r="248" ht="15.75" customHeight="1" s="254"/>
    <row r="249" ht="15.75" customHeight="1" s="254"/>
    <row r="250" ht="15.7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</sheetData>
  <mergeCells count="25">
    <mergeCell ref="B2:P2"/>
    <mergeCell ref="B25:C25"/>
    <mergeCell ref="I49:M49"/>
    <mergeCell ref="B18:C18"/>
    <mergeCell ref="B39:C39"/>
    <mergeCell ref="I50:L50"/>
    <mergeCell ref="B21:C21"/>
    <mergeCell ref="B11:C11"/>
    <mergeCell ref="K3:N3"/>
    <mergeCell ref="D50:G50"/>
    <mergeCell ref="I3:J3"/>
    <mergeCell ref="B38:C38"/>
    <mergeCell ref="B44:C44"/>
    <mergeCell ref="A1:P1"/>
    <mergeCell ref="B37:C37"/>
    <mergeCell ref="B5:P5"/>
    <mergeCell ref="C3:E3"/>
    <mergeCell ref="D49:G49"/>
    <mergeCell ref="B40:C40"/>
    <mergeCell ref="B49:C49"/>
    <mergeCell ref="B30:C30"/>
    <mergeCell ref="I4:J4"/>
    <mergeCell ref="B20:C20"/>
    <mergeCell ref="B36:C36"/>
    <mergeCell ref="B50:C50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254" min="1" max="2"/>
    <col width="80.70999999999999" customWidth="1" style="254" min="3" max="3"/>
    <col width="10.71" customWidth="1" style="254" min="4" max="6"/>
  </cols>
  <sheetData>
    <row r="1" ht="14.25" customHeight="1" s="254"/>
    <row r="2" ht="14.25" customHeight="1" s="254">
      <c r="B2" s="13" t="inlineStr">
        <is>
          <t>S</t>
        </is>
      </c>
      <c r="C2" s="13" t="inlineStr">
        <is>
          <t>Transforma los desacuerdos en oportunidades de crecimiento y cooperación.</t>
        </is>
      </c>
    </row>
    <row r="3" ht="14.25" customHeight="1" s="254">
      <c r="B3" s="13" t="inlineStr">
        <is>
          <t>F</t>
        </is>
      </c>
      <c r="C3" s="13" t="inlineStr">
        <is>
          <t>Se involucra y participa en iniciativas que favorecen la convivencia pacífica.</t>
        </is>
      </c>
    </row>
    <row r="4" ht="14.25" customHeight="1" s="254">
      <c r="B4" s="13" t="inlineStr">
        <is>
          <t>O</t>
        </is>
      </c>
      <c r="C4" s="13" t="inlineStr">
        <is>
          <t>Demuestra habilidades para llegar a acuerdos y asumir compromisos.</t>
        </is>
      </c>
    </row>
    <row r="5" ht="14.25" customHeight="1" s="254">
      <c r="B5" s="13" t="inlineStr">
        <is>
          <t>N</t>
        </is>
      </c>
      <c r="C5" s="13" t="inlineStr">
        <is>
          <t>Muestra limitaciones para llegar a acuerdos y asumir compromisos.</t>
        </is>
      </c>
    </row>
    <row r="6" ht="14.25" customHeight="1" s="254"/>
    <row r="7" ht="14.25" customHeight="1" s="254"/>
    <row r="8" ht="14.25" customHeight="1" s="254"/>
    <row r="9" ht="14.25" customHeight="1" s="254"/>
    <row r="10" ht="14.25" customHeight="1" s="254"/>
    <row r="11" ht="14.25" customHeight="1" s="254"/>
    <row r="12" ht="14.25" customHeight="1" s="254"/>
    <row r="13" ht="14.25" customHeight="1" s="254"/>
    <row r="14" ht="14.25" customHeight="1" s="254"/>
    <row r="15" ht="14.25" customHeight="1" s="254"/>
    <row r="16" ht="14.25" customHeight="1" s="254"/>
    <row r="17" ht="14.25" customHeight="1" s="254"/>
    <row r="18" ht="14.25" customHeight="1" s="254"/>
    <row r="19" ht="14.25" customHeight="1" s="254"/>
    <row r="20" ht="14.25" customHeight="1" s="254"/>
    <row r="21" ht="14.25" customHeight="1" s="254"/>
    <row r="22" ht="14.25" customHeight="1" s="254"/>
    <row r="23" ht="14.25" customHeight="1" s="254"/>
    <row r="24" ht="14.25" customHeight="1" s="254"/>
    <row r="25" ht="14.25" customHeight="1" s="254"/>
    <row r="26" ht="14.25" customHeight="1" s="254"/>
    <row r="27" ht="14.25" customHeight="1" s="254"/>
    <row r="28" ht="14.25" customHeight="1" s="254"/>
    <row r="29" ht="14.25" customHeight="1" s="254"/>
    <row r="30" ht="14.25" customHeight="1" s="254"/>
    <row r="31" ht="14.25" customHeight="1" s="254"/>
    <row r="32" ht="14.25" customHeight="1" s="254"/>
    <row r="33" ht="14.25" customHeight="1" s="254"/>
    <row r="34" ht="14.25" customHeight="1" s="254"/>
    <row r="35" ht="14.25" customHeight="1" s="254"/>
    <row r="36" ht="14.25" customHeight="1" s="254"/>
    <row r="37" ht="14.25" customHeight="1" s="254"/>
    <row r="38" ht="14.25" customHeight="1" s="254"/>
    <row r="39" ht="14.25" customHeight="1" s="254"/>
    <row r="40" ht="14.25" customHeight="1" s="254"/>
    <row r="41" ht="14.25" customHeight="1" s="254"/>
    <row r="42" ht="14.25" customHeight="1" s="254"/>
    <row r="43" ht="14.25" customHeight="1" s="254"/>
    <row r="44" ht="14.25" customHeight="1" s="254"/>
    <row r="45" ht="14.25" customHeight="1" s="254"/>
    <row r="46" ht="14.25" customHeight="1" s="254"/>
    <row r="47" ht="14.25" customHeight="1" s="254"/>
    <row r="48" ht="14.25" customHeight="1" s="254"/>
    <row r="49" ht="14.25" customHeight="1" s="254"/>
    <row r="50" ht="14.25" customHeight="1" s="254"/>
    <row r="51" ht="14.25" customHeight="1" s="254"/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5.75" customHeight="1" s="254"/>
    <row r="222" ht="15.75" customHeight="1" s="254"/>
    <row r="223" ht="15.75" customHeight="1" s="254"/>
    <row r="224" ht="15.75" customHeight="1" s="254"/>
    <row r="225" ht="15.75" customHeight="1" s="254"/>
    <row r="226" ht="15.75" customHeight="1" s="254"/>
    <row r="227" ht="15.75" customHeight="1" s="254"/>
    <row r="228" ht="15.75" customHeight="1" s="254"/>
    <row r="229" ht="15.75" customHeight="1" s="254"/>
    <row r="230" ht="15.75" customHeight="1" s="254"/>
    <row r="231" ht="15.75" customHeight="1" s="254"/>
    <row r="232" ht="15.75" customHeight="1" s="254"/>
    <row r="233" ht="15.75" customHeight="1" s="254"/>
    <row r="234" ht="15.75" customHeight="1" s="254"/>
    <row r="235" ht="15.75" customHeight="1" s="254"/>
    <row r="236" ht="15.75" customHeight="1" s="254"/>
    <row r="237" ht="15.75" customHeight="1" s="254"/>
    <row r="238" ht="15.75" customHeight="1" s="254"/>
    <row r="239" ht="15.75" customHeight="1" s="254"/>
    <row r="240" ht="15.75" customHeight="1" s="254"/>
    <row r="241" ht="15.75" customHeight="1" s="254"/>
    <row r="242" ht="15.75" customHeight="1" s="254"/>
    <row r="243" ht="15.75" customHeight="1" s="254"/>
    <row r="244" ht="15.75" customHeight="1" s="254"/>
    <row r="245" ht="15.75" customHeight="1" s="254"/>
    <row r="246" ht="15.75" customHeight="1" s="254"/>
    <row r="247" ht="15.75" customHeight="1" s="254"/>
    <row r="248" ht="15.75" customHeight="1" s="254"/>
    <row r="249" ht="15.75" customHeight="1" s="254"/>
    <row r="250" ht="15.7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  <row r="1000" ht="15.75" customHeight="1" s="254"/>
  </sheetData>
  <pageMargins left="0.7" right="0.7" top="0.75" bottom="0.75" header="0" footer="0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D4:E13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254" min="1" max="4"/>
    <col width="184.29" customWidth="1" style="254" min="5" max="5"/>
    <col width="10.71" customWidth="1" style="254" min="6" max="6"/>
  </cols>
  <sheetData>
    <row r="1" ht="14.25" customHeight="1" s="254"/>
    <row r="2" ht="14.25" customHeight="1" s="254"/>
    <row r="3" ht="14.25" customHeight="1" s="254"/>
    <row r="4" ht="14.25" customHeight="1" s="254">
      <c r="D4" s="100" t="inlineStr">
        <is>
          <t>A+</t>
        </is>
      </c>
      <c r="E4" s="236" t="inlineStr">
        <is>
          <t>Demuestra dominio y comprensión de las habilidades, conocimientos y procedimientos desarrollados con capacidad para aplicarlos en situaciones prácticas y de la cotidianidad, simples y complejas, de forma independiente y colectiva.</t>
        </is>
      </c>
    </row>
    <row r="5" ht="17.25" customHeight="1" s="254">
      <c r="D5" s="100" t="inlineStr">
        <is>
          <t>A-</t>
        </is>
      </c>
      <c r="E5" s="236" t="inlineStr">
        <is>
          <t>Demuestra comprensión de habilidades y conocimientos desarrollados para aplicarlos en situaciones de la cotidianidad, de forma independiente y colectiva.</t>
        </is>
      </c>
    </row>
    <row r="6" ht="14.25" customHeight="1" s="254">
      <c r="D6" s="100" t="inlineStr">
        <is>
          <t>B+</t>
        </is>
      </c>
      <c r="E6" s="13" t="inlineStr">
        <is>
          <t>Aplica sus habilidades en situaciones comunes y predecibles, simples y no complejas de forma independiente. Evidencia habilidades para trabajar en equipo y de manera colaborativa, siguiendo instrucciones.</t>
        </is>
      </c>
    </row>
    <row r="7" ht="30.75" customHeight="1" s="254">
      <c r="D7" s="100" t="inlineStr">
        <is>
          <t>B-</t>
        </is>
      </c>
      <c r="E7" s="236" t="inlineStr">
        <is>
          <t>Realiza tareas y/o actividades de forma independiente y en ciertas ocasiones de forma colaborativa, sobre la base de la comprensión de los aprendizajes desarrollados. Evidencia habilidades para trabajar de manera individual y en equipo con ciertas limitaciones para seguir instrucciones.</t>
        </is>
      </c>
    </row>
    <row r="8" ht="14.25" customHeight="1" s="254">
      <c r="D8" s="13" t="inlineStr">
        <is>
          <t>C+</t>
        </is>
      </c>
      <c r="E8" s="236" t="inlineStr">
        <is>
          <t>Demuestra habilidades, conocimientos y procedimientos de manera integral, predominando el trabajo individual al trabajo en equipo. Requiere apoyo del equipo docente para el aprendizaje mediado.</t>
        </is>
      </c>
    </row>
    <row r="9" ht="14.25" customHeight="1" s="254">
      <c r="D9" s="13" t="inlineStr">
        <is>
          <t>C-</t>
        </is>
      </c>
      <c r="E9" s="236" t="inlineStr">
        <is>
          <t>Resuelve tareas o actividades simples sobre la base de sus habilidades, conocimientos y procedimientos adquiridos. Evidencia habilidades básicas de trabajo en equipo. Requiere apoyo del equipo docente para el aprendizaje mediado.</t>
        </is>
      </c>
    </row>
    <row r="10" ht="14.25" customHeight="1" s="254">
      <c r="D10" s="13" t="inlineStr">
        <is>
          <t>D+</t>
        </is>
      </c>
      <c r="E10" s="236" t="inlineStr">
        <is>
          <t>Resuelve tareas o actividades simples sobre la base de sus habilidades, conocimientos y procedimientos adquiridos guiados con el docente. Evidencia limitaciones para trabajar en equipo.</t>
        </is>
      </c>
    </row>
    <row r="11" ht="14.25" customHeight="1" s="254">
      <c r="D11" s="13" t="inlineStr">
        <is>
          <t>D-</t>
        </is>
      </c>
      <c r="E11" s="236" t="inlineStr">
        <is>
          <t>Realiza tareas simples, demuestra dificultad para seguir instrucciones y completarlas, requiriendo la orientación frecuente del equipo docente.</t>
        </is>
      </c>
    </row>
    <row r="12" ht="14.25" customHeight="1" s="254">
      <c r="D12" s="13" t="inlineStr">
        <is>
          <t>E+</t>
        </is>
      </c>
      <c r="E12" s="236" t="inlineStr">
        <is>
          <t>Demuestra dificultades para desarrollar tareas simples y complejas a partir de las habilidades, conocimientos y procedimientos. Requiere intervención permanente del equipo docente para la culminación de sus tareas.</t>
        </is>
      </c>
    </row>
    <row r="13" ht="14.25" customHeight="1" s="254">
      <c r="D13" s="13" t="inlineStr">
        <is>
          <t>E-</t>
        </is>
      </c>
      <c r="E13" s="236" t="inlineStr">
        <is>
          <t>Expone un desarrollo inicial de conocimientos, habilidades y procedimientos para aplicarlos. Requiere intervención inmediata y apoyo continuo del equipo docente para completar las tareas o actividades asignadas.</t>
        </is>
      </c>
    </row>
    <row r="14" ht="14.25" customHeight="1" s="254"/>
    <row r="15" ht="14.25" customHeight="1" s="254"/>
    <row r="16" ht="14.25" customHeight="1" s="254"/>
    <row r="17" ht="14.25" customHeight="1" s="254"/>
    <row r="18" ht="14.25" customHeight="1" s="254"/>
    <row r="19" ht="14.25" customHeight="1" s="254"/>
    <row r="20" ht="14.25" customHeight="1" s="254"/>
    <row r="21" ht="14.25" customHeight="1" s="254"/>
    <row r="22" ht="14.25" customHeight="1" s="254"/>
    <row r="23" ht="14.25" customHeight="1" s="254"/>
    <row r="24" ht="14.25" customHeight="1" s="254"/>
    <row r="25" ht="14.25" customHeight="1" s="254"/>
    <row r="26" ht="14.25" customHeight="1" s="254"/>
    <row r="27" ht="14.25" customHeight="1" s="254"/>
    <row r="28" ht="14.25" customHeight="1" s="254"/>
    <row r="29" ht="14.25" customHeight="1" s="254"/>
    <row r="30" ht="14.25" customHeight="1" s="254"/>
    <row r="31" ht="14.25" customHeight="1" s="254"/>
    <row r="32" ht="14.25" customHeight="1" s="254"/>
    <row r="33" ht="14.25" customHeight="1" s="254"/>
    <row r="34" ht="14.25" customHeight="1" s="254"/>
    <row r="35" ht="14.25" customHeight="1" s="254"/>
    <row r="36" ht="14.25" customHeight="1" s="254"/>
    <row r="37" ht="14.25" customHeight="1" s="254"/>
    <row r="38" ht="14.25" customHeight="1" s="254"/>
    <row r="39" ht="14.25" customHeight="1" s="254"/>
    <row r="40" ht="14.25" customHeight="1" s="254"/>
    <row r="41" ht="14.25" customHeight="1" s="254"/>
    <row r="42" ht="14.25" customHeight="1" s="254"/>
    <row r="43" ht="14.25" customHeight="1" s="254"/>
    <row r="44" ht="14.25" customHeight="1" s="254"/>
    <row r="45" ht="14.25" customHeight="1" s="254"/>
    <row r="46" ht="14.25" customHeight="1" s="254"/>
    <row r="47" ht="14.25" customHeight="1" s="254"/>
    <row r="48" ht="14.25" customHeight="1" s="254"/>
    <row r="49" ht="14.25" customHeight="1" s="254"/>
    <row r="50" ht="14.25" customHeight="1" s="254"/>
    <row r="51" ht="14.25" customHeight="1" s="254"/>
    <row r="52" ht="14.25" customHeight="1" s="254"/>
    <row r="53" ht="14.25" customHeight="1" s="254"/>
    <row r="54" ht="14.25" customHeight="1" s="254"/>
    <row r="55" ht="14.25" customHeight="1" s="254"/>
    <row r="56" ht="14.25" customHeight="1" s="254"/>
    <row r="57" ht="14.25" customHeight="1" s="254"/>
    <row r="58" ht="14.25" customHeight="1" s="254"/>
    <row r="59" ht="14.25" customHeight="1" s="254"/>
    <row r="60" ht="14.25" customHeight="1" s="254"/>
    <row r="61" ht="14.25" customHeight="1" s="254"/>
    <row r="62" ht="14.25" customHeight="1" s="254"/>
    <row r="63" ht="14.25" customHeight="1" s="254"/>
    <row r="64" ht="14.25" customHeight="1" s="254"/>
    <row r="65" ht="14.25" customHeight="1" s="254"/>
    <row r="66" ht="14.25" customHeight="1" s="254"/>
    <row r="67" ht="14.25" customHeight="1" s="254"/>
    <row r="68" ht="14.25" customHeight="1" s="254"/>
    <row r="69" ht="14.25" customHeight="1" s="254"/>
    <row r="70" ht="14.25" customHeight="1" s="254"/>
    <row r="71" ht="14.25" customHeight="1" s="254"/>
    <row r="72" ht="14.25" customHeight="1" s="254"/>
    <row r="73" ht="14.25" customHeight="1" s="254"/>
    <row r="74" ht="14.25" customHeight="1" s="254"/>
    <row r="75" ht="14.25" customHeight="1" s="254"/>
    <row r="76" ht="14.25" customHeight="1" s="254"/>
    <row r="77" ht="14.25" customHeight="1" s="254"/>
    <row r="78" ht="14.25" customHeight="1" s="254"/>
    <row r="79" ht="14.25" customHeight="1" s="254"/>
    <row r="80" ht="14.25" customHeight="1" s="254"/>
    <row r="81" ht="14.25" customHeight="1" s="254"/>
    <row r="82" ht="14.25" customHeight="1" s="254"/>
    <row r="83" ht="14.25" customHeight="1" s="254"/>
    <row r="84" ht="14.25" customHeight="1" s="254"/>
    <row r="85" ht="14.25" customHeight="1" s="254"/>
    <row r="86" ht="14.25" customHeight="1" s="254"/>
    <row r="87" ht="14.25" customHeight="1" s="254"/>
    <row r="88" ht="14.25" customHeight="1" s="254"/>
    <row r="89" ht="14.25" customHeight="1" s="254"/>
    <row r="90" ht="14.25" customHeight="1" s="254"/>
    <row r="91" ht="14.25" customHeight="1" s="254"/>
    <row r="92" ht="14.25" customHeight="1" s="254"/>
    <row r="93" ht="14.25" customHeight="1" s="254"/>
    <row r="94" ht="14.25" customHeight="1" s="254"/>
    <row r="95" ht="14.25" customHeight="1" s="254"/>
    <row r="96" ht="14.25" customHeight="1" s="254"/>
    <row r="97" ht="14.25" customHeight="1" s="254"/>
    <row r="98" ht="14.25" customHeight="1" s="254"/>
    <row r="99" ht="14.25" customHeight="1" s="254"/>
    <row r="100" ht="14.25" customHeight="1" s="254"/>
    <row r="101" ht="14.25" customHeight="1" s="254"/>
    <row r="102" ht="14.25" customHeight="1" s="254"/>
    <row r="103" ht="14.25" customHeight="1" s="254"/>
    <row r="104" ht="14.25" customHeight="1" s="254"/>
    <row r="105" ht="14.25" customHeight="1" s="254"/>
    <row r="106" ht="14.25" customHeight="1" s="254"/>
    <row r="107" ht="14.25" customHeight="1" s="254"/>
    <row r="108" ht="14.25" customHeight="1" s="254"/>
    <row r="109" ht="14.25" customHeight="1" s="254"/>
    <row r="110" ht="14.25" customHeight="1" s="254"/>
    <row r="111" ht="14.25" customHeight="1" s="254"/>
    <row r="112" ht="14.25" customHeight="1" s="254"/>
    <row r="113" ht="14.25" customHeight="1" s="254"/>
    <row r="114" ht="14.25" customHeight="1" s="254"/>
    <row r="115" ht="14.25" customHeight="1" s="254"/>
    <row r="116" ht="14.25" customHeight="1" s="254"/>
    <row r="117" ht="14.25" customHeight="1" s="254"/>
    <row r="118" ht="14.25" customHeight="1" s="254"/>
    <row r="119" ht="14.25" customHeight="1" s="254"/>
    <row r="120" ht="14.25" customHeight="1" s="254"/>
    <row r="121" ht="14.25" customHeight="1" s="254"/>
    <row r="122" ht="14.25" customHeight="1" s="254"/>
    <row r="123" ht="14.25" customHeight="1" s="254"/>
    <row r="124" ht="14.25" customHeight="1" s="254"/>
    <row r="125" ht="14.25" customHeight="1" s="254"/>
    <row r="126" ht="14.25" customHeight="1" s="254"/>
    <row r="127" ht="14.25" customHeight="1" s="254"/>
    <row r="128" ht="14.25" customHeight="1" s="254"/>
    <row r="129" ht="14.25" customHeight="1" s="254"/>
    <row r="130" ht="14.25" customHeight="1" s="254"/>
    <row r="131" ht="14.25" customHeight="1" s="254"/>
    <row r="132" ht="14.25" customHeight="1" s="254"/>
    <row r="133" ht="14.25" customHeight="1" s="254"/>
    <row r="134" ht="14.25" customHeight="1" s="254"/>
    <row r="135" ht="14.25" customHeight="1" s="254"/>
    <row r="136" ht="14.25" customHeight="1" s="254"/>
    <row r="137" ht="14.25" customHeight="1" s="254"/>
    <row r="138" ht="14.25" customHeight="1" s="254"/>
    <row r="139" ht="14.25" customHeight="1" s="254"/>
    <row r="140" ht="14.25" customHeight="1" s="254"/>
    <row r="141" ht="14.25" customHeight="1" s="254"/>
    <row r="142" ht="14.25" customHeight="1" s="254"/>
    <row r="143" ht="14.25" customHeight="1" s="254"/>
    <row r="144" ht="14.25" customHeight="1" s="254"/>
    <row r="145" ht="14.25" customHeight="1" s="254"/>
    <row r="146" ht="14.25" customHeight="1" s="254"/>
    <row r="147" ht="14.25" customHeight="1" s="254"/>
    <row r="148" ht="14.25" customHeight="1" s="254"/>
    <row r="149" ht="14.25" customHeight="1" s="254"/>
    <row r="150" ht="14.25" customHeight="1" s="254"/>
    <row r="151" ht="14.25" customHeight="1" s="254"/>
    <row r="152" ht="14.25" customHeight="1" s="254"/>
    <row r="153" ht="14.25" customHeight="1" s="254"/>
    <row r="154" ht="14.25" customHeight="1" s="254"/>
    <row r="155" ht="14.25" customHeight="1" s="254"/>
    <row r="156" ht="14.25" customHeight="1" s="254"/>
    <row r="157" ht="14.25" customHeight="1" s="254"/>
    <row r="158" ht="14.25" customHeight="1" s="254"/>
    <row r="159" ht="14.25" customHeight="1" s="254"/>
    <row r="160" ht="14.25" customHeight="1" s="254"/>
    <row r="161" ht="14.25" customHeight="1" s="254"/>
    <row r="162" ht="14.25" customHeight="1" s="254"/>
    <row r="163" ht="14.25" customHeight="1" s="254"/>
    <row r="164" ht="14.25" customHeight="1" s="254"/>
    <row r="165" ht="14.25" customHeight="1" s="254"/>
    <row r="166" ht="14.25" customHeight="1" s="254"/>
    <row r="167" ht="14.25" customHeight="1" s="254"/>
    <row r="168" ht="14.25" customHeight="1" s="254"/>
    <row r="169" ht="14.25" customHeight="1" s="254"/>
    <row r="170" ht="14.25" customHeight="1" s="254"/>
    <row r="171" ht="14.25" customHeight="1" s="254"/>
    <row r="172" ht="14.25" customHeight="1" s="254"/>
    <row r="173" ht="14.25" customHeight="1" s="254"/>
    <row r="174" ht="14.25" customHeight="1" s="254"/>
    <row r="175" ht="14.25" customHeight="1" s="254"/>
    <row r="176" ht="14.25" customHeight="1" s="254"/>
    <row r="177" ht="14.25" customHeight="1" s="254"/>
    <row r="178" ht="14.25" customHeight="1" s="254"/>
    <row r="179" ht="14.25" customHeight="1" s="254"/>
    <row r="180" ht="14.25" customHeight="1" s="254"/>
    <row r="181" ht="14.25" customHeight="1" s="254"/>
    <row r="182" ht="14.25" customHeight="1" s="254"/>
    <row r="183" ht="14.25" customHeight="1" s="254"/>
    <row r="184" ht="14.25" customHeight="1" s="254"/>
    <row r="185" ht="14.25" customHeight="1" s="254"/>
    <row r="186" ht="14.25" customHeight="1" s="254"/>
    <row r="187" ht="14.25" customHeight="1" s="254"/>
    <row r="188" ht="14.25" customHeight="1" s="254"/>
    <row r="189" ht="14.25" customHeight="1" s="254"/>
    <row r="190" ht="14.25" customHeight="1" s="254"/>
    <row r="191" ht="14.25" customHeight="1" s="254"/>
    <row r="192" ht="14.25" customHeight="1" s="254"/>
    <row r="193" ht="14.25" customHeight="1" s="254"/>
    <row r="194" ht="14.25" customHeight="1" s="254"/>
    <row r="195" ht="14.25" customHeight="1" s="254"/>
    <row r="196" ht="14.25" customHeight="1" s="254"/>
    <row r="197" ht="14.25" customHeight="1" s="254"/>
    <row r="198" ht="14.25" customHeight="1" s="254"/>
    <row r="199" ht="14.25" customHeight="1" s="254"/>
    <row r="200" ht="14.25" customHeight="1" s="254"/>
    <row r="201" ht="14.25" customHeight="1" s="254"/>
    <row r="202" ht="14.25" customHeight="1" s="254"/>
    <row r="203" ht="14.25" customHeight="1" s="254"/>
    <row r="204" ht="14.25" customHeight="1" s="254"/>
    <row r="205" ht="14.25" customHeight="1" s="254"/>
    <row r="206" ht="14.25" customHeight="1" s="254"/>
    <row r="207" ht="14.25" customHeight="1" s="254"/>
    <row r="208" ht="14.25" customHeight="1" s="254"/>
    <row r="209" ht="14.25" customHeight="1" s="254"/>
    <row r="210" ht="14.25" customHeight="1" s="254"/>
    <row r="211" ht="14.25" customHeight="1" s="254"/>
    <row r="212" ht="14.25" customHeight="1" s="254"/>
    <row r="213" ht="14.25" customHeight="1" s="254"/>
    <row r="214" ht="14.25" customHeight="1" s="254"/>
    <row r="215" ht="14.25" customHeight="1" s="254"/>
    <row r="216" ht="14.25" customHeight="1" s="254"/>
    <row r="217" ht="14.25" customHeight="1" s="254"/>
    <row r="218" ht="14.25" customHeight="1" s="254"/>
    <row r="219" ht="14.25" customHeight="1" s="254"/>
    <row r="220" ht="14.25" customHeight="1" s="254"/>
    <row r="221" ht="15.75" customHeight="1" s="254"/>
    <row r="222" ht="15.75" customHeight="1" s="254"/>
    <row r="223" ht="15.75" customHeight="1" s="254"/>
    <row r="224" ht="15.75" customHeight="1" s="254"/>
    <row r="225" ht="15.75" customHeight="1" s="254"/>
    <row r="226" ht="15.75" customHeight="1" s="254"/>
    <row r="227" ht="15.75" customHeight="1" s="254"/>
    <row r="228" ht="15.75" customHeight="1" s="254"/>
    <row r="229" ht="15.75" customHeight="1" s="254"/>
    <row r="230" ht="15.75" customHeight="1" s="254"/>
    <row r="231" ht="15.75" customHeight="1" s="254"/>
    <row r="232" ht="15.75" customHeight="1" s="254"/>
    <row r="233" ht="15.75" customHeight="1" s="254"/>
    <row r="234" ht="15.75" customHeight="1" s="254"/>
    <row r="235" ht="15.75" customHeight="1" s="254"/>
    <row r="236" ht="15.75" customHeight="1" s="254"/>
    <row r="237" ht="15.75" customHeight="1" s="254"/>
    <row r="238" ht="15.75" customHeight="1" s="254"/>
    <row r="239" ht="15.75" customHeight="1" s="254"/>
    <row r="240" ht="15.75" customHeight="1" s="254"/>
    <row r="241" ht="15.75" customHeight="1" s="254"/>
    <row r="242" ht="15.75" customHeight="1" s="254"/>
    <row r="243" ht="15.75" customHeight="1" s="254"/>
    <row r="244" ht="15.75" customHeight="1" s="254"/>
    <row r="245" ht="15.75" customHeight="1" s="254"/>
    <row r="246" ht="15.75" customHeight="1" s="254"/>
    <row r="247" ht="15.75" customHeight="1" s="254"/>
    <row r="248" ht="15.75" customHeight="1" s="254"/>
    <row r="249" ht="15.75" customHeight="1" s="254"/>
    <row r="250" ht="15.75" customHeight="1" s="254"/>
    <row r="251" ht="15.75" customHeight="1" s="254"/>
    <row r="252" ht="15.75" customHeight="1" s="254"/>
    <row r="253" ht="15.75" customHeight="1" s="254"/>
    <row r="254" ht="15.75" customHeight="1" s="254"/>
    <row r="255" ht="15.75" customHeight="1" s="254"/>
    <row r="256" ht="15.75" customHeight="1" s="254"/>
    <row r="257" ht="15.75" customHeight="1" s="254"/>
    <row r="258" ht="15.75" customHeight="1" s="254"/>
    <row r="259" ht="15.75" customHeight="1" s="254"/>
    <row r="260" ht="15.75" customHeight="1" s="254"/>
    <row r="261" ht="15.75" customHeight="1" s="254"/>
    <row r="262" ht="15.75" customHeight="1" s="254"/>
    <row r="263" ht="15.75" customHeight="1" s="254"/>
    <row r="264" ht="15.75" customHeight="1" s="254"/>
    <row r="265" ht="15.75" customHeight="1" s="254"/>
    <row r="266" ht="15.75" customHeight="1" s="254"/>
    <row r="267" ht="15.75" customHeight="1" s="254"/>
    <row r="268" ht="15.75" customHeight="1" s="254"/>
    <row r="269" ht="15.75" customHeight="1" s="254"/>
    <row r="270" ht="15.75" customHeight="1" s="254"/>
    <row r="271" ht="15.75" customHeight="1" s="254"/>
    <row r="272" ht="15.75" customHeight="1" s="254"/>
    <row r="273" ht="15.75" customHeight="1" s="254"/>
    <row r="274" ht="15.75" customHeight="1" s="254"/>
    <row r="275" ht="15.75" customHeight="1" s="254"/>
    <row r="276" ht="15.75" customHeight="1" s="254"/>
    <row r="277" ht="15.75" customHeight="1" s="254"/>
    <row r="278" ht="15.75" customHeight="1" s="254"/>
    <row r="279" ht="15.75" customHeight="1" s="254"/>
    <row r="280" ht="15.75" customHeight="1" s="254"/>
    <row r="281" ht="15.75" customHeight="1" s="254"/>
    <row r="282" ht="15.75" customHeight="1" s="254"/>
    <row r="283" ht="15.75" customHeight="1" s="254"/>
    <row r="284" ht="15.75" customHeight="1" s="254"/>
    <row r="285" ht="15.75" customHeight="1" s="254"/>
    <row r="286" ht="15.75" customHeight="1" s="254"/>
    <row r="287" ht="15.75" customHeight="1" s="254"/>
    <row r="288" ht="15.75" customHeight="1" s="254"/>
    <row r="289" ht="15.75" customHeight="1" s="254"/>
    <row r="290" ht="15.75" customHeight="1" s="254"/>
    <row r="291" ht="15.75" customHeight="1" s="254"/>
    <row r="292" ht="15.75" customHeight="1" s="254"/>
    <row r="293" ht="15.75" customHeight="1" s="254"/>
    <row r="294" ht="15.75" customHeight="1" s="254"/>
    <row r="295" ht="15.75" customHeight="1" s="254"/>
    <row r="296" ht="15.75" customHeight="1" s="254"/>
    <row r="297" ht="15.75" customHeight="1" s="254"/>
    <row r="298" ht="15.75" customHeight="1" s="254"/>
    <row r="299" ht="15.75" customHeight="1" s="254"/>
    <row r="300" ht="15.75" customHeight="1" s="254"/>
    <row r="301" ht="15.75" customHeight="1" s="254"/>
    <row r="302" ht="15.75" customHeight="1" s="254"/>
    <row r="303" ht="15.75" customHeight="1" s="254"/>
    <row r="304" ht="15.75" customHeight="1" s="254"/>
    <row r="305" ht="15.75" customHeight="1" s="254"/>
    <row r="306" ht="15.75" customHeight="1" s="254"/>
    <row r="307" ht="15.75" customHeight="1" s="254"/>
    <row r="308" ht="15.75" customHeight="1" s="254"/>
    <row r="309" ht="15.75" customHeight="1" s="254"/>
    <row r="310" ht="15.75" customHeight="1" s="254"/>
    <row r="311" ht="15.75" customHeight="1" s="254"/>
    <row r="312" ht="15.75" customHeight="1" s="254"/>
    <row r="313" ht="15.75" customHeight="1" s="254"/>
    <row r="314" ht="15.75" customHeight="1" s="254"/>
    <row r="315" ht="15.75" customHeight="1" s="254"/>
    <row r="316" ht="15.75" customHeight="1" s="254"/>
    <row r="317" ht="15.75" customHeight="1" s="254"/>
    <row r="318" ht="15.75" customHeight="1" s="254"/>
    <row r="319" ht="15.75" customHeight="1" s="254"/>
    <row r="320" ht="15.75" customHeight="1" s="254"/>
    <row r="321" ht="15.75" customHeight="1" s="254"/>
    <row r="322" ht="15.75" customHeight="1" s="254"/>
    <row r="323" ht="15.75" customHeight="1" s="254"/>
    <row r="324" ht="15.75" customHeight="1" s="254"/>
    <row r="325" ht="15.75" customHeight="1" s="254"/>
    <row r="326" ht="15.75" customHeight="1" s="254"/>
    <row r="327" ht="15.75" customHeight="1" s="254"/>
    <row r="328" ht="15.75" customHeight="1" s="254"/>
    <row r="329" ht="15.75" customHeight="1" s="254"/>
    <row r="330" ht="15.75" customHeight="1" s="254"/>
    <row r="331" ht="15.75" customHeight="1" s="254"/>
    <row r="332" ht="15.75" customHeight="1" s="254"/>
    <row r="333" ht="15.75" customHeight="1" s="254"/>
    <row r="334" ht="15.75" customHeight="1" s="254"/>
    <row r="335" ht="15.75" customHeight="1" s="254"/>
    <row r="336" ht="15.75" customHeight="1" s="254"/>
    <row r="337" ht="15.75" customHeight="1" s="254"/>
    <row r="338" ht="15.75" customHeight="1" s="254"/>
    <row r="339" ht="15.75" customHeight="1" s="254"/>
    <row r="340" ht="15.75" customHeight="1" s="254"/>
    <row r="341" ht="15.75" customHeight="1" s="254"/>
    <row r="342" ht="15.75" customHeight="1" s="254"/>
    <row r="343" ht="15.75" customHeight="1" s="254"/>
    <row r="344" ht="15.75" customHeight="1" s="254"/>
    <row r="345" ht="15.75" customHeight="1" s="254"/>
    <row r="346" ht="15.75" customHeight="1" s="254"/>
    <row r="347" ht="15.75" customHeight="1" s="254"/>
    <row r="348" ht="15.75" customHeight="1" s="254"/>
    <row r="349" ht="15.75" customHeight="1" s="254"/>
    <row r="350" ht="15.75" customHeight="1" s="254"/>
    <row r="351" ht="15.75" customHeight="1" s="254"/>
    <row r="352" ht="15.75" customHeight="1" s="254"/>
    <row r="353" ht="15.75" customHeight="1" s="254"/>
    <row r="354" ht="15.75" customHeight="1" s="254"/>
    <row r="355" ht="15.75" customHeight="1" s="254"/>
    <row r="356" ht="15.75" customHeight="1" s="254"/>
    <row r="357" ht="15.75" customHeight="1" s="254"/>
    <row r="358" ht="15.75" customHeight="1" s="254"/>
    <row r="359" ht="15.75" customHeight="1" s="254"/>
    <row r="360" ht="15.75" customHeight="1" s="254"/>
    <row r="361" ht="15.75" customHeight="1" s="254"/>
    <row r="362" ht="15.75" customHeight="1" s="254"/>
    <row r="363" ht="15.75" customHeight="1" s="254"/>
    <row r="364" ht="15.75" customHeight="1" s="254"/>
    <row r="365" ht="15.75" customHeight="1" s="254"/>
    <row r="366" ht="15.75" customHeight="1" s="254"/>
    <row r="367" ht="15.75" customHeight="1" s="254"/>
    <row r="368" ht="15.75" customHeight="1" s="254"/>
    <row r="369" ht="15.75" customHeight="1" s="254"/>
    <row r="370" ht="15.75" customHeight="1" s="254"/>
    <row r="371" ht="15.75" customHeight="1" s="254"/>
    <row r="372" ht="15.75" customHeight="1" s="254"/>
    <row r="373" ht="15.75" customHeight="1" s="254"/>
    <row r="374" ht="15.75" customHeight="1" s="254"/>
    <row r="375" ht="15.75" customHeight="1" s="254"/>
    <row r="376" ht="15.75" customHeight="1" s="254"/>
    <row r="377" ht="15.75" customHeight="1" s="254"/>
    <row r="378" ht="15.75" customHeight="1" s="254"/>
    <row r="379" ht="15.75" customHeight="1" s="254"/>
    <row r="380" ht="15.75" customHeight="1" s="254"/>
    <row r="381" ht="15.75" customHeight="1" s="254"/>
    <row r="382" ht="15.75" customHeight="1" s="254"/>
    <row r="383" ht="15.75" customHeight="1" s="254"/>
    <row r="384" ht="15.75" customHeight="1" s="254"/>
    <row r="385" ht="15.75" customHeight="1" s="254"/>
    <row r="386" ht="15.75" customHeight="1" s="254"/>
    <row r="387" ht="15.75" customHeight="1" s="254"/>
    <row r="388" ht="15.75" customHeight="1" s="254"/>
    <row r="389" ht="15.75" customHeight="1" s="254"/>
    <row r="390" ht="15.75" customHeight="1" s="254"/>
    <row r="391" ht="15.75" customHeight="1" s="254"/>
    <row r="392" ht="15.75" customHeight="1" s="254"/>
    <row r="393" ht="15.75" customHeight="1" s="254"/>
    <row r="394" ht="15.75" customHeight="1" s="254"/>
    <row r="395" ht="15.75" customHeight="1" s="254"/>
    <row r="396" ht="15.75" customHeight="1" s="254"/>
    <row r="397" ht="15.75" customHeight="1" s="254"/>
    <row r="398" ht="15.75" customHeight="1" s="254"/>
    <row r="399" ht="15.75" customHeight="1" s="254"/>
    <row r="400" ht="15.75" customHeight="1" s="254"/>
    <row r="401" ht="15.75" customHeight="1" s="254"/>
    <row r="402" ht="15.75" customHeight="1" s="254"/>
    <row r="403" ht="15.75" customHeight="1" s="254"/>
    <row r="404" ht="15.75" customHeight="1" s="254"/>
    <row r="405" ht="15.75" customHeight="1" s="254"/>
    <row r="406" ht="15.75" customHeight="1" s="254"/>
    <row r="407" ht="15.75" customHeight="1" s="254"/>
    <row r="408" ht="15.75" customHeight="1" s="254"/>
    <row r="409" ht="15.75" customHeight="1" s="254"/>
    <row r="410" ht="15.75" customHeight="1" s="254"/>
    <row r="411" ht="15.75" customHeight="1" s="254"/>
    <row r="412" ht="15.75" customHeight="1" s="254"/>
    <row r="413" ht="15.75" customHeight="1" s="254"/>
    <row r="414" ht="15.75" customHeight="1" s="254"/>
    <row r="415" ht="15.75" customHeight="1" s="254"/>
    <row r="416" ht="15.75" customHeight="1" s="254"/>
    <row r="417" ht="15.75" customHeight="1" s="254"/>
    <row r="418" ht="15.75" customHeight="1" s="254"/>
    <row r="419" ht="15.75" customHeight="1" s="254"/>
    <row r="420" ht="15.75" customHeight="1" s="254"/>
    <row r="421" ht="15.75" customHeight="1" s="254"/>
    <row r="422" ht="15.75" customHeight="1" s="254"/>
    <row r="423" ht="15.75" customHeight="1" s="254"/>
    <row r="424" ht="15.75" customHeight="1" s="254"/>
    <row r="425" ht="15.75" customHeight="1" s="254"/>
    <row r="426" ht="15.75" customHeight="1" s="254"/>
    <row r="427" ht="15.75" customHeight="1" s="254"/>
    <row r="428" ht="15.75" customHeight="1" s="254"/>
    <row r="429" ht="15.75" customHeight="1" s="254"/>
    <row r="430" ht="15.75" customHeight="1" s="254"/>
    <row r="431" ht="15.75" customHeight="1" s="254"/>
    <row r="432" ht="15.75" customHeight="1" s="254"/>
    <row r="433" ht="15.75" customHeight="1" s="254"/>
    <row r="434" ht="15.75" customHeight="1" s="254"/>
    <row r="435" ht="15.75" customHeight="1" s="254"/>
    <row r="436" ht="15.75" customHeight="1" s="254"/>
    <row r="437" ht="15.75" customHeight="1" s="254"/>
    <row r="438" ht="15.75" customHeight="1" s="254"/>
    <row r="439" ht="15.75" customHeight="1" s="254"/>
    <row r="440" ht="15.75" customHeight="1" s="254"/>
    <row r="441" ht="15.75" customHeight="1" s="254"/>
    <row r="442" ht="15.75" customHeight="1" s="254"/>
    <row r="443" ht="15.75" customHeight="1" s="254"/>
    <row r="444" ht="15.75" customHeight="1" s="254"/>
    <row r="445" ht="15.75" customHeight="1" s="254"/>
    <row r="446" ht="15.75" customHeight="1" s="254"/>
    <row r="447" ht="15.75" customHeight="1" s="254"/>
    <row r="448" ht="15.75" customHeight="1" s="254"/>
    <row r="449" ht="15.75" customHeight="1" s="254"/>
    <row r="450" ht="15.75" customHeight="1" s="254"/>
    <row r="451" ht="15.75" customHeight="1" s="254"/>
    <row r="452" ht="15.75" customHeight="1" s="254"/>
    <row r="453" ht="15.75" customHeight="1" s="254"/>
    <row r="454" ht="15.75" customHeight="1" s="254"/>
    <row r="455" ht="15.75" customHeight="1" s="254"/>
    <row r="456" ht="15.75" customHeight="1" s="254"/>
    <row r="457" ht="15.75" customHeight="1" s="254"/>
    <row r="458" ht="15.75" customHeight="1" s="254"/>
    <row r="459" ht="15.75" customHeight="1" s="254"/>
    <row r="460" ht="15.75" customHeight="1" s="254"/>
    <row r="461" ht="15.75" customHeight="1" s="254"/>
    <row r="462" ht="15.75" customHeight="1" s="254"/>
    <row r="463" ht="15.75" customHeight="1" s="254"/>
    <row r="464" ht="15.75" customHeight="1" s="254"/>
    <row r="465" ht="15.75" customHeight="1" s="254"/>
    <row r="466" ht="15.75" customHeight="1" s="254"/>
    <row r="467" ht="15.75" customHeight="1" s="254"/>
    <row r="468" ht="15.75" customHeight="1" s="254"/>
    <row r="469" ht="15.75" customHeight="1" s="254"/>
    <row r="470" ht="15.75" customHeight="1" s="254"/>
    <row r="471" ht="15.75" customHeight="1" s="254"/>
    <row r="472" ht="15.75" customHeight="1" s="254"/>
    <row r="473" ht="15.75" customHeight="1" s="254"/>
    <row r="474" ht="15.75" customHeight="1" s="254"/>
    <row r="475" ht="15.75" customHeight="1" s="254"/>
    <row r="476" ht="15.75" customHeight="1" s="254"/>
    <row r="477" ht="15.75" customHeight="1" s="254"/>
    <row r="478" ht="15.75" customHeight="1" s="254"/>
    <row r="479" ht="15.75" customHeight="1" s="254"/>
    <row r="480" ht="15.75" customHeight="1" s="254"/>
    <row r="481" ht="15.75" customHeight="1" s="254"/>
    <row r="482" ht="15.75" customHeight="1" s="254"/>
    <row r="483" ht="15.75" customHeight="1" s="254"/>
    <row r="484" ht="15.75" customHeight="1" s="254"/>
    <row r="485" ht="15.75" customHeight="1" s="254"/>
    <row r="486" ht="15.75" customHeight="1" s="254"/>
    <row r="487" ht="15.75" customHeight="1" s="254"/>
    <row r="488" ht="15.75" customHeight="1" s="254"/>
    <row r="489" ht="15.75" customHeight="1" s="254"/>
    <row r="490" ht="15.75" customHeight="1" s="254"/>
    <row r="491" ht="15.75" customHeight="1" s="254"/>
    <row r="492" ht="15.75" customHeight="1" s="254"/>
    <row r="493" ht="15.75" customHeight="1" s="254"/>
    <row r="494" ht="15.75" customHeight="1" s="254"/>
    <row r="495" ht="15.75" customHeight="1" s="254"/>
    <row r="496" ht="15.75" customHeight="1" s="254"/>
    <row r="497" ht="15.75" customHeight="1" s="254"/>
    <row r="498" ht="15.75" customHeight="1" s="254"/>
    <row r="499" ht="15.75" customHeight="1" s="254"/>
    <row r="500" ht="15.75" customHeight="1" s="254"/>
    <row r="501" ht="15.75" customHeight="1" s="254"/>
    <row r="502" ht="15.75" customHeight="1" s="254"/>
    <row r="503" ht="15.75" customHeight="1" s="254"/>
    <row r="504" ht="15.75" customHeight="1" s="254"/>
    <row r="505" ht="15.75" customHeight="1" s="254"/>
    <row r="506" ht="15.75" customHeight="1" s="254"/>
    <row r="507" ht="15.75" customHeight="1" s="254"/>
    <row r="508" ht="15.75" customHeight="1" s="254"/>
    <row r="509" ht="15.75" customHeight="1" s="254"/>
    <row r="510" ht="15.75" customHeight="1" s="254"/>
    <row r="511" ht="15.75" customHeight="1" s="254"/>
    <row r="512" ht="15.75" customHeight="1" s="254"/>
    <row r="513" ht="15.75" customHeight="1" s="254"/>
    <row r="514" ht="15.75" customHeight="1" s="254"/>
    <row r="515" ht="15.75" customHeight="1" s="254"/>
    <row r="516" ht="15.75" customHeight="1" s="254"/>
    <row r="517" ht="15.75" customHeight="1" s="254"/>
    <row r="518" ht="15.75" customHeight="1" s="254"/>
    <row r="519" ht="15.75" customHeight="1" s="254"/>
    <row r="520" ht="15.75" customHeight="1" s="254"/>
    <row r="521" ht="15.75" customHeight="1" s="254"/>
    <row r="522" ht="15.75" customHeight="1" s="254"/>
    <row r="523" ht="15.75" customHeight="1" s="254"/>
    <row r="524" ht="15.75" customHeight="1" s="254"/>
    <row r="525" ht="15.75" customHeight="1" s="254"/>
    <row r="526" ht="15.75" customHeight="1" s="254"/>
    <row r="527" ht="15.75" customHeight="1" s="254"/>
    <row r="528" ht="15.75" customHeight="1" s="254"/>
    <row r="529" ht="15.75" customHeight="1" s="254"/>
    <row r="530" ht="15.75" customHeight="1" s="254"/>
    <row r="531" ht="15.75" customHeight="1" s="254"/>
    <row r="532" ht="15.75" customHeight="1" s="254"/>
    <row r="533" ht="15.75" customHeight="1" s="254"/>
    <row r="534" ht="15.75" customHeight="1" s="254"/>
    <row r="535" ht="15.75" customHeight="1" s="254"/>
    <row r="536" ht="15.75" customHeight="1" s="254"/>
    <row r="537" ht="15.75" customHeight="1" s="254"/>
    <row r="538" ht="15.75" customHeight="1" s="254"/>
    <row r="539" ht="15.75" customHeight="1" s="254"/>
    <row r="540" ht="15.75" customHeight="1" s="254"/>
    <row r="541" ht="15.75" customHeight="1" s="254"/>
    <row r="542" ht="15.75" customHeight="1" s="254"/>
    <row r="543" ht="15.75" customHeight="1" s="254"/>
    <row r="544" ht="15.75" customHeight="1" s="254"/>
    <row r="545" ht="15.75" customHeight="1" s="254"/>
    <row r="546" ht="15.75" customHeight="1" s="254"/>
    <row r="547" ht="15.75" customHeight="1" s="254"/>
    <row r="548" ht="15.75" customHeight="1" s="254"/>
    <row r="549" ht="15.75" customHeight="1" s="254"/>
    <row r="550" ht="15.75" customHeight="1" s="254"/>
    <row r="551" ht="15.75" customHeight="1" s="254"/>
    <row r="552" ht="15.75" customHeight="1" s="254"/>
    <row r="553" ht="15.75" customHeight="1" s="254"/>
    <row r="554" ht="15.75" customHeight="1" s="254"/>
    <row r="555" ht="15.75" customHeight="1" s="254"/>
    <row r="556" ht="15.75" customHeight="1" s="254"/>
    <row r="557" ht="15.75" customHeight="1" s="254"/>
    <row r="558" ht="15.75" customHeight="1" s="254"/>
    <row r="559" ht="15.75" customHeight="1" s="254"/>
    <row r="560" ht="15.75" customHeight="1" s="254"/>
    <row r="561" ht="15.75" customHeight="1" s="254"/>
    <row r="562" ht="15.75" customHeight="1" s="254"/>
    <row r="563" ht="15.75" customHeight="1" s="254"/>
    <row r="564" ht="15.75" customHeight="1" s="254"/>
    <row r="565" ht="15.75" customHeight="1" s="254"/>
    <row r="566" ht="15.75" customHeight="1" s="254"/>
    <row r="567" ht="15.75" customHeight="1" s="254"/>
    <row r="568" ht="15.75" customHeight="1" s="254"/>
    <row r="569" ht="15.75" customHeight="1" s="254"/>
    <row r="570" ht="15.75" customHeight="1" s="254"/>
    <row r="571" ht="15.75" customHeight="1" s="254"/>
    <row r="572" ht="15.75" customHeight="1" s="254"/>
    <row r="573" ht="15.75" customHeight="1" s="254"/>
    <row r="574" ht="15.75" customHeight="1" s="254"/>
    <row r="575" ht="15.75" customHeight="1" s="254"/>
    <row r="576" ht="15.75" customHeight="1" s="254"/>
    <row r="577" ht="15.75" customHeight="1" s="254"/>
    <row r="578" ht="15.75" customHeight="1" s="254"/>
    <row r="579" ht="15.75" customHeight="1" s="254"/>
    <row r="580" ht="15.75" customHeight="1" s="254"/>
    <row r="581" ht="15.75" customHeight="1" s="254"/>
    <row r="582" ht="15.75" customHeight="1" s="254"/>
    <row r="583" ht="15.75" customHeight="1" s="254"/>
    <row r="584" ht="15.75" customHeight="1" s="254"/>
    <row r="585" ht="15.75" customHeight="1" s="254"/>
    <row r="586" ht="15.75" customHeight="1" s="254"/>
    <row r="587" ht="15.75" customHeight="1" s="254"/>
    <row r="588" ht="15.75" customHeight="1" s="254"/>
    <row r="589" ht="15.75" customHeight="1" s="254"/>
    <row r="590" ht="15.75" customHeight="1" s="254"/>
    <row r="591" ht="15.75" customHeight="1" s="254"/>
    <row r="592" ht="15.75" customHeight="1" s="254"/>
    <row r="593" ht="15.75" customHeight="1" s="254"/>
    <row r="594" ht="15.75" customHeight="1" s="254"/>
    <row r="595" ht="15.75" customHeight="1" s="254"/>
    <row r="596" ht="15.75" customHeight="1" s="254"/>
    <row r="597" ht="15.75" customHeight="1" s="254"/>
    <row r="598" ht="15.75" customHeight="1" s="254"/>
    <row r="599" ht="15.75" customHeight="1" s="254"/>
    <row r="600" ht="15.75" customHeight="1" s="254"/>
    <row r="601" ht="15.75" customHeight="1" s="254"/>
    <row r="602" ht="15.75" customHeight="1" s="254"/>
    <row r="603" ht="15.75" customHeight="1" s="254"/>
    <row r="604" ht="15.75" customHeight="1" s="254"/>
    <row r="605" ht="15.75" customHeight="1" s="254"/>
    <row r="606" ht="15.75" customHeight="1" s="254"/>
    <row r="607" ht="15.75" customHeight="1" s="254"/>
    <row r="608" ht="15.75" customHeight="1" s="254"/>
    <row r="609" ht="15.75" customHeight="1" s="254"/>
    <row r="610" ht="15.75" customHeight="1" s="254"/>
    <row r="611" ht="15.75" customHeight="1" s="254"/>
    <row r="612" ht="15.75" customHeight="1" s="254"/>
    <row r="613" ht="15.75" customHeight="1" s="254"/>
    <row r="614" ht="15.75" customHeight="1" s="254"/>
    <row r="615" ht="15.75" customHeight="1" s="254"/>
    <row r="616" ht="15.75" customHeight="1" s="254"/>
    <row r="617" ht="15.75" customHeight="1" s="254"/>
    <row r="618" ht="15.75" customHeight="1" s="254"/>
    <row r="619" ht="15.75" customHeight="1" s="254"/>
    <row r="620" ht="15.75" customHeight="1" s="254"/>
    <row r="621" ht="15.75" customHeight="1" s="254"/>
    <row r="622" ht="15.75" customHeight="1" s="254"/>
    <row r="623" ht="15.75" customHeight="1" s="254"/>
    <row r="624" ht="15.75" customHeight="1" s="254"/>
    <row r="625" ht="15.75" customHeight="1" s="254"/>
    <row r="626" ht="15.75" customHeight="1" s="254"/>
    <row r="627" ht="15.75" customHeight="1" s="254"/>
    <row r="628" ht="15.75" customHeight="1" s="254"/>
    <row r="629" ht="15.75" customHeight="1" s="254"/>
    <row r="630" ht="15.75" customHeight="1" s="254"/>
    <row r="631" ht="15.75" customHeight="1" s="254"/>
    <row r="632" ht="15.75" customHeight="1" s="254"/>
    <row r="633" ht="15.75" customHeight="1" s="254"/>
    <row r="634" ht="15.75" customHeight="1" s="254"/>
    <row r="635" ht="15.75" customHeight="1" s="254"/>
    <row r="636" ht="15.75" customHeight="1" s="254"/>
    <row r="637" ht="15.75" customHeight="1" s="254"/>
    <row r="638" ht="15.75" customHeight="1" s="254"/>
    <row r="639" ht="15.75" customHeight="1" s="254"/>
    <row r="640" ht="15.75" customHeight="1" s="254"/>
    <row r="641" ht="15.75" customHeight="1" s="254"/>
    <row r="642" ht="15.75" customHeight="1" s="254"/>
    <row r="643" ht="15.75" customHeight="1" s="254"/>
    <row r="644" ht="15.75" customHeight="1" s="254"/>
    <row r="645" ht="15.75" customHeight="1" s="254"/>
    <row r="646" ht="15.75" customHeight="1" s="254"/>
    <row r="647" ht="15.75" customHeight="1" s="254"/>
    <row r="648" ht="15.75" customHeight="1" s="254"/>
    <row r="649" ht="15.75" customHeight="1" s="254"/>
    <row r="650" ht="15.75" customHeight="1" s="254"/>
    <row r="651" ht="15.75" customHeight="1" s="254"/>
    <row r="652" ht="15.75" customHeight="1" s="254"/>
    <row r="653" ht="15.75" customHeight="1" s="254"/>
    <row r="654" ht="15.75" customHeight="1" s="254"/>
    <row r="655" ht="15.75" customHeight="1" s="254"/>
    <row r="656" ht="15.75" customHeight="1" s="254"/>
    <row r="657" ht="15.75" customHeight="1" s="254"/>
    <row r="658" ht="15.75" customHeight="1" s="254"/>
    <row r="659" ht="15.75" customHeight="1" s="254"/>
    <row r="660" ht="15.75" customHeight="1" s="254"/>
    <row r="661" ht="15.75" customHeight="1" s="254"/>
    <row r="662" ht="15.75" customHeight="1" s="254"/>
    <row r="663" ht="15.75" customHeight="1" s="254"/>
    <row r="664" ht="15.75" customHeight="1" s="254"/>
    <row r="665" ht="15.75" customHeight="1" s="254"/>
    <row r="666" ht="15.75" customHeight="1" s="254"/>
    <row r="667" ht="15.75" customHeight="1" s="254"/>
    <row r="668" ht="15.75" customHeight="1" s="254"/>
    <row r="669" ht="15.75" customHeight="1" s="254"/>
    <row r="670" ht="15.75" customHeight="1" s="254"/>
    <row r="671" ht="15.75" customHeight="1" s="254"/>
    <row r="672" ht="15.75" customHeight="1" s="254"/>
    <row r="673" ht="15.75" customHeight="1" s="254"/>
    <row r="674" ht="15.75" customHeight="1" s="254"/>
    <row r="675" ht="15.75" customHeight="1" s="254"/>
    <row r="676" ht="15.75" customHeight="1" s="254"/>
    <row r="677" ht="15.75" customHeight="1" s="254"/>
    <row r="678" ht="15.75" customHeight="1" s="254"/>
    <row r="679" ht="15.75" customHeight="1" s="254"/>
    <row r="680" ht="15.75" customHeight="1" s="254"/>
    <row r="681" ht="15.75" customHeight="1" s="254"/>
    <row r="682" ht="15.75" customHeight="1" s="254"/>
    <row r="683" ht="15.75" customHeight="1" s="254"/>
    <row r="684" ht="15.75" customHeight="1" s="254"/>
    <row r="685" ht="15.75" customHeight="1" s="254"/>
    <row r="686" ht="15.75" customHeight="1" s="254"/>
    <row r="687" ht="15.75" customHeight="1" s="254"/>
    <row r="688" ht="15.75" customHeight="1" s="254"/>
    <row r="689" ht="15.75" customHeight="1" s="254"/>
    <row r="690" ht="15.75" customHeight="1" s="254"/>
    <row r="691" ht="15.75" customHeight="1" s="254"/>
    <row r="692" ht="15.75" customHeight="1" s="254"/>
    <row r="693" ht="15.75" customHeight="1" s="254"/>
    <row r="694" ht="15.75" customHeight="1" s="254"/>
    <row r="695" ht="15.75" customHeight="1" s="254"/>
    <row r="696" ht="15.75" customHeight="1" s="254"/>
    <row r="697" ht="15.75" customHeight="1" s="254"/>
    <row r="698" ht="15.75" customHeight="1" s="254"/>
    <row r="699" ht="15.75" customHeight="1" s="254"/>
    <row r="700" ht="15.75" customHeight="1" s="254"/>
    <row r="701" ht="15.75" customHeight="1" s="254"/>
    <row r="702" ht="15.75" customHeight="1" s="254"/>
    <row r="703" ht="15.75" customHeight="1" s="254"/>
    <row r="704" ht="15.75" customHeight="1" s="254"/>
    <row r="705" ht="15.75" customHeight="1" s="254"/>
    <row r="706" ht="15.75" customHeight="1" s="254"/>
    <row r="707" ht="15.75" customHeight="1" s="254"/>
    <row r="708" ht="15.75" customHeight="1" s="254"/>
    <row r="709" ht="15.75" customHeight="1" s="254"/>
    <row r="710" ht="15.75" customHeight="1" s="254"/>
    <row r="711" ht="15.75" customHeight="1" s="254"/>
    <row r="712" ht="15.75" customHeight="1" s="254"/>
    <row r="713" ht="15.75" customHeight="1" s="254"/>
    <row r="714" ht="15.75" customHeight="1" s="254"/>
    <row r="715" ht="15.75" customHeight="1" s="254"/>
    <row r="716" ht="15.75" customHeight="1" s="254"/>
    <row r="717" ht="15.75" customHeight="1" s="254"/>
    <row r="718" ht="15.75" customHeight="1" s="254"/>
    <row r="719" ht="15.75" customHeight="1" s="254"/>
    <row r="720" ht="15.75" customHeight="1" s="254"/>
    <row r="721" ht="15.75" customHeight="1" s="254"/>
    <row r="722" ht="15.75" customHeight="1" s="254"/>
    <row r="723" ht="15.75" customHeight="1" s="254"/>
    <row r="724" ht="15.75" customHeight="1" s="254"/>
    <row r="725" ht="15.75" customHeight="1" s="254"/>
    <row r="726" ht="15.75" customHeight="1" s="254"/>
    <row r="727" ht="15.75" customHeight="1" s="254"/>
    <row r="728" ht="15.75" customHeight="1" s="254"/>
    <row r="729" ht="15.75" customHeight="1" s="254"/>
    <row r="730" ht="15.75" customHeight="1" s="254"/>
    <row r="731" ht="15.75" customHeight="1" s="254"/>
    <row r="732" ht="15.75" customHeight="1" s="254"/>
    <row r="733" ht="15.75" customHeight="1" s="254"/>
    <row r="734" ht="15.75" customHeight="1" s="254"/>
    <row r="735" ht="15.75" customHeight="1" s="254"/>
    <row r="736" ht="15.75" customHeight="1" s="254"/>
    <row r="737" ht="15.75" customHeight="1" s="254"/>
    <row r="738" ht="15.75" customHeight="1" s="254"/>
    <row r="739" ht="15.75" customHeight="1" s="254"/>
    <row r="740" ht="15.75" customHeight="1" s="254"/>
    <row r="741" ht="15.75" customHeight="1" s="254"/>
    <row r="742" ht="15.75" customHeight="1" s="254"/>
    <row r="743" ht="15.75" customHeight="1" s="254"/>
    <row r="744" ht="15.75" customHeight="1" s="254"/>
    <row r="745" ht="15.75" customHeight="1" s="254"/>
    <row r="746" ht="15.75" customHeight="1" s="254"/>
    <row r="747" ht="15.75" customHeight="1" s="254"/>
    <row r="748" ht="15.75" customHeight="1" s="254"/>
    <row r="749" ht="15.75" customHeight="1" s="254"/>
    <row r="750" ht="15.75" customHeight="1" s="254"/>
    <row r="751" ht="15.75" customHeight="1" s="254"/>
    <row r="752" ht="15.75" customHeight="1" s="254"/>
    <row r="753" ht="15.75" customHeight="1" s="254"/>
    <row r="754" ht="15.75" customHeight="1" s="254"/>
    <row r="755" ht="15.75" customHeight="1" s="254"/>
    <row r="756" ht="15.75" customHeight="1" s="254"/>
    <row r="757" ht="15.75" customHeight="1" s="254"/>
    <row r="758" ht="15.75" customHeight="1" s="254"/>
    <row r="759" ht="15.75" customHeight="1" s="254"/>
    <row r="760" ht="15.75" customHeight="1" s="254"/>
    <row r="761" ht="15.75" customHeight="1" s="254"/>
    <row r="762" ht="15.75" customHeight="1" s="254"/>
    <row r="763" ht="15.75" customHeight="1" s="254"/>
    <row r="764" ht="15.75" customHeight="1" s="254"/>
    <row r="765" ht="15.75" customHeight="1" s="254"/>
    <row r="766" ht="15.75" customHeight="1" s="254"/>
    <row r="767" ht="15.75" customHeight="1" s="254"/>
    <row r="768" ht="15.75" customHeight="1" s="254"/>
    <row r="769" ht="15.75" customHeight="1" s="254"/>
    <row r="770" ht="15.75" customHeight="1" s="254"/>
    <row r="771" ht="15.75" customHeight="1" s="254"/>
    <row r="772" ht="15.75" customHeight="1" s="254"/>
    <row r="773" ht="15.75" customHeight="1" s="254"/>
    <row r="774" ht="15.75" customHeight="1" s="254"/>
    <row r="775" ht="15.75" customHeight="1" s="254"/>
    <row r="776" ht="15.75" customHeight="1" s="254"/>
    <row r="777" ht="15.75" customHeight="1" s="254"/>
    <row r="778" ht="15.75" customHeight="1" s="254"/>
    <row r="779" ht="15.75" customHeight="1" s="254"/>
    <row r="780" ht="15.75" customHeight="1" s="254"/>
    <row r="781" ht="15.75" customHeight="1" s="254"/>
    <row r="782" ht="15.75" customHeight="1" s="254"/>
    <row r="783" ht="15.75" customHeight="1" s="254"/>
    <row r="784" ht="15.75" customHeight="1" s="254"/>
    <row r="785" ht="15.75" customHeight="1" s="254"/>
    <row r="786" ht="15.75" customHeight="1" s="254"/>
    <row r="787" ht="15.75" customHeight="1" s="254"/>
    <row r="788" ht="15.75" customHeight="1" s="254"/>
    <row r="789" ht="15.75" customHeight="1" s="254"/>
    <row r="790" ht="15.75" customHeight="1" s="254"/>
    <row r="791" ht="15.75" customHeight="1" s="254"/>
    <row r="792" ht="15.75" customHeight="1" s="254"/>
    <row r="793" ht="15.75" customHeight="1" s="254"/>
    <row r="794" ht="15.75" customHeight="1" s="254"/>
    <row r="795" ht="15.75" customHeight="1" s="254"/>
    <row r="796" ht="15.75" customHeight="1" s="254"/>
    <row r="797" ht="15.75" customHeight="1" s="254"/>
    <row r="798" ht="15.75" customHeight="1" s="254"/>
    <row r="799" ht="15.75" customHeight="1" s="254"/>
    <row r="800" ht="15.75" customHeight="1" s="254"/>
    <row r="801" ht="15.75" customHeight="1" s="254"/>
    <row r="802" ht="15.75" customHeight="1" s="254"/>
    <row r="803" ht="15.75" customHeight="1" s="254"/>
    <row r="804" ht="15.75" customHeight="1" s="254"/>
    <row r="805" ht="15.75" customHeight="1" s="254"/>
    <row r="806" ht="15.75" customHeight="1" s="254"/>
    <row r="807" ht="15.75" customHeight="1" s="254"/>
    <row r="808" ht="15.75" customHeight="1" s="254"/>
    <row r="809" ht="15.75" customHeight="1" s="254"/>
    <row r="810" ht="15.75" customHeight="1" s="254"/>
    <row r="811" ht="15.75" customHeight="1" s="254"/>
    <row r="812" ht="15.75" customHeight="1" s="254"/>
    <row r="813" ht="15.75" customHeight="1" s="254"/>
    <row r="814" ht="15.75" customHeight="1" s="254"/>
    <row r="815" ht="15.75" customHeight="1" s="254"/>
    <row r="816" ht="15.75" customHeight="1" s="254"/>
    <row r="817" ht="15.75" customHeight="1" s="254"/>
    <row r="818" ht="15.75" customHeight="1" s="254"/>
    <row r="819" ht="15.75" customHeight="1" s="254"/>
    <row r="820" ht="15.75" customHeight="1" s="254"/>
    <row r="821" ht="15.75" customHeight="1" s="254"/>
    <row r="822" ht="15.75" customHeight="1" s="254"/>
    <row r="823" ht="15.75" customHeight="1" s="254"/>
    <row r="824" ht="15.75" customHeight="1" s="254"/>
    <row r="825" ht="15.75" customHeight="1" s="254"/>
    <row r="826" ht="15.75" customHeight="1" s="254"/>
    <row r="827" ht="15.75" customHeight="1" s="254"/>
    <row r="828" ht="15.75" customHeight="1" s="254"/>
    <row r="829" ht="15.75" customHeight="1" s="254"/>
    <row r="830" ht="15.75" customHeight="1" s="254"/>
    <row r="831" ht="15.75" customHeight="1" s="254"/>
    <row r="832" ht="15.75" customHeight="1" s="254"/>
    <row r="833" ht="15.75" customHeight="1" s="254"/>
    <row r="834" ht="15.75" customHeight="1" s="254"/>
    <row r="835" ht="15.75" customHeight="1" s="254"/>
    <row r="836" ht="15.75" customHeight="1" s="254"/>
    <row r="837" ht="15.75" customHeight="1" s="254"/>
    <row r="838" ht="15.75" customHeight="1" s="254"/>
    <row r="839" ht="15.75" customHeight="1" s="254"/>
    <row r="840" ht="15.75" customHeight="1" s="254"/>
    <row r="841" ht="15.75" customHeight="1" s="254"/>
    <row r="842" ht="15.75" customHeight="1" s="254"/>
    <row r="843" ht="15.75" customHeight="1" s="254"/>
    <row r="844" ht="15.75" customHeight="1" s="254"/>
    <row r="845" ht="15.75" customHeight="1" s="254"/>
    <row r="846" ht="15.75" customHeight="1" s="254"/>
    <row r="847" ht="15.75" customHeight="1" s="254"/>
    <row r="848" ht="15.75" customHeight="1" s="254"/>
    <row r="849" ht="15.75" customHeight="1" s="254"/>
    <row r="850" ht="15.75" customHeight="1" s="254"/>
    <row r="851" ht="15.75" customHeight="1" s="254"/>
    <row r="852" ht="15.75" customHeight="1" s="254"/>
    <row r="853" ht="15.75" customHeight="1" s="254"/>
    <row r="854" ht="15.75" customHeight="1" s="254"/>
    <row r="855" ht="15.75" customHeight="1" s="254"/>
    <row r="856" ht="15.75" customHeight="1" s="254"/>
    <row r="857" ht="15.75" customHeight="1" s="254"/>
    <row r="858" ht="15.75" customHeight="1" s="254"/>
    <row r="859" ht="15.75" customHeight="1" s="254"/>
    <row r="860" ht="15.75" customHeight="1" s="254"/>
    <row r="861" ht="15.75" customHeight="1" s="254"/>
    <row r="862" ht="15.75" customHeight="1" s="254"/>
    <row r="863" ht="15.75" customHeight="1" s="254"/>
    <row r="864" ht="15.75" customHeight="1" s="254"/>
    <row r="865" ht="15.75" customHeight="1" s="254"/>
    <row r="866" ht="15.75" customHeight="1" s="254"/>
    <row r="867" ht="15.75" customHeight="1" s="254"/>
    <row r="868" ht="15.75" customHeight="1" s="254"/>
    <row r="869" ht="15.75" customHeight="1" s="254"/>
    <row r="870" ht="15.75" customHeight="1" s="254"/>
    <row r="871" ht="15.75" customHeight="1" s="254"/>
    <row r="872" ht="15.75" customHeight="1" s="254"/>
    <row r="873" ht="15.75" customHeight="1" s="254"/>
    <row r="874" ht="15.75" customHeight="1" s="254"/>
    <row r="875" ht="15.75" customHeight="1" s="254"/>
    <row r="876" ht="15.75" customHeight="1" s="254"/>
    <row r="877" ht="15.75" customHeight="1" s="254"/>
    <row r="878" ht="15.75" customHeight="1" s="254"/>
    <row r="879" ht="15.75" customHeight="1" s="254"/>
    <row r="880" ht="15.75" customHeight="1" s="254"/>
    <row r="881" ht="15.75" customHeight="1" s="254"/>
    <row r="882" ht="15.75" customHeight="1" s="254"/>
    <row r="883" ht="15.75" customHeight="1" s="254"/>
    <row r="884" ht="15.75" customHeight="1" s="254"/>
    <row r="885" ht="15.75" customHeight="1" s="254"/>
    <row r="886" ht="15.75" customHeight="1" s="254"/>
    <row r="887" ht="15.75" customHeight="1" s="254"/>
    <row r="888" ht="15.75" customHeight="1" s="254"/>
    <row r="889" ht="15.75" customHeight="1" s="254"/>
    <row r="890" ht="15.75" customHeight="1" s="254"/>
    <row r="891" ht="15.75" customHeight="1" s="254"/>
    <row r="892" ht="15.75" customHeight="1" s="254"/>
    <row r="893" ht="15.75" customHeight="1" s="254"/>
    <row r="894" ht="15.75" customHeight="1" s="254"/>
    <row r="895" ht="15.75" customHeight="1" s="254"/>
    <row r="896" ht="15.75" customHeight="1" s="254"/>
    <row r="897" ht="15.75" customHeight="1" s="254"/>
    <row r="898" ht="15.75" customHeight="1" s="254"/>
    <row r="899" ht="15.75" customHeight="1" s="254"/>
    <row r="900" ht="15.75" customHeight="1" s="254"/>
    <row r="901" ht="15.75" customHeight="1" s="254"/>
    <row r="902" ht="15.75" customHeight="1" s="254"/>
    <row r="903" ht="15.75" customHeight="1" s="254"/>
    <row r="904" ht="15.75" customHeight="1" s="254"/>
    <row r="905" ht="15.75" customHeight="1" s="254"/>
    <row r="906" ht="15.75" customHeight="1" s="254"/>
    <row r="907" ht="15.75" customHeight="1" s="254"/>
    <row r="908" ht="15.75" customHeight="1" s="254"/>
    <row r="909" ht="15.75" customHeight="1" s="254"/>
    <row r="910" ht="15.75" customHeight="1" s="254"/>
    <row r="911" ht="15.75" customHeight="1" s="254"/>
    <row r="912" ht="15.75" customHeight="1" s="254"/>
    <row r="913" ht="15.75" customHeight="1" s="254"/>
    <row r="914" ht="15.75" customHeight="1" s="254"/>
    <row r="915" ht="15.75" customHeight="1" s="254"/>
    <row r="916" ht="15.75" customHeight="1" s="254"/>
    <row r="917" ht="15.75" customHeight="1" s="254"/>
    <row r="918" ht="15.75" customHeight="1" s="254"/>
    <row r="919" ht="15.75" customHeight="1" s="254"/>
    <row r="920" ht="15.75" customHeight="1" s="254"/>
    <row r="921" ht="15.75" customHeight="1" s="254"/>
    <row r="922" ht="15.75" customHeight="1" s="254"/>
    <row r="923" ht="15.75" customHeight="1" s="254"/>
    <row r="924" ht="15.75" customHeight="1" s="254"/>
    <row r="925" ht="15.75" customHeight="1" s="254"/>
    <row r="926" ht="15.75" customHeight="1" s="254"/>
    <row r="927" ht="15.75" customHeight="1" s="254"/>
    <row r="928" ht="15.75" customHeight="1" s="254"/>
    <row r="929" ht="15.75" customHeight="1" s="254"/>
    <row r="930" ht="15.75" customHeight="1" s="254"/>
    <row r="931" ht="15.75" customHeight="1" s="254"/>
    <row r="932" ht="15.75" customHeight="1" s="254"/>
    <row r="933" ht="15.75" customHeight="1" s="254"/>
    <row r="934" ht="15.75" customHeight="1" s="254"/>
    <row r="935" ht="15.75" customHeight="1" s="254"/>
    <row r="936" ht="15.75" customHeight="1" s="254"/>
    <row r="937" ht="15.75" customHeight="1" s="254"/>
    <row r="938" ht="15.75" customHeight="1" s="254"/>
    <row r="939" ht="15.75" customHeight="1" s="254"/>
    <row r="940" ht="15.75" customHeight="1" s="254"/>
    <row r="941" ht="15.75" customHeight="1" s="254"/>
    <row r="942" ht="15.75" customHeight="1" s="254"/>
    <row r="943" ht="15.75" customHeight="1" s="254"/>
    <row r="944" ht="15.75" customHeight="1" s="254"/>
    <row r="945" ht="15.75" customHeight="1" s="254"/>
    <row r="946" ht="15.75" customHeight="1" s="254"/>
    <row r="947" ht="15.75" customHeight="1" s="254"/>
    <row r="948" ht="15.75" customHeight="1" s="254"/>
    <row r="949" ht="15.75" customHeight="1" s="254"/>
    <row r="950" ht="15.75" customHeight="1" s="254"/>
    <row r="951" ht="15.75" customHeight="1" s="254"/>
    <row r="952" ht="15.75" customHeight="1" s="254"/>
    <row r="953" ht="15.75" customHeight="1" s="254"/>
    <row r="954" ht="15.75" customHeight="1" s="254"/>
    <row r="955" ht="15.75" customHeight="1" s="254"/>
    <row r="956" ht="15.75" customHeight="1" s="254"/>
    <row r="957" ht="15.75" customHeight="1" s="254"/>
    <row r="958" ht="15.75" customHeight="1" s="254"/>
    <row r="959" ht="15.75" customHeight="1" s="254"/>
    <row r="960" ht="15.75" customHeight="1" s="254"/>
    <row r="961" ht="15.75" customHeight="1" s="254"/>
    <row r="962" ht="15.75" customHeight="1" s="254"/>
    <row r="963" ht="15.75" customHeight="1" s="254"/>
    <row r="964" ht="15.75" customHeight="1" s="254"/>
    <row r="965" ht="15.75" customHeight="1" s="254"/>
    <row r="966" ht="15.75" customHeight="1" s="254"/>
    <row r="967" ht="15.75" customHeight="1" s="254"/>
    <row r="968" ht="15.75" customHeight="1" s="254"/>
    <row r="969" ht="15.75" customHeight="1" s="254"/>
    <row r="970" ht="15.75" customHeight="1" s="254"/>
    <row r="971" ht="15.75" customHeight="1" s="254"/>
    <row r="972" ht="15.75" customHeight="1" s="254"/>
    <row r="973" ht="15.75" customHeight="1" s="254"/>
    <row r="974" ht="15.75" customHeight="1" s="254"/>
    <row r="975" ht="15.75" customHeight="1" s="254"/>
    <row r="976" ht="15.75" customHeight="1" s="254"/>
    <row r="977" ht="15.75" customHeight="1" s="254"/>
    <row r="978" ht="15.75" customHeight="1" s="254"/>
    <row r="979" ht="15.75" customHeight="1" s="254"/>
    <row r="980" ht="15.75" customHeight="1" s="254"/>
    <row r="981" ht="15.75" customHeight="1" s="254"/>
    <row r="982" ht="15.75" customHeight="1" s="254"/>
    <row r="983" ht="15.75" customHeight="1" s="254"/>
    <row r="984" ht="15.75" customHeight="1" s="254"/>
    <row r="985" ht="15.75" customHeight="1" s="254"/>
    <row r="986" ht="15.75" customHeight="1" s="254"/>
    <row r="987" ht="15.75" customHeight="1" s="254"/>
    <row r="988" ht="15.75" customHeight="1" s="254"/>
    <row r="989" ht="15.75" customHeight="1" s="254"/>
    <row r="990" ht="15.75" customHeight="1" s="254"/>
    <row r="991" ht="15.75" customHeight="1" s="254"/>
    <row r="992" ht="15.75" customHeight="1" s="254"/>
    <row r="993" ht="15.75" customHeight="1" s="254"/>
    <row r="994" ht="15.75" customHeight="1" s="254"/>
    <row r="995" ht="15.75" customHeight="1" s="254"/>
    <row r="996" ht="15.75" customHeight="1" s="254"/>
    <row r="997" ht="15.75" customHeight="1" s="254"/>
    <row r="998" ht="15.75" customHeight="1" s="254"/>
    <row r="999" ht="15.75" customHeight="1" s="254"/>
    <row r="1000" ht="15.75" customHeight="1" s="254"/>
  </sheetData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2026-09-24T17:28:34Z</dcterms:created>
  <dcterms:modified xsi:type="dcterms:W3CDTF">2026-09-24T17:28:38Z</dcterms:modified>
</cp:coreProperties>
</file>