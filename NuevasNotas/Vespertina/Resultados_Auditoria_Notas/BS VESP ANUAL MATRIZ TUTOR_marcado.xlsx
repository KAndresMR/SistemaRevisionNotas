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DISCREPANCIAS" sheetId="1" state="visible" r:id="rId1"/>
    <sheet name="octavo A" sheetId="2" state="visible" r:id="rId2"/>
    <sheet name="octavo B" sheetId="3" state="visible" r:id="rId3"/>
    <sheet name="noveno A" sheetId="4" state="visible" r:id="rId4"/>
    <sheet name="noveno B" sheetId="5" state="visible" r:id="rId5"/>
    <sheet name="décimo A" sheetId="6" state="visible" r:id="rId6"/>
    <sheet name="décimo B" sheetId="7" state="visible" r:id="rId7"/>
    <sheet name="Hoja 2" sheetId="8" state="visible" r:id="rId8"/>
    <sheet name="ESCALA EVALUACION" sheetId="9" state="hidden" r:id="rId9"/>
    <sheet name="Hoja1" sheetId="10" state="hidden" r:id="rId10"/>
  </sheets>
  <externalReferences>
    <externalReference r:id="rId11"/>
  </externalReferences>
  <definedNames>
    <definedName name="DECIMO_A_MAT">[1]LISTADOS!$M$3:$N$42</definedName>
    <definedName name="DECIMO_A_VESP">[1]LISTADOS!$M$56:$N$90</definedName>
    <definedName name="DECIMO_B_MAT">[1]LISTADOS!$P$3:$Q$42</definedName>
    <definedName name="DECIMO_B_VESP">[1]LISTADOS!$P$56:$Q$90</definedName>
    <definedName name="NOVENO_A_MAT">[1]LISTADOS!$G$3:$H$42</definedName>
    <definedName name="NOVENO_A_VESP">[1]LISTADOS!$G$56:$H$94</definedName>
    <definedName name="NOVENO_B_MAT">[1]LISTADOS!$J$3:$K$42</definedName>
    <definedName name="NOVENO_B_VESP">[1]LISTADOS!$J$56:$K$95</definedName>
    <definedName name="OCTAVO_A_MAT">[1]LISTADOS!$A$3:$B$43</definedName>
    <definedName name="OCTAVO_A_VESP">[1]LISTADOS!$A$56:$B$97</definedName>
    <definedName name="OCTAVO_B_MAT">[1]LISTADOS!$D$3:$E$42</definedName>
    <definedName name="OCTAVO_B_VESP">[1]LISTADOS!$D$56:$E$96</definedName>
    <definedName name="QUINTO_A_MAT">[1]LISTADOS!$A$101:$B$145</definedName>
    <definedName name="QUINTO_B_MAT">[1]LISTADOS!$D$101:$E$145</definedName>
    <definedName name="SÉPTIMO_A_MAT">[1]LISTADOS!$M$101:$N$145</definedName>
    <definedName name="SEPTIMO_B_MAT">[1]LISTADOS!$P$101:$Q$145</definedName>
    <definedName name="SEXTO_A_MAT">[1]LISTADOS!$G$101:$H$145</definedName>
    <definedName name="SEXTO_B_MAT">[1]LISTADOS!$J$101:$K$145</definedName>
    <definedName name="QUINTO_B_MATU">#REF!</definedName>
    <definedName name="SEXTO_B_VES">#REF!</definedName>
    <definedName name="SEXTO_A_VES">#REF!</definedName>
    <definedName name="SEPTIMO_B_VES">#REF!</definedName>
    <definedName name="INFORME_2">#REF!</definedName>
    <definedName name="DECIMO_A_VES">#REF!</definedName>
    <definedName name="MATRIZ_COMPORTAMENTAL">'ESCALA EVALUACION'!$B$2:$C$11</definedName>
    <definedName name="DESCRIPCION_OV_AL">Hoja1!$D$4:$E$13</definedName>
    <definedName name="ESCALA_CUALITATIVA_SUPERIOR">#REF!</definedName>
    <definedName name="DÉCIMO_B_MATU">#REF!</definedName>
    <definedName name="SEPTIMO_A_VES">#REF!</definedName>
    <definedName name="OCTAVO_B_MATU">#REF!</definedName>
    <definedName name="INFORME_DE_PRENDIZAJES_DEL_SEGUNDO_TRIMESTRE">#REF!</definedName>
    <definedName name="OCTAVO_A_VES">#REF!</definedName>
    <definedName name="DÉCIMO_A_MATU">#REF!</definedName>
    <definedName name="CUALITATIVA_ECA">'noveno A'!$AD$6:$AE$13</definedName>
    <definedName name="NOVENO_A_VES">#REF!</definedName>
    <definedName name="SEXTO_A_MATU">#REF!</definedName>
    <definedName name="OCTAVO_A_MATU">#REF!</definedName>
    <definedName name="MATRIZ_TUTOR_3">#REF!</definedName>
    <definedName name="CAI">#REF!</definedName>
    <definedName name="QUINTO_A_MATU">#REF!</definedName>
    <definedName name="MATRIZ_TUTOR_2">#REF!</definedName>
    <definedName name="QUINTO_A_VES">#REF!</definedName>
    <definedName name="MATRIZ_TUTOR_1">'décimo B'!$A$7:$O$40</definedName>
    <definedName name="SEXTO_B_MATU">#REF!</definedName>
    <definedName name="SEPTIMO_B_MATU">#REF!</definedName>
    <definedName name="QUINTO_B_VES">#REF!</definedName>
    <definedName name="OCTAVO_B_VES">#REF!</definedName>
    <definedName name="NOVENO_B_MATU">#REF!</definedName>
    <definedName name="NOVENO_A_MATU">#REF!</definedName>
    <definedName name="NOVENO_B_VES">#REF!</definedName>
    <definedName name="SEPTIMO_A_MATU">#REF!</definedName>
    <definedName name="DÉCIMO_B_VES">#REF!</definedName>
    <definedName name="_xlnm._FilterDatabase" localSheetId="0" hidden="1">'RESUMEN DISCREPANCIAS'!$A$1:$G$390</definedName>
    <definedName name="MATRIZ_TUTOR_1" localSheetId="1">'octavo A'!$A$7:$N$43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color rgb="FF000000"/>
      <sz val="11"/>
      <scheme val="minor"/>
    </font>
    <font>
      <name val="Calibri"/>
      <b val="1"/>
      <color rgb="FF000000"/>
      <sz val="14"/>
    </font>
    <font>
      <name val="Calibri"/>
      <b val="1"/>
      <color rgb="FF000000"/>
      <sz val="12"/>
    </font>
    <font>
      <name val="Calibri"/>
      <b val="1"/>
      <color rgb="FF000000"/>
      <sz val="10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8"/>
    </font>
    <font/>
    <font>
      <name val="Arial"/>
      <color rgb="FF000000"/>
      <sz val="7"/>
    </font>
    <font>
      <name val="Cambria"/>
      <color rgb="FF000000"/>
      <sz val="7"/>
    </font>
    <font>
      <name val="Calibri"/>
      <b val="1"/>
      <color rgb="FF000000"/>
      <sz val="8"/>
    </font>
    <font>
      <name val="Cambria"/>
      <color rgb="FF000000"/>
      <sz val="9"/>
    </font>
    <font>
      <name val="Roboto"/>
      <color rgb="FF000000"/>
      <sz val="9"/>
    </font>
    <font>
      <name val="SansSerif"/>
      <color rgb="FF000000"/>
      <sz val="10"/>
    </font>
    <font>
      <name val="Calibri"/>
      <color theme="1"/>
      <sz val="10"/>
    </font>
    <font>
      <name val="Calibri"/>
      <color rgb="FF000000"/>
      <sz val="10"/>
    </font>
    <font>
      <name val="Calibri"/>
      <color rgb="FF000000"/>
      <sz val="9"/>
    </font>
    <font>
      <name val="Calibri"/>
      <b val="1"/>
      <color theme="1"/>
      <sz val="10"/>
    </font>
    <font>
      <name val="&quot;Aptos Narrow&quot;"/>
      <color rgb="FF000000"/>
      <sz val="9"/>
    </font>
    <font>
      <name val="Cambria"/>
      <color rgb="FF000000"/>
      <sz val="10"/>
    </font>
    <font>
      <name val="Cambria"/>
      <color rgb="FF000000"/>
      <sz val="11"/>
    </font>
    <font>
      <name val="Calibri"/>
      <color rgb="FF000066"/>
      <sz val="10"/>
    </font>
    <font>
      <name val="&quot;Aptos Narrow&quot;"/>
      <color rgb="FF000000"/>
      <sz val="11"/>
    </font>
    <font>
      <name val="Cambria"/>
      <b val="1"/>
      <color rgb="FF0000CC"/>
      <sz val="9"/>
    </font>
    <font>
      <name val="Arial"/>
      <color rgb="FF000000"/>
      <sz val="10"/>
    </font>
    <font>
      <name val="Calibri"/>
      <color theme="1"/>
      <scheme val="minor"/>
    </font>
    <font>
      <name val="Cambria"/>
      <color theme="1"/>
      <sz val="11"/>
    </font>
    <font>
      <name val="Arial"/>
      <color rgb="FF000000"/>
      <sz val="9"/>
    </font>
    <font>
      <name val="Cambria"/>
      <b val="1"/>
      <color rgb="FF000000"/>
      <sz val="9"/>
    </font>
    <font>
      <name val="Calibri"/>
      <color rgb="FF000066"/>
      <sz val="9"/>
    </font>
    <font>
      <name val="Cambria"/>
      <color theme="1"/>
      <sz val="10"/>
    </font>
    <font>
      <name val="Arial"/>
      <color theme="1"/>
    </font>
    <font>
      <name val="Arial"/>
      <color theme="1"/>
      <sz val="11"/>
    </font>
    <font>
      <name val="Cambria"/>
      <color rgb="FF000066"/>
      <sz val="10"/>
    </font>
    <font>
      <name val="&quot;Aptos Narrow&quot;"/>
      <color rgb="FF000000"/>
      <sz val="10"/>
    </font>
    <font>
      <name val="Calibri"/>
      <color theme="1"/>
      <sz val="10"/>
      <scheme val="minor"/>
    </font>
    <font>
      <name val="Arial"/>
      <color rgb="FF000000"/>
      <sz val="8"/>
    </font>
    <font>
      <name val="Cambria"/>
      <color rgb="FFFF0000"/>
      <sz val="10"/>
    </font>
    <font>
      <name val="SansSerif"/>
      <color rgb="FF000000"/>
      <sz val="8"/>
    </font>
    <font>
      <name val="Arial"/>
      <b val="1"/>
      <color rgb="FF000000"/>
      <sz val="11"/>
    </font>
    <font>
      <b val="1"/>
      <color rgb="00FFFFFF"/>
    </font>
  </fonts>
  <fills count="39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FEBAF1"/>
        <bgColor rgb="FFFEBAF1"/>
      </patternFill>
    </fill>
    <fill>
      <patternFill patternType="solid">
        <fgColor rgb="FFF4B083"/>
        <bgColor rgb="FFF4B083"/>
      </patternFill>
    </fill>
    <fill>
      <patternFill patternType="solid">
        <fgColor rgb="FF99FFCC"/>
        <bgColor rgb="FF99FFCC"/>
      </patternFill>
    </fill>
    <fill>
      <patternFill patternType="solid">
        <fgColor rgb="FFD0CECE"/>
        <bgColor rgb="FFD0CECE"/>
      </patternFill>
    </fill>
    <fill>
      <patternFill patternType="solid">
        <fgColor rgb="FFF8FF9D"/>
        <bgColor rgb="FFF8FF9D"/>
      </patternFill>
    </fill>
    <fill>
      <patternFill patternType="solid">
        <fgColor rgb="FFA0FCF3"/>
        <bgColor rgb="FFA0FCF3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CFFFF"/>
        <bgColor rgb="FFCC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</fills>
  <borders count="33">
    <border/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  <bottom style="thin">
        <color rgb="FF0B304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</border>
    <border>
      <left style="hair">
        <color rgb="FF000000"/>
      </left>
      <right/>
      <top/>
      <bottom style="hair">
        <color rgb="FF000000"/>
      </bottom>
    </border>
    <border>
      <left style="thin">
        <color rgb="FF0B3040"/>
      </left>
      <right style="thin">
        <color rgb="FF0B3040"/>
      </right>
      <bottom style="thin">
        <color rgb="FF0B3040"/>
      </bottom>
    </border>
    <border>
      <left style="hair">
        <color rgb="FF000000"/>
      </left>
    </border>
    <border>
      <top style="hair">
        <color rgb="FF000000"/>
      </top>
    </border>
    <border>
      <left/>
      <top/>
      <bottom/>
    </border>
    <border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/>
    </border>
    <border>
      <right style="hair">
        <color rgb="FF000000"/>
      </right>
      <top style="hair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 wrapText="1"/>
    </xf>
    <xf numFmtId="0" fontId="8" fillId="0" borderId="0" applyAlignment="1" pivotButton="0" quotePrefix="0" xfId="0">
      <alignment vertical="center"/>
    </xf>
    <xf numFmtId="2" fontId="6" fillId="2" borderId="1" applyAlignment="1" pivotButton="0" quotePrefix="0" xfId="0">
      <alignment vertical="center"/>
    </xf>
    <xf numFmtId="2" fontId="6" fillId="2" borderId="2" applyAlignment="1" pivotButton="0" quotePrefix="0" xfId="0">
      <alignment vertical="center"/>
    </xf>
    <xf numFmtId="2" fontId="6" fillId="2" borderId="3" applyAlignment="1" pivotButton="0" quotePrefix="0" xfId="0">
      <alignment horizontal="center" vertical="center"/>
    </xf>
    <xf numFmtId="2" fontId="6" fillId="2" borderId="4" applyAlignment="1" pivotButton="0" quotePrefix="0" xfId="0">
      <alignment vertical="center"/>
    </xf>
    <xf numFmtId="2" fontId="6" fillId="2" borderId="5" applyAlignment="1" pivotButton="0" quotePrefix="0" xfId="0">
      <alignment horizontal="center" vertical="center"/>
    </xf>
    <xf numFmtId="2" fontId="9" fillId="3" borderId="6" applyAlignment="1" pivotButton="0" quotePrefix="0" xfId="0">
      <alignment horizontal="center" vertical="center" textRotation="90"/>
    </xf>
    <xf numFmtId="2" fontId="6" fillId="2" borderId="7" applyAlignment="1" pivotButton="0" quotePrefix="0" xfId="0">
      <alignment horizontal="center" vertical="center"/>
    </xf>
    <xf numFmtId="2" fontId="9" fillId="4" borderId="8" applyAlignment="1" pivotButton="0" quotePrefix="0" xfId="0">
      <alignment horizontal="center" vertical="center" textRotation="90"/>
    </xf>
    <xf numFmtId="0" fontId="10" fillId="0" borderId="9" applyAlignment="1" pivotButton="0" quotePrefix="0" xfId="0">
      <alignment vertical="center"/>
    </xf>
    <xf numFmtId="2" fontId="9" fillId="5" borderId="8" applyAlignment="1" pivotButton="0" quotePrefix="0" xfId="0">
      <alignment horizontal="center" vertical="center" textRotation="90"/>
    </xf>
    <xf numFmtId="2" fontId="9" fillId="3" borderId="8" applyAlignment="1" pivotButton="0" quotePrefix="0" xfId="0">
      <alignment horizontal="center" vertical="center" textRotation="90"/>
    </xf>
    <xf numFmtId="2" fontId="9" fillId="6" borderId="8" applyAlignment="1" pivotButton="0" quotePrefix="0" xfId="0">
      <alignment horizontal="center" vertical="center" textRotation="90"/>
    </xf>
    <xf numFmtId="2" fontId="9" fillId="5" borderId="10" applyAlignment="1" pivotButton="0" quotePrefix="0" xfId="0">
      <alignment horizontal="center" vertical="center" textRotation="90"/>
    </xf>
    <xf numFmtId="2" fontId="9" fillId="7" borderId="8" applyAlignment="1" pivotButton="0" quotePrefix="0" xfId="0">
      <alignment horizontal="center" vertical="center" textRotation="90"/>
    </xf>
    <xf numFmtId="2" fontId="11" fillId="8" borderId="4" applyAlignment="1" pivotButton="0" quotePrefix="0" xfId="0">
      <alignment horizontal="center" vertical="center" textRotation="90"/>
    </xf>
    <xf numFmtId="2" fontId="9" fillId="9" borderId="8" applyAlignment="1" pivotButton="0" quotePrefix="0" xfId="0">
      <alignment horizontal="center" vertical="center" textRotation="90"/>
    </xf>
    <xf numFmtId="2" fontId="9" fillId="10" borderId="8" applyAlignment="1" pivotButton="0" quotePrefix="0" xfId="0">
      <alignment horizontal="center" vertical="center" textRotation="90"/>
    </xf>
    <xf numFmtId="2" fontId="9" fillId="11" borderId="8" applyAlignment="1" pivotButton="0" quotePrefix="0" xfId="0">
      <alignment horizontal="center" vertical="center" textRotation="90"/>
    </xf>
    <xf numFmtId="2" fontId="12" fillId="12" borderId="11" applyAlignment="1" pivotButton="0" quotePrefix="0" xfId="0">
      <alignment horizontal="center" vertical="center" textRotation="90"/>
    </xf>
    <xf numFmtId="2" fontId="9" fillId="13" borderId="8" applyAlignment="1" pivotButton="0" quotePrefix="0" xfId="0">
      <alignment horizontal="center" vertical="center" textRotation="90"/>
    </xf>
    <xf numFmtId="2" fontId="9" fillId="14" borderId="8" applyAlignment="1" pivotButton="0" quotePrefix="0" xfId="0">
      <alignment horizontal="center" vertical="center" textRotation="90"/>
    </xf>
    <xf numFmtId="2" fontId="9" fillId="15" borderId="10" applyAlignment="1" pivotButton="0" quotePrefix="0" xfId="0">
      <alignment horizontal="center" vertical="center" textRotation="90"/>
    </xf>
    <xf numFmtId="2" fontId="9" fillId="16" borderId="4" applyAlignment="1" pivotButton="0" quotePrefix="0" xfId="0">
      <alignment horizontal="center" vertical="center" textRotation="90"/>
    </xf>
    <xf numFmtId="2" fontId="9" fillId="3" borderId="10" applyAlignment="1" pivotButton="0" quotePrefix="0" xfId="0">
      <alignment horizontal="center" vertical="center" textRotation="90"/>
    </xf>
    <xf numFmtId="2" fontId="9" fillId="17" borderId="12" applyAlignment="1" pivotButton="0" quotePrefix="0" xfId="0">
      <alignment horizontal="center" vertical="center" textRotation="90"/>
    </xf>
    <xf numFmtId="2" fontId="9" fillId="16" borderId="6" applyAlignment="1" pivotButton="0" quotePrefix="0" xfId="0">
      <alignment horizontal="center" vertical="center" textRotation="90"/>
    </xf>
    <xf numFmtId="2" fontId="13" fillId="8" borderId="13" applyAlignment="1" pivotButton="0" quotePrefix="0" xfId="0">
      <alignment horizontal="center" vertical="center"/>
    </xf>
    <xf numFmtId="2" fontId="9" fillId="17" borderId="8" applyAlignment="1" pivotButton="0" quotePrefix="0" xfId="0">
      <alignment horizontal="center" vertical="center" textRotation="90"/>
    </xf>
    <xf numFmtId="2" fontId="13" fillId="8" borderId="6" applyAlignment="1" pivotButton="0" quotePrefix="0" xfId="0">
      <alignment horizontal="center" vertical="center"/>
    </xf>
    <xf numFmtId="1" fontId="14" fillId="18" borderId="14" applyAlignment="1" pivotButton="0" quotePrefix="0" xfId="0">
      <alignment horizontal="center" vertical="center" wrapText="1"/>
    </xf>
    <xf numFmtId="1" fontId="14" fillId="18" borderId="4" applyAlignment="1" pivotButton="0" quotePrefix="0" xfId="0">
      <alignment horizontal="center" vertical="center" wrapText="1"/>
    </xf>
    <xf numFmtId="0" fontId="15" fillId="18" borderId="4" applyAlignment="1" pivotButton="0" quotePrefix="0" xfId="0">
      <alignment horizontal="left" vertical="center"/>
    </xf>
    <xf numFmtId="0" fontId="14" fillId="18" borderId="4" applyAlignment="1" pivotButton="0" quotePrefix="0" xfId="0">
      <alignment horizontal="left" vertical="bottom"/>
    </xf>
    <xf numFmtId="1" fontId="16" fillId="18" borderId="4" applyAlignment="1" pivotButton="0" quotePrefix="0" xfId="0">
      <alignment horizontal="center" vertical="center" wrapText="1"/>
    </xf>
    <xf numFmtId="2" fontId="17" fillId="3" borderId="4" applyAlignment="1" pivotButton="0" quotePrefix="0" xfId="0">
      <alignment horizontal="center" vertical="center"/>
    </xf>
    <xf numFmtId="2" fontId="18" fillId="3" borderId="4" applyAlignment="1" pivotButton="0" quotePrefix="0" xfId="0">
      <alignment horizontal="center" vertical="bottom"/>
    </xf>
    <xf numFmtId="0" fontId="19" fillId="18" borderId="4" applyAlignment="1" pivotButton="0" quotePrefix="0" xfId="0">
      <alignment horizontal="left" vertical="bottom"/>
    </xf>
    <xf numFmtId="2" fontId="17" fillId="19" borderId="4" applyAlignment="1" pivotButton="0" quotePrefix="0" xfId="0">
      <alignment horizontal="center" vertical="center"/>
    </xf>
    <xf numFmtId="2" fontId="18" fillId="4" borderId="4" applyAlignment="1" pivotButton="0" quotePrefix="0" xfId="0">
      <alignment horizontal="center" vertical="center" wrapText="1"/>
    </xf>
    <xf numFmtId="2" fontId="20" fillId="20" borderId="4" applyAlignment="1" pivotButton="0" quotePrefix="0" xfId="0">
      <alignment horizontal="center" vertical="center"/>
    </xf>
    <xf numFmtId="2" fontId="18" fillId="5" borderId="4" applyAlignment="1" pivotButton="0" quotePrefix="0" xfId="0">
      <alignment horizontal="center" vertical="bottom"/>
    </xf>
    <xf numFmtId="0" fontId="18" fillId="4" borderId="4" applyAlignment="1" pivotButton="0" quotePrefix="0" xfId="0">
      <alignment horizontal="center" vertical="center" wrapText="1"/>
    </xf>
    <xf numFmtId="2" fontId="17" fillId="6" borderId="4" applyAlignment="1" pivotButton="0" quotePrefix="0" xfId="0">
      <alignment horizontal="center" vertical="center"/>
    </xf>
    <xf numFmtId="2" fontId="18" fillId="11" borderId="4" applyAlignment="1" pivotButton="0" quotePrefix="0" xfId="0">
      <alignment horizontal="center" vertical="center" wrapText="1"/>
    </xf>
    <xf numFmtId="0" fontId="21" fillId="21" borderId="4" applyAlignment="1" pivotButton="0" quotePrefix="0" xfId="0">
      <alignment horizontal="center" vertical="bottom"/>
    </xf>
    <xf numFmtId="2" fontId="17" fillId="9" borderId="4" applyAlignment="1" pivotButton="0" quotePrefix="0" xfId="0">
      <alignment horizontal="center" vertical="center"/>
    </xf>
    <xf numFmtId="2" fontId="22" fillId="22" borderId="15" applyAlignment="1" pivotButton="0" quotePrefix="0" xfId="0">
      <alignment horizontal="center" vertical="center"/>
    </xf>
    <xf numFmtId="0" fontId="22" fillId="8" borderId="16" applyAlignment="1" pivotButton="0" quotePrefix="0" xfId="0">
      <alignment horizontal="center" vertical="center"/>
    </xf>
    <xf numFmtId="2" fontId="18" fillId="13" borderId="4" applyAlignment="1" pivotButton="0" quotePrefix="0" xfId="0">
      <alignment horizontal="center" vertical="center" wrapText="1"/>
    </xf>
    <xf numFmtId="2" fontId="17" fillId="10" borderId="4" applyAlignment="1" pivotButton="0" quotePrefix="0" xfId="0">
      <alignment horizontal="center" vertical="center"/>
    </xf>
    <xf numFmtId="2" fontId="18" fillId="10" borderId="4" applyAlignment="1" pivotButton="0" quotePrefix="0" xfId="0">
      <alignment horizontal="center" vertical="center" wrapText="1"/>
    </xf>
    <xf numFmtId="2" fontId="6" fillId="12" borderId="4" applyAlignment="1" pivotButton="0" quotePrefix="0" xfId="0">
      <alignment horizontal="center" vertical="bottom"/>
    </xf>
    <xf numFmtId="2" fontId="6" fillId="12" borderId="4" applyAlignment="1" pivotButton="0" quotePrefix="0" xfId="0">
      <alignment vertical="bottom"/>
    </xf>
    <xf numFmtId="2" fontId="18" fillId="6" borderId="4" applyAlignment="1" pivotButton="0" quotePrefix="0" xfId="0">
      <alignment horizontal="center" vertical="center"/>
    </xf>
    <xf numFmtId="2" fontId="23" fillId="14" borderId="4" applyAlignment="1" pivotButton="0" quotePrefix="0" xfId="0">
      <alignment horizontal="center" vertical="center"/>
    </xf>
    <xf numFmtId="2" fontId="22" fillId="9" borderId="15" applyAlignment="1" pivotButton="0" quotePrefix="0" xfId="0">
      <alignment horizontal="center" vertical="center"/>
    </xf>
    <xf numFmtId="2" fontId="24" fillId="14" borderId="4" applyAlignment="1" pivotButton="0" quotePrefix="0" xfId="0">
      <alignment horizontal="center" vertical="center"/>
    </xf>
    <xf numFmtId="2" fontId="18" fillId="3" borderId="4" applyAlignment="1" pivotButton="0" quotePrefix="0" xfId="0">
      <alignment horizontal="center" vertical="center"/>
    </xf>
    <xf numFmtId="2" fontId="25" fillId="23" borderId="4" applyAlignment="1" pivotButton="0" quotePrefix="0" xfId="0">
      <alignment vertical="bottom"/>
    </xf>
    <xf numFmtId="2" fontId="18" fillId="14" borderId="4" applyAlignment="1" pivotButton="0" quotePrefix="0" xfId="0">
      <alignment horizontal="center" vertical="center" wrapText="1"/>
    </xf>
    <xf numFmtId="2" fontId="6" fillId="24" borderId="4" applyAlignment="1" pivotButton="0" quotePrefix="0" xfId="0">
      <alignment vertical="bottom"/>
    </xf>
    <xf numFmtId="2" fontId="23" fillId="21" borderId="16" applyAlignment="1" pivotButton="0" quotePrefix="0" xfId="0">
      <alignment horizontal="center" vertical="center"/>
    </xf>
    <xf numFmtId="2" fontId="18" fillId="6" borderId="4" applyAlignment="1" pivotButton="0" quotePrefix="0" xfId="0">
      <alignment horizontal="center" vertical="center" wrapText="1"/>
    </xf>
    <xf numFmtId="2" fontId="18" fillId="7" borderId="4" applyAlignment="1" pivotButton="0" quotePrefix="0" xfId="0">
      <alignment horizontal="center" vertical="bottom"/>
    </xf>
    <xf numFmtId="2" fontId="26" fillId="25" borderId="16" applyAlignment="1" pivotButton="0" quotePrefix="0" xfId="0">
      <alignment horizontal="center" vertical="center"/>
    </xf>
    <xf numFmtId="2" fontId="18" fillId="16" borderId="4" applyAlignment="1" pivotButton="0" quotePrefix="0" xfId="0">
      <alignment horizontal="center" vertical="center" wrapText="1"/>
    </xf>
    <xf numFmtId="2" fontId="17" fillId="16" borderId="4" applyAlignment="1" pivotButton="0" quotePrefix="0" xfId="0">
      <alignment horizontal="center" vertical="center"/>
    </xf>
    <xf numFmtId="2" fontId="18" fillId="17" borderId="4" applyAlignment="1" pivotButton="0" quotePrefix="0" xfId="0">
      <alignment horizontal="center" vertical="center" wrapText="1"/>
    </xf>
    <xf numFmtId="2" fontId="18" fillId="17" borderId="4" applyAlignment="1" pivotButton="0" quotePrefix="0" xfId="0">
      <alignment horizontal="center" vertical="center"/>
    </xf>
    <xf numFmtId="2" fontId="27" fillId="18" borderId="4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8" fillId="5" borderId="4" applyAlignment="1" pivotButton="0" quotePrefix="0" xfId="0">
      <alignment horizontal="center" vertical="bottom"/>
    </xf>
    <xf numFmtId="2" fontId="22" fillId="0" borderId="15" applyAlignment="1" pivotButton="0" quotePrefix="0" xfId="0">
      <alignment horizontal="center" vertical="center"/>
    </xf>
    <xf numFmtId="2" fontId="21" fillId="21" borderId="4" applyAlignment="1" pivotButton="0" quotePrefix="0" xfId="0">
      <alignment horizontal="center" vertical="bottom"/>
    </xf>
    <xf numFmtId="2" fontId="28" fillId="0" borderId="0" applyAlignment="1" pivotButton="0" quotePrefix="0" xfId="0">
      <alignment vertical="center"/>
    </xf>
    <xf numFmtId="2" fontId="27" fillId="18" borderId="17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2" fontId="24" fillId="3" borderId="4" applyAlignment="1" pivotButton="0" quotePrefix="0" xfId="0">
      <alignment horizontal="center" vertical="center"/>
    </xf>
    <xf numFmtId="2" fontId="17" fillId="4" borderId="4" applyAlignment="1" pivotButton="0" quotePrefix="0" xfId="0">
      <alignment horizontal="center" vertical="center"/>
    </xf>
    <xf numFmtId="0" fontId="29" fillId="21" borderId="16" applyAlignment="1" pivotButton="0" quotePrefix="0" xfId="0">
      <alignment horizontal="center" vertical="center"/>
    </xf>
    <xf numFmtId="0" fontId="17" fillId="21" borderId="4" applyAlignment="1" pivotButton="0" quotePrefix="0" xfId="0">
      <alignment horizontal="center" vertical="center"/>
    </xf>
    <xf numFmtId="0" fontId="14" fillId="18" borderId="16" applyAlignment="1" pivotButton="0" quotePrefix="0" xfId="0">
      <alignment vertical="bottom"/>
    </xf>
    <xf numFmtId="2" fontId="18" fillId="14" borderId="4" applyAlignment="1" pivotButton="0" quotePrefix="0" xfId="0">
      <alignment horizontal="center" vertical="center"/>
    </xf>
    <xf numFmtId="2" fontId="22" fillId="8" borderId="16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bottom"/>
    </xf>
    <xf numFmtId="0" fontId="18" fillId="10" borderId="4" applyAlignment="1" pivotButton="0" quotePrefix="0" xfId="0">
      <alignment horizontal="center" vertical="center" wrapText="1"/>
    </xf>
    <xf numFmtId="2" fontId="17" fillId="5" borderId="4" applyAlignment="1" pivotButton="0" quotePrefix="0" xfId="0">
      <alignment horizontal="center" vertical="center"/>
    </xf>
    <xf numFmtId="2" fontId="17" fillId="7" borderId="4" applyAlignment="1" pivotButton="0" quotePrefix="0" xfId="0">
      <alignment horizontal="center" vertical="center"/>
    </xf>
    <xf numFmtId="2" fontId="29" fillId="21" borderId="16" applyAlignment="1" pivotButton="0" quotePrefix="0" xfId="0">
      <alignment horizontal="center" vertical="center"/>
    </xf>
    <xf numFmtId="2" fontId="24" fillId="14" borderId="4" applyAlignment="1" pivotButton="0" quotePrefix="0" xfId="0">
      <alignment horizontal="center" vertical="center"/>
    </xf>
    <xf numFmtId="2" fontId="31" fillId="25" borderId="16" applyAlignment="1" pivotButton="0" quotePrefix="0" xfId="0">
      <alignment horizontal="center" vertical="center"/>
    </xf>
    <xf numFmtId="2" fontId="30" fillId="21" borderId="4" applyAlignment="1" pivotButton="0" quotePrefix="0" xfId="0">
      <alignment horizontal="center" vertical="bottom"/>
    </xf>
    <xf numFmtId="0" fontId="17" fillId="5" borderId="4" applyAlignment="1" pivotButton="0" quotePrefix="0" xfId="0">
      <alignment horizontal="center" vertical="center"/>
    </xf>
    <xf numFmtId="2" fontId="32" fillId="25" borderId="4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center"/>
    </xf>
    <xf numFmtId="0" fontId="14" fillId="18" borderId="18" applyAlignment="1" pivotButton="0" quotePrefix="0" xfId="0">
      <alignment horizontal="left" vertical="bottom"/>
    </xf>
    <xf numFmtId="0" fontId="14" fillId="18" borderId="12" applyAlignment="1" pivotButton="0" quotePrefix="0" xfId="0">
      <alignment horizontal="left" vertical="bottom"/>
    </xf>
    <xf numFmtId="2" fontId="17" fillId="20" borderId="4" applyAlignment="1" pivotButton="0" quotePrefix="0" xfId="0">
      <alignment horizontal="center" vertical="center"/>
    </xf>
    <xf numFmtId="2" fontId="18" fillId="26" borderId="4" applyAlignment="1" pivotButton="0" quotePrefix="0" xfId="0">
      <alignment horizontal="center" vertical="center"/>
    </xf>
    <xf numFmtId="2" fontId="27" fillId="20" borderId="4" applyAlignment="1" pivotButton="0" quotePrefix="0" xfId="0">
      <alignment vertical="center" wrapText="1"/>
    </xf>
    <xf numFmtId="2" fontId="29" fillId="27" borderId="16" applyAlignment="1" pivotButton="0" quotePrefix="0" xfId="0">
      <alignment horizontal="center" vertical="center"/>
    </xf>
    <xf numFmtId="2" fontId="27" fillId="20" borderId="17" applyAlignment="1" pivotButton="0" quotePrefix="0" xfId="0">
      <alignment vertical="center" wrapText="1"/>
    </xf>
    <xf numFmtId="2" fontId="30" fillId="21" borderId="0" applyAlignment="1" pivotButton="0" quotePrefix="0" xfId="0">
      <alignment horizontal="center" vertical="bottom"/>
    </xf>
    <xf numFmtId="0" fontId="19" fillId="18" borderId="4" applyAlignment="1" pivotButton="0" quotePrefix="0" xfId="0">
      <alignment horizontal="left" vertical="bottom"/>
    </xf>
    <xf numFmtId="2" fontId="21" fillId="21" borderId="0" applyAlignment="1" pivotButton="0" quotePrefix="0" xfId="0">
      <alignment horizontal="center" vertical="bottom"/>
    </xf>
    <xf numFmtId="2" fontId="22" fillId="9" borderId="19" applyAlignment="1" pivotButton="0" quotePrefix="0" xfId="0">
      <alignment horizontal="center" vertical="center"/>
    </xf>
    <xf numFmtId="2" fontId="33" fillId="9" borderId="4" applyAlignment="1" pivotButton="0" quotePrefix="0" xfId="0">
      <alignment horizontal="center" vertical="center"/>
    </xf>
    <xf numFmtId="1" fontId="14" fillId="18" borderId="20" applyAlignment="1" pivotButton="0" quotePrefix="0" xfId="0">
      <alignment horizontal="center" vertical="center" wrapText="1"/>
    </xf>
    <xf numFmtId="2" fontId="22" fillId="9" borderId="21" applyAlignment="1" pivotButton="0" quotePrefix="0" xfId="0">
      <alignment horizontal="center" vertical="center"/>
    </xf>
    <xf numFmtId="0" fontId="6" fillId="0" borderId="22" applyAlignment="1" pivotButton="0" quotePrefix="0" xfId="0">
      <alignment vertical="bottom"/>
    </xf>
    <xf numFmtId="0" fontId="14" fillId="28" borderId="16" applyAlignment="1" pivotButton="0" quotePrefix="0" xfId="0">
      <alignment vertical="bottom"/>
    </xf>
    <xf numFmtId="0" fontId="14" fillId="28" borderId="4" applyAlignment="1" pivotButton="0" quotePrefix="0" xfId="0">
      <alignment horizontal="left" vertical="center" wrapText="1"/>
    </xf>
    <xf numFmtId="2" fontId="18" fillId="3" borderId="4" applyAlignment="1" pivotButton="0" quotePrefix="0" xfId="0">
      <alignment horizontal="center" vertical="center" wrapText="1"/>
    </xf>
    <xf numFmtId="2" fontId="18" fillId="4" borderId="4" applyAlignment="1" pivotButton="0" quotePrefix="0" xfId="0">
      <alignment horizontal="center" vertical="center" wrapText="1"/>
    </xf>
    <xf numFmtId="2" fontId="18" fillId="18" borderId="4" applyAlignment="1" pivotButton="0" quotePrefix="0" xfId="0">
      <alignment horizontal="center" vertical="center" wrapText="1"/>
    </xf>
    <xf numFmtId="2" fontId="18" fillId="21" borderId="4" applyAlignment="1" pivotButton="0" quotePrefix="0" xfId="0">
      <alignment horizontal="center" vertical="center" wrapText="1"/>
    </xf>
    <xf numFmtId="0" fontId="30" fillId="5" borderId="4" applyAlignment="1" pivotButton="0" quotePrefix="0" xfId="0">
      <alignment horizontal="center" vertical="bottom"/>
    </xf>
    <xf numFmtId="2" fontId="18" fillId="29" borderId="4" applyAlignment="1" pivotButton="0" quotePrefix="0" xfId="0">
      <alignment horizontal="center" vertical="center" wrapText="1"/>
    </xf>
    <xf numFmtId="2" fontId="18" fillId="18" borderId="4" applyAlignment="1" pivotButton="0" quotePrefix="0" xfId="0">
      <alignment horizontal="center" vertical="center" wrapText="1"/>
    </xf>
    <xf numFmtId="2" fontId="18" fillId="25" borderId="4" applyAlignment="1" pivotButton="0" quotePrefix="0" xfId="0">
      <alignment horizontal="center" vertical="center" wrapText="1"/>
    </xf>
    <xf numFmtId="2" fontId="30" fillId="5" borderId="4" applyAlignment="1" pivotButton="0" quotePrefix="0" xfId="0">
      <alignment horizontal="center" vertical="bottom"/>
    </xf>
    <xf numFmtId="0" fontId="17" fillId="0" borderId="4" applyAlignment="1" pivotButton="0" quotePrefix="0" xfId="0">
      <alignment horizontal="center" vertical="center"/>
    </xf>
    <xf numFmtId="0" fontId="24" fillId="30" borderId="4" applyAlignment="1" pivotButton="0" quotePrefix="0" xfId="0">
      <alignment horizontal="center" vertical="center"/>
    </xf>
    <xf numFmtId="0" fontId="6" fillId="0" borderId="23" applyAlignment="1" pivotButton="0" quotePrefix="0" xfId="0">
      <alignment vertical="bottom"/>
    </xf>
    <xf numFmtId="0" fontId="34" fillId="18" borderId="24" applyAlignment="1" pivotButton="0" quotePrefix="0" xfId="0">
      <alignment vertical="bottom"/>
    </xf>
    <xf numFmtId="0" fontId="10" fillId="0" borderId="25" applyAlignment="1" pivotButton="0" quotePrefix="0" xfId="0">
      <alignment vertical="center"/>
    </xf>
    <xf numFmtId="2" fontId="35" fillId="18" borderId="26" applyAlignment="1" pivotButton="0" quotePrefix="0" xfId="0">
      <alignment vertical="center" wrapText="1"/>
    </xf>
    <xf numFmtId="0" fontId="10" fillId="0" borderId="27" applyAlignment="1" pivotButton="0" quotePrefix="0" xfId="0">
      <alignment vertical="center"/>
    </xf>
    <xf numFmtId="0" fontId="10" fillId="0" borderId="28" applyAlignment="1" pivotButton="0" quotePrefix="0" xfId="0">
      <alignment vertical="center"/>
    </xf>
    <xf numFmtId="2" fontId="7" fillId="18" borderId="2" applyAlignment="1" pivotButton="0" quotePrefix="0" xfId="0">
      <alignment vertical="center"/>
    </xf>
    <xf numFmtId="0" fontId="19" fillId="0" borderId="4" applyAlignment="1" pivotButton="0" quotePrefix="0" xfId="0">
      <alignment vertical="center"/>
    </xf>
    <xf numFmtId="0" fontId="17" fillId="20" borderId="4" applyAlignment="1" pivotButton="0" quotePrefix="0" xfId="0">
      <alignment horizontal="center" vertical="center"/>
    </xf>
    <xf numFmtId="2" fontId="18" fillId="3" borderId="4" applyAlignment="1" pivotButton="0" quotePrefix="0" xfId="0">
      <alignment horizontal="center" vertical="center" wrapText="1"/>
    </xf>
    <xf numFmtId="2" fontId="18" fillId="31" borderId="4" applyAlignment="1" pivotButton="0" quotePrefix="0" xfId="0">
      <alignment horizontal="center" vertical="center" wrapText="1"/>
    </xf>
    <xf numFmtId="2" fontId="18" fillId="9" borderId="4" applyAlignment="1" pivotButton="0" quotePrefix="0" xfId="0">
      <alignment horizontal="center" vertical="center" wrapText="1"/>
    </xf>
    <xf numFmtId="2" fontId="18" fillId="5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2" fontId="18" fillId="6" borderId="4" applyAlignment="1" pivotButton="0" quotePrefix="0" xfId="0">
      <alignment horizontal="center" vertical="center" wrapText="1"/>
    </xf>
    <xf numFmtId="2" fontId="18" fillId="7" borderId="4" applyAlignment="1" pivotButton="0" quotePrefix="0" xfId="0">
      <alignment horizontal="center" vertical="center" wrapText="1"/>
    </xf>
    <xf numFmtId="2" fontId="18" fillId="8" borderId="4" applyAlignment="1" pivotButton="0" quotePrefix="0" xfId="0">
      <alignment horizontal="center" vertical="center" wrapText="1"/>
    </xf>
    <xf numFmtId="2" fontId="35" fillId="18" borderId="26" applyAlignment="1" pivotButton="0" quotePrefix="0" xfId="0">
      <alignment vertical="center" wrapText="1"/>
    </xf>
    <xf numFmtId="2" fontId="13" fillId="3" borderId="8" applyAlignment="1" pivotButton="0" quotePrefix="0" xfId="0">
      <alignment horizontal="center" vertical="center" textRotation="90"/>
    </xf>
    <xf numFmtId="2" fontId="13" fillId="4" borderId="8" applyAlignment="1" pivotButton="0" quotePrefix="0" xfId="0">
      <alignment horizontal="center" vertical="center" textRotation="90"/>
    </xf>
    <xf numFmtId="2" fontId="13" fillId="5" borderId="4" applyAlignment="1" pivotButton="0" quotePrefix="0" xfId="0">
      <alignment horizontal="center" vertical="center" textRotation="90"/>
    </xf>
    <xf numFmtId="2" fontId="13" fillId="6" borderId="29" applyAlignment="1" pivotButton="0" quotePrefix="0" xfId="0">
      <alignment horizontal="center" vertical="center" textRotation="90"/>
    </xf>
    <xf numFmtId="2" fontId="13" fillId="7" borderId="8" applyAlignment="1" pivotButton="0" quotePrefix="0" xfId="0">
      <alignment horizontal="center" vertical="center" textRotation="90"/>
    </xf>
    <xf numFmtId="2" fontId="13" fillId="13" borderId="8" applyAlignment="1" pivotButton="0" quotePrefix="0" xfId="0">
      <alignment horizontal="center" vertical="center" textRotation="90"/>
    </xf>
    <xf numFmtId="2" fontId="13" fillId="10" borderId="8" applyAlignment="1" pivotButton="0" quotePrefix="0" xfId="0">
      <alignment horizontal="center" vertical="center" textRotation="90"/>
    </xf>
    <xf numFmtId="2" fontId="13" fillId="15" borderId="10" applyAlignment="1" pivotButton="0" quotePrefix="0" xfId="0">
      <alignment horizontal="center" vertical="center" textRotation="90"/>
    </xf>
    <xf numFmtId="2" fontId="13" fillId="14" borderId="8" applyAlignment="1" pivotButton="0" quotePrefix="0" xfId="0">
      <alignment horizontal="center" vertical="center" textRotation="90"/>
    </xf>
    <xf numFmtId="2" fontId="13" fillId="16" borderId="6" applyAlignment="1" pivotButton="0" quotePrefix="0" xfId="0">
      <alignment horizontal="center" vertical="center" textRotation="90"/>
    </xf>
    <xf numFmtId="2" fontId="13" fillId="17" borderId="8" applyAlignment="1" pivotButton="0" quotePrefix="0" xfId="0">
      <alignment horizontal="center" vertical="center" textRotation="90"/>
    </xf>
    <xf numFmtId="0" fontId="19" fillId="18" borderId="18" applyAlignment="1" pivotButton="0" quotePrefix="0" xfId="0">
      <alignment horizontal="left" vertical="bottom"/>
    </xf>
    <xf numFmtId="0" fontId="19" fillId="18" borderId="12" applyAlignment="1" pivotButton="0" quotePrefix="0" xfId="0">
      <alignment horizontal="left" vertical="bottom"/>
    </xf>
    <xf numFmtId="2" fontId="22" fillId="4" borderId="4" applyAlignment="1" pivotButton="0" quotePrefix="0" xfId="0">
      <alignment horizontal="center" vertical="center"/>
    </xf>
    <xf numFmtId="2" fontId="21" fillId="5" borderId="4" applyAlignment="1" pivotButton="0" quotePrefix="0" xfId="0">
      <alignment horizontal="right" vertical="bottom"/>
    </xf>
    <xf numFmtId="2" fontId="6" fillId="7" borderId="15" applyAlignment="1" pivotButton="0" quotePrefix="0" xfId="0">
      <alignment horizontal="center" vertical="center"/>
    </xf>
    <xf numFmtId="2" fontId="18" fillId="13" borderId="4" applyAlignment="1" pivotButton="0" quotePrefix="0" xfId="0">
      <alignment horizontal="center" vertical="center"/>
    </xf>
    <xf numFmtId="2" fontId="16" fillId="16" borderId="4" applyAlignment="1" pivotButton="0" quotePrefix="0" xfId="0">
      <alignment horizontal="center" vertical="center" wrapText="1"/>
    </xf>
    <xf numFmtId="2" fontId="9" fillId="5" borderId="4" applyAlignment="1" pivotButton="0" quotePrefix="0" xfId="0">
      <alignment horizontal="center" vertical="center" textRotation="90"/>
    </xf>
    <xf numFmtId="2" fontId="27" fillId="17" borderId="4" applyAlignment="1" pivotButton="0" quotePrefix="0" xfId="0">
      <alignment horizontal="center" vertical="center" wrapText="1"/>
    </xf>
    <xf numFmtId="2" fontId="9" fillId="6" borderId="29" applyAlignment="1" pivotButton="0" quotePrefix="0" xfId="0">
      <alignment horizontal="center" vertical="center" textRotation="90"/>
    </xf>
    <xf numFmtId="0" fontId="7" fillId="0" borderId="4" applyAlignment="1" pivotButton="0" quotePrefix="0" xfId="0">
      <alignment vertical="center"/>
    </xf>
    <xf numFmtId="2" fontId="36" fillId="4" borderId="4" applyAlignment="1" pivotButton="0" quotePrefix="0" xfId="0">
      <alignment horizontal="center" vertical="center"/>
    </xf>
    <xf numFmtId="2" fontId="21" fillId="5" borderId="4" applyAlignment="1" pivotButton="0" quotePrefix="0" xfId="0">
      <alignment vertical="bottom"/>
    </xf>
    <xf numFmtId="0" fontId="18" fillId="4" borderId="4" applyAlignment="1" pivotButton="0" quotePrefix="0" xfId="0">
      <alignment horizontal="center" vertical="center"/>
    </xf>
    <xf numFmtId="0" fontId="37" fillId="21" borderId="4" applyAlignment="1" pivotButton="0" quotePrefix="0" xfId="0">
      <alignment vertical="bottom"/>
    </xf>
    <xf numFmtId="2" fontId="30" fillId="5" borderId="4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36" fillId="4" borderId="4" applyAlignment="1" pivotButton="0" quotePrefix="0" xfId="0">
      <alignment horizontal="center" vertical="center"/>
    </xf>
    <xf numFmtId="2" fontId="23" fillId="12" borderId="4" applyAlignment="1" pivotButton="0" quotePrefix="0" xfId="0">
      <alignment horizontal="center" vertical="center"/>
    </xf>
    <xf numFmtId="0" fontId="30" fillId="5" borderId="4" applyAlignment="1" pivotButton="0" quotePrefix="0" xfId="0">
      <alignment vertical="bottom"/>
    </xf>
    <xf numFmtId="2" fontId="24" fillId="4" borderId="4" applyAlignment="1" pivotButton="0" quotePrefix="0" xfId="0">
      <alignment horizontal="center" vertical="center"/>
    </xf>
    <xf numFmtId="2" fontId="27" fillId="21" borderId="4" applyAlignment="1" pivotButton="0" quotePrefix="0" xfId="0">
      <alignment vertical="bottom"/>
    </xf>
    <xf numFmtId="0" fontId="21" fillId="5" borderId="4" applyAlignment="1" pivotButton="0" quotePrefix="0" xfId="0">
      <alignment vertical="bottom"/>
    </xf>
    <xf numFmtId="2" fontId="18" fillId="7" borderId="4" applyAlignment="1" pivotButton="0" quotePrefix="0" xfId="0">
      <alignment horizontal="center" vertical="center"/>
    </xf>
    <xf numFmtId="2" fontId="24" fillId="7" borderId="4" applyAlignment="1" pivotButton="0" quotePrefix="0" xfId="0">
      <alignment horizontal="center" vertical="center"/>
    </xf>
    <xf numFmtId="0" fontId="27" fillId="21" borderId="4" applyAlignment="1" pivotButton="0" quotePrefix="0" xfId="0">
      <alignment vertical="bottom"/>
    </xf>
    <xf numFmtId="2" fontId="27" fillId="21" borderId="0" applyAlignment="1" pivotButton="0" quotePrefix="0" xfId="0">
      <alignment vertical="bottom"/>
    </xf>
    <xf numFmtId="2" fontId="37" fillId="21" borderId="4" applyAlignment="1" pivotButton="0" quotePrefix="0" xfId="0">
      <alignment vertical="bottom"/>
    </xf>
    <xf numFmtId="0" fontId="24" fillId="4" borderId="4" applyAlignment="1" pivotButton="0" quotePrefix="0" xfId="0">
      <alignment horizontal="center" vertical="center"/>
    </xf>
    <xf numFmtId="1" fontId="27" fillId="18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/>
    </xf>
    <xf numFmtId="0" fontId="38" fillId="0" borderId="4" applyAlignment="1" pivotButton="0" quotePrefix="0" xfId="0">
      <alignment vertical="center"/>
    </xf>
    <xf numFmtId="2" fontId="18" fillId="21" borderId="4" applyAlignment="1" pivotButton="0" quotePrefix="0" xfId="0">
      <alignment horizontal="center" vertical="center" wrapText="1"/>
    </xf>
    <xf numFmtId="2" fontId="18" fillId="32" borderId="4" applyAlignment="1" pivotButton="0" quotePrefix="0" xfId="0">
      <alignment horizontal="center" vertical="center" wrapText="1"/>
    </xf>
    <xf numFmtId="2" fontId="18" fillId="33" borderId="4" applyAlignment="1" pivotButton="0" quotePrefix="0" xfId="0">
      <alignment horizontal="center" vertical="center" wrapText="1"/>
    </xf>
    <xf numFmtId="0" fontId="17" fillId="23" borderId="4" applyAlignment="1" pivotButton="0" quotePrefix="0" xfId="0">
      <alignment horizontal="center" vertical="center"/>
    </xf>
    <xf numFmtId="0" fontId="17" fillId="17" borderId="4" applyAlignment="1" pivotButton="0" quotePrefix="0" xfId="0">
      <alignment horizontal="center" vertical="center"/>
    </xf>
    <xf numFmtId="0" fontId="39" fillId="18" borderId="7" applyAlignment="1" pivotButton="0" quotePrefix="0" xfId="0">
      <alignment horizontal="left" vertical="center" wrapText="1"/>
    </xf>
    <xf numFmtId="0" fontId="40" fillId="20" borderId="4" applyAlignment="1" pivotButton="0" quotePrefix="0" xfId="0">
      <alignment horizontal="center" vertical="center"/>
    </xf>
    <xf numFmtId="2" fontId="18" fillId="7" borderId="0" applyAlignment="1" pivotButton="0" quotePrefix="0" xfId="0">
      <alignment horizontal="center" vertical="center"/>
    </xf>
    <xf numFmtId="2" fontId="27" fillId="16" borderId="4" applyAlignment="1" pivotButton="0" quotePrefix="0" xfId="0">
      <alignment horizontal="center" vertical="center" wrapText="1"/>
    </xf>
    <xf numFmtId="2" fontId="18" fillId="7" borderId="4" applyAlignment="1" pivotButton="0" quotePrefix="0" xfId="0">
      <alignment horizontal="center" vertical="center" wrapText="1"/>
    </xf>
    <xf numFmtId="2" fontId="22" fillId="24" borderId="15" applyAlignment="1" pivotButton="0" quotePrefix="0" xfId="0">
      <alignment horizontal="center" vertical="center"/>
    </xf>
    <xf numFmtId="0" fontId="41" fillId="18" borderId="7" applyAlignment="1" pivotButton="0" quotePrefix="0" xfId="0">
      <alignment horizontal="left" vertical="center" wrapText="1"/>
    </xf>
    <xf numFmtId="2" fontId="42" fillId="3" borderId="4" applyAlignment="1" pivotButton="0" quotePrefix="0" xfId="0">
      <alignment horizontal="center" vertical="center" wrapText="1"/>
    </xf>
    <xf numFmtId="2" fontId="42" fillId="4" borderId="4" applyAlignment="1" pivotButton="0" quotePrefix="0" xfId="0">
      <alignment horizontal="center" vertical="center" wrapText="1"/>
    </xf>
    <xf numFmtId="2" fontId="42" fillId="5" borderId="4" applyAlignment="1" pivotButton="0" quotePrefix="0" xfId="0">
      <alignment horizontal="center" vertical="center" wrapText="1"/>
    </xf>
    <xf numFmtId="2" fontId="42" fillId="18" borderId="4" applyAlignment="1" pivotButton="0" quotePrefix="0" xfId="0">
      <alignment horizontal="center" vertical="center" wrapText="1"/>
    </xf>
    <xf numFmtId="2" fontId="42" fillId="7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2" fontId="27" fillId="18" borderId="4" applyAlignment="1" pivotButton="0" quotePrefix="0" xfId="0">
      <alignment horizontal="center" vertical="center" wrapText="1"/>
    </xf>
    <xf numFmtId="2" fontId="22" fillId="32" borderId="15" applyAlignment="1" pivotButton="0" quotePrefix="0" xfId="0">
      <alignment horizontal="center" vertical="center"/>
    </xf>
    <xf numFmtId="2" fontId="18" fillId="31" borderId="4" applyAlignment="1" pivotButton="0" quotePrefix="0" xfId="0">
      <alignment horizontal="center" vertical="center" wrapText="1"/>
    </xf>
    <xf numFmtId="2" fontId="18" fillId="32" borderId="4" applyAlignment="1" pivotButton="0" quotePrefix="0" xfId="0">
      <alignment horizontal="center" vertical="center" wrapText="1"/>
    </xf>
    <xf numFmtId="2" fontId="18" fillId="33" borderId="4" applyAlignment="1" pivotButton="0" quotePrefix="0" xfId="0">
      <alignment horizontal="center" vertical="center" wrapText="1"/>
    </xf>
    <xf numFmtId="2" fontId="6" fillId="12" borderId="0" applyAlignment="1" pivotButton="0" quotePrefix="0" xfId="0">
      <alignment vertical="bottom"/>
    </xf>
    <xf numFmtId="0" fontId="0" fillId="0" borderId="0" pivotButton="0" quotePrefix="0" xfId="0"/>
    <xf numFmtId="0" fontId="15" fillId="34" borderId="4" applyAlignment="1" pivotButton="0" quotePrefix="0" xfId="0">
      <alignment horizontal="left" vertical="center"/>
    </xf>
    <xf numFmtId="2" fontId="17" fillId="35" borderId="4" applyAlignment="1" pivotButton="0" quotePrefix="0" xfId="0">
      <alignment horizontal="center" vertical="center"/>
    </xf>
    <xf numFmtId="0" fontId="34" fillId="18" borderId="5" applyAlignment="1" pivotButton="0" quotePrefix="0" xfId="0">
      <alignment vertical="bottom"/>
    </xf>
    <xf numFmtId="2" fontId="35" fillId="18" borderId="2" applyAlignment="1" pivotButton="0" quotePrefix="0" xfId="0">
      <alignment vertical="center" wrapText="1"/>
    </xf>
    <xf numFmtId="0" fontId="0" fillId="0" borderId="27" pivotButton="0" quotePrefix="0" xfId="0"/>
    <xf numFmtId="0" fontId="0" fillId="0" borderId="28" pivotButton="0" quotePrefix="0" xfId="0"/>
    <xf numFmtId="2" fontId="6" fillId="2" borderId="4" applyAlignment="1" pivotButton="0" quotePrefix="0" xfId="0">
      <alignment horizontal="center" vertical="center"/>
    </xf>
    <xf numFmtId="0" fontId="0" fillId="0" borderId="9" pivotButton="0" quotePrefix="0" xfId="0"/>
    <xf numFmtId="0" fontId="39" fillId="18" borderId="4" applyAlignment="1" pivotButton="0" quotePrefix="0" xfId="0">
      <alignment horizontal="left" vertical="center" wrapText="1"/>
    </xf>
    <xf numFmtId="0" fontId="41" fillId="18" borderId="4" applyAlignment="1" pivotButton="0" quotePrefix="0" xfId="0">
      <alignment horizontal="left" vertical="center" wrapText="1"/>
    </xf>
    <xf numFmtId="0" fontId="14" fillId="34" borderId="4" applyAlignment="1" pivotButton="0" quotePrefix="0" xfId="0">
      <alignment horizontal="left" vertical="bottom"/>
    </xf>
    <xf numFmtId="2" fontId="18" fillId="35" borderId="4" applyAlignment="1" pivotButton="0" quotePrefix="0" xfId="0">
      <alignment horizontal="center" vertical="center" wrapText="1"/>
    </xf>
    <xf numFmtId="0" fontId="14" fillId="34" borderId="18" applyAlignment="1" pivotButton="0" quotePrefix="0" xfId="0">
      <alignment horizontal="left" vertical="bottom"/>
    </xf>
    <xf numFmtId="0" fontId="18" fillId="35" borderId="4" applyAlignment="1" pivotButton="0" quotePrefix="0" xfId="0">
      <alignment horizontal="center" vertical="center" wrapText="1"/>
    </xf>
    <xf numFmtId="0" fontId="14" fillId="34" borderId="16" applyAlignment="1" pivotButton="0" quotePrefix="0" xfId="0">
      <alignment vertical="bottom"/>
    </xf>
    <xf numFmtId="0" fontId="18" fillId="35" borderId="4" applyAlignment="1" pivotButton="0" quotePrefix="0" xfId="0">
      <alignment horizontal="center" vertical="bottom"/>
    </xf>
    <xf numFmtId="0" fontId="19" fillId="34" borderId="4" applyAlignment="1" pivotButton="0" quotePrefix="0" xfId="0">
      <alignment horizontal="left" vertical="bottom"/>
    </xf>
    <xf numFmtId="2" fontId="18" fillId="35" borderId="4" applyAlignment="1" pivotButton="0" quotePrefix="0" xfId="0">
      <alignment horizontal="center" vertical="center"/>
    </xf>
    <xf numFmtId="2" fontId="18" fillId="35" borderId="4" applyAlignment="1" pivotButton="0" quotePrefix="0" xfId="0">
      <alignment horizontal="center" vertical="bottom"/>
    </xf>
    <xf numFmtId="2" fontId="21" fillId="35" borderId="4" applyAlignment="1" pivotButton="0" quotePrefix="0" xfId="0">
      <alignment horizontal="center" vertical="bottom"/>
    </xf>
    <xf numFmtId="0" fontId="39" fillId="34" borderId="4" applyAlignment="1" pivotButton="0" quotePrefix="0" xfId="0">
      <alignment horizontal="left" vertical="center" wrapText="1"/>
    </xf>
    <xf numFmtId="2" fontId="27" fillId="35" borderId="4" applyAlignment="1" pivotButton="0" quotePrefix="0" xfId="0">
      <alignment horizontal="center" vertical="center" wrapText="1"/>
    </xf>
    <xf numFmtId="2" fontId="27" fillId="35" borderId="4" applyAlignment="1" pivotButton="0" quotePrefix="0" xfId="0">
      <alignment vertical="bottom"/>
    </xf>
    <xf numFmtId="0" fontId="19" fillId="34" borderId="4" applyAlignment="1" pivotButton="0" quotePrefix="0" xfId="0">
      <alignment vertical="center"/>
    </xf>
    <xf numFmtId="2" fontId="24" fillId="35" borderId="4" applyAlignment="1" pivotButton="0" quotePrefix="0" xfId="0">
      <alignment horizontal="center" vertical="center"/>
    </xf>
    <xf numFmtId="0" fontId="43" fillId="36" borderId="0" applyAlignment="1" pivotButton="0" quotePrefix="0" xfId="0">
      <alignment horizontal="center" vertical="center"/>
    </xf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/>
  </cellStyles>
  <dxfs count="9">
    <dxf>
      <font>
        <b val="1"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décimo B-style" pivot="0" count="3">
      <tableStyleElement type="headerRow" dxfId="6"/>
      <tableStyleElement type="firstRowStripe" dxfId="7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None</author>
  </authors>
  <commentList>
    <comment ref="F10" authorId="0" shapeId="0">
      <text>
        <t>Sistema: 9.55
Diferencia: 0.73</t>
      </text>
    </comment>
    <comment ref="M10" authorId="0" shapeId="0">
      <text>
        <t>Sistema: 9.05
Diferencia: 0.10</t>
      </text>
    </comment>
    <comment ref="M11" authorId="0" shapeId="0">
      <text>
        <t>Sistema: 8.86
Diferencia: 0.11</t>
      </text>
    </comment>
    <comment ref="F12" authorId="0" shapeId="0">
      <text>
        <t>Sistema: 9.05
Diferencia: 0.41</t>
      </text>
    </comment>
    <comment ref="M12" authorId="0" shapeId="0">
      <text>
        <t>Sistema: 8.39
Diferencia: 0.06</t>
      </text>
    </comment>
    <comment ref="M15" authorId="0" shapeId="0">
      <text>
        <t>Sistema: 7.51
Diferencia: 0.04</t>
      </text>
    </comment>
    <comment ref="F16" authorId="0" shapeId="0">
      <text>
        <t>Sistema: 8.85
Diferencia: 0.04</t>
      </text>
    </comment>
    <comment ref="F17" authorId="0" shapeId="0">
      <text>
        <t>Sistema: 8.39
Diferencia: 0.37</t>
      </text>
    </comment>
    <comment ref="M17" authorId="0" shapeId="0">
      <text>
        <t>Sistema: 8.79
Diferencia: 0.05</t>
      </text>
    </comment>
    <comment ref="F18" authorId="0" shapeId="0">
      <text>
        <t>Sistema: 8.20
Diferencia: 0.30</t>
      </text>
    </comment>
    <comment ref="M18" authorId="0" shapeId="0">
      <text>
        <t>Sistema: 6.63
Diferencia: 1.22</t>
      </text>
    </comment>
    <comment ref="F19" authorId="0" shapeId="0">
      <text>
        <t>Sistema: 8.35
Diferencia: 0.21</t>
      </text>
    </comment>
    <comment ref="M19" authorId="0" shapeId="0">
      <text>
        <t>Sistema: 8.36
Diferencia: 0.03</t>
      </text>
    </comment>
    <comment ref="F20" authorId="0" shapeId="0">
      <text>
        <t>Sistema: 8.13
Diferencia: 0.15</t>
      </text>
    </comment>
    <comment ref="F21" authorId="0" shapeId="0">
      <text>
        <t>Sistema: 8.65
Diferencia: 0.32</t>
      </text>
    </comment>
    <comment ref="M21" authorId="0" shapeId="0">
      <text>
        <t>Sistema: 7.77
Diferencia: 0.05</t>
      </text>
    </comment>
    <comment ref="F22" authorId="0" shapeId="0">
      <text>
        <t>Sistema: 8.23
Diferencia: 0.57</t>
      </text>
    </comment>
    <comment ref="M22" authorId="0" shapeId="0">
      <text>
        <t>Sistema: 8.22
Diferencia: 0.08</t>
      </text>
    </comment>
    <comment ref="F23" authorId="0" shapeId="0">
      <text>
        <t>Sistema: 8.76
Diferencia: 0.07</t>
      </text>
    </comment>
    <comment ref="F27" authorId="0" shapeId="0">
      <text>
        <t>Sistema: 9.31
Diferencia: 0.29</t>
      </text>
    </comment>
    <comment ref="M27" authorId="0" shapeId="0">
      <text>
        <t>Sistema: 8.89
Diferencia: 0.04</t>
      </text>
    </comment>
    <comment ref="F28" authorId="0" shapeId="0">
      <text>
        <t>Sistema: 8.73
Diferencia: 0.53</t>
      </text>
    </comment>
    <comment ref="M28" authorId="0" shapeId="0">
      <text>
        <t>Sistema: 8.24
Diferencia: 0.08</t>
      </text>
    </comment>
    <comment ref="F29" authorId="0" shapeId="0">
      <text>
        <t>Sistema: 8.18
Diferencia: 0.30</t>
      </text>
    </comment>
    <comment ref="M29" authorId="0" shapeId="0">
      <text>
        <t>Sistema: 8.21
Diferencia: 0.05</t>
      </text>
    </comment>
    <comment ref="F30" authorId="0" shapeId="0">
      <text>
        <t>Sistema: 7.90
Diferencia: 0.04</t>
      </text>
    </comment>
    <comment ref="F31" authorId="0" shapeId="0">
      <text>
        <t>Sistema: 8.06
Diferencia: 0.30</t>
      </text>
    </comment>
    <comment ref="M31" authorId="0" shapeId="0">
      <text>
        <t>Sistema: 7.72
Diferencia: 0.04</t>
      </text>
    </comment>
    <comment ref="F32" authorId="0" shapeId="0">
      <text>
        <t>Sistema: 7.65
Diferencia: 0.31</t>
      </text>
    </comment>
    <comment ref="M32" authorId="0" shapeId="0">
      <text>
        <t>Sistema: 8.29
Diferencia: 0.05</t>
      </text>
    </comment>
    <comment ref="F33" authorId="0" shapeId="0">
      <text>
        <t>Sistema: 9.10
Diferencia: 0.05</t>
      </text>
    </comment>
    <comment ref="F34" authorId="0" shapeId="0">
      <text>
        <t>Sistema: 8.38
Diferencia: 0.20</t>
      </text>
    </comment>
    <comment ref="M34" authorId="0" shapeId="0">
      <text>
        <t>Sistema: 7.86
Diferencia: 0.03</t>
      </text>
    </comment>
    <comment ref="F35" authorId="0" shapeId="0">
      <text>
        <t>Sistema: 8.60
Diferencia: 0.17</t>
      </text>
    </comment>
    <comment ref="M35" authorId="0" shapeId="0">
      <text>
        <t>Sistema: 8.82
Diferencia: 0.03</t>
      </text>
    </comment>
    <comment ref="F36" authorId="0" shapeId="0">
      <text>
        <t>Sistema: 7.55
Diferencia: 0.06</t>
      </text>
    </comment>
    <comment ref="F37" authorId="0" shapeId="0">
      <text>
        <t>Sistema: 8.19
Diferencia: 0.05</t>
      </text>
    </comment>
    <comment ref="F38" authorId="0" shapeId="0">
      <text>
        <t>Sistema: 8.70
Diferencia: 0.08</t>
      </text>
    </comment>
    <comment ref="M42" authorId="0" shapeId="0">
      <text>
        <t>Sistema: 7.49
Diferencia: 0.09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7" authorId="0" shapeId="0">
      <text>
        <t>Sistema: 8.94
Diferencia: 0.48</t>
      </text>
    </comment>
    <comment ref="N7" authorId="0" shapeId="0">
      <text>
        <t>Sistema: 9.06
Diferencia: 0.07</t>
      </text>
    </comment>
    <comment ref="G8" authorId="0" shapeId="0">
      <text>
        <t>Sistema: 8.08
Diferencia: 0.81</t>
      </text>
    </comment>
    <comment ref="N8" authorId="0" shapeId="0">
      <text>
        <t>Sistema: 8.07
Diferencia: 0.12</t>
      </text>
    </comment>
    <comment ref="G9" authorId="0" shapeId="0">
      <text>
        <t>Sistema: 7.68
Diferencia: 0.73</t>
      </text>
    </comment>
    <comment ref="N9" authorId="0" shapeId="0">
      <text>
        <t>Sistema: 8.16
Diferencia: 0.10</t>
      </text>
    </comment>
    <comment ref="G10" authorId="0" shapeId="0">
      <text>
        <t>Sistema: 9.95
Diferencia: 0.05</t>
      </text>
    </comment>
    <comment ref="G11" authorId="0" shapeId="0">
      <text>
        <t>Sistema: 9.28
Diferencia: 0.67</t>
      </text>
    </comment>
    <comment ref="N11" authorId="0" shapeId="0">
      <text>
        <t>Sistema: 8.88
Diferencia: 0.09</t>
      </text>
    </comment>
    <comment ref="G12" authorId="0" shapeId="0">
      <text>
        <t>Sistema: 7.94
Diferencia: 0.63</t>
      </text>
    </comment>
    <comment ref="N12" authorId="0" shapeId="0">
      <text>
        <t>Sistema: 7.69
Diferencia: 0.09</t>
      </text>
    </comment>
    <comment ref="G13" authorId="0" shapeId="0">
      <text>
        <t>Sistema: 7.81
Diferencia: 0.67</t>
      </text>
    </comment>
    <comment ref="N13" authorId="0" shapeId="0">
      <text>
        <t>Sistema: 8.02
Diferencia: 0.09</t>
      </text>
    </comment>
    <comment ref="G14" authorId="0" shapeId="0">
      <text>
        <t>Sistema: 8.95
Diferencia: 0.38</t>
      </text>
    </comment>
    <comment ref="N14" authorId="0" shapeId="0">
      <text>
        <t>Sistema: 8.70
Diferencia: 0.06</t>
      </text>
    </comment>
    <comment ref="G15" authorId="0" shapeId="0">
      <text>
        <t>Sistema: 8.43
Diferencia: 0.28</t>
      </text>
    </comment>
    <comment ref="N15" authorId="0" shapeId="0">
      <text>
        <t>Sistema: 8.28
Diferencia: 0.04</t>
      </text>
    </comment>
    <comment ref="G16" authorId="0" shapeId="0">
      <text>
        <t>Sistema: 8.73
Diferencia: 0.10</t>
      </text>
    </comment>
    <comment ref="G18" authorId="0" shapeId="0">
      <text>
        <t>Sistema: 8.15
Diferencia: 0.49</t>
      </text>
    </comment>
    <comment ref="N18" authorId="0" shapeId="0">
      <text>
        <t>Sistema: 7.71
Diferencia: 0.07</t>
      </text>
    </comment>
    <comment ref="G19" authorId="0" shapeId="0">
      <text>
        <t>Sistema: 9.05
Diferencia: 0.49</t>
      </text>
    </comment>
    <comment ref="N19" authorId="0" shapeId="0">
      <text>
        <t>Sistema: 9.35
Diferencia: 0.07</t>
      </text>
    </comment>
    <comment ref="G20" authorId="0" shapeId="0">
      <text>
        <t>Sistema: 9.05
Diferencia: 0.49</t>
      </text>
    </comment>
    <comment ref="N20" authorId="0" shapeId="0">
      <text>
        <t>Sistema: 9.26
Diferencia: 0.07</t>
      </text>
    </comment>
    <comment ref="G21" authorId="0" shapeId="0">
      <text>
        <t>Sistema: 8.78
Diferencia: 0.47</t>
      </text>
    </comment>
    <comment ref="N21" authorId="0" shapeId="0">
      <text>
        <t>Sistema: 7.65
Diferencia: 0.06</t>
      </text>
    </comment>
    <comment ref="G23" authorId="0" shapeId="0">
      <text>
        <t>Sistema: 7.96
Diferencia: 1.05</t>
      </text>
    </comment>
    <comment ref="N23" authorId="0" shapeId="0">
      <text>
        <t>Sistema: 7.64
Diferencia: 0.15</t>
      </text>
    </comment>
    <comment ref="G24" authorId="0" shapeId="0">
      <text>
        <t>Sistema: 9.71
Diferencia: 0.98</t>
      </text>
    </comment>
    <comment ref="N24" authorId="0" shapeId="0">
      <text>
        <t>Sistema: 9.64
Diferencia: 0.14</t>
      </text>
    </comment>
    <comment ref="G25" authorId="0" shapeId="0">
      <text>
        <t>Sistema: 7.84
Diferencia: 1.20</t>
      </text>
    </comment>
    <comment ref="N25" authorId="0" shapeId="0">
      <text>
        <t>Sistema: 7.91
Diferencia: 0.17</t>
      </text>
    </comment>
    <comment ref="G26" authorId="0" shapeId="0">
      <text>
        <t>Sistema: 8.32
Diferencia: 0.47</t>
      </text>
    </comment>
    <comment ref="N26" authorId="0" shapeId="0">
      <text>
        <t>Sistema: 7.61
Diferencia: 0.07</t>
      </text>
    </comment>
    <comment ref="G28" authorId="0" shapeId="0">
      <text>
        <t>Sistema: 8.57
Diferencia: 0.03</t>
      </text>
    </comment>
    <comment ref="G29" authorId="0" shapeId="0">
      <text>
        <t>Sistema: 8.02
Diferencia: 0.41</t>
      </text>
    </comment>
    <comment ref="N29" authorId="0" shapeId="0">
      <text>
        <t>Sistema: 8.46
Diferencia: 0.06</t>
      </text>
    </comment>
    <comment ref="G30" authorId="0" shapeId="0">
      <text>
        <t>Sistema: 9.08
Diferencia: 0.65</t>
      </text>
    </comment>
    <comment ref="N30" authorId="0" shapeId="0">
      <text>
        <t>Sistema: 8.63
Diferencia: 0.10</t>
      </text>
    </comment>
    <comment ref="G31" authorId="0" shapeId="0">
      <text>
        <t>Sistema: 9.38
Diferencia: 0.71</t>
      </text>
    </comment>
    <comment ref="N31" authorId="0" shapeId="0">
      <text>
        <t>Sistema: 8.72
Diferencia: 0.10</t>
      </text>
    </comment>
    <comment ref="G32" authorId="0" shapeId="0">
      <text>
        <t>Sistema: 9.31
Diferencia: 0.09</t>
      </text>
    </comment>
    <comment ref="G33" authorId="0" shapeId="0">
      <text>
        <t>Sistema: 8.69
Diferencia: 0.24</t>
      </text>
    </comment>
    <comment ref="N33" authorId="0" shapeId="0">
      <text>
        <t>Sistema: 7.98
Diferencia: 0.03</t>
      </text>
    </comment>
    <comment ref="G34" authorId="0" shapeId="0">
      <text>
        <t>Sistema: 9.61
Diferencia: 0.97</t>
      </text>
    </comment>
    <comment ref="N34" authorId="0" shapeId="0">
      <text>
        <t>Sistema: 9.28
Diferencia: 0.14</t>
      </text>
    </comment>
    <comment ref="G35" authorId="0" shapeId="0">
      <text>
        <t>Sistema: 7.92
Diferencia: 0.06</t>
      </text>
    </comment>
    <comment ref="J35" authorId="0" shapeId="0">
      <text>
        <t>Sistema: 7.98
Diferencia: 0.09</t>
      </text>
    </comment>
    <comment ref="G36" authorId="0" shapeId="0">
      <text>
        <t>Sistema: 8.75
Diferencia: 0.31</t>
      </text>
    </comment>
    <comment ref="N36" authorId="0" shapeId="0">
      <text>
        <t>Sistema: 8.32
Diferencia: 0.05</t>
      </text>
    </comment>
    <comment ref="G37" authorId="0" shapeId="0">
      <text>
        <t>Sistema: 9.14
Diferencia: 0.08</t>
      </text>
    </comment>
    <comment ref="G39" authorId="0" shapeId="0">
      <text>
        <t>Sistema: 8.01
Diferencia: 0.51</t>
      </text>
    </comment>
    <comment ref="N39" authorId="0" shapeId="0">
      <text>
        <t>Sistema: 7.54
Diferencia: 0.07</t>
      </text>
    </comment>
    <comment ref="G40" authorId="0" shapeId="0">
      <text>
        <t>Sistema: 8.39
Diferencia: 1.23</t>
      </text>
    </comment>
    <comment ref="N40" authorId="0" shapeId="0">
      <text>
        <t>Sistema: 7.46
Diferencia: 0.17</t>
      </text>
    </comment>
    <comment ref="G41" authorId="0" shapeId="0">
      <text>
        <t>Sistema: 8.70
Diferencia: 0.06</t>
      </text>
    </comment>
    <comment ref="N42" authorId="0" shapeId="0">
      <text>
        <t>Sistema: 9.46
Diferencia: 0.04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G12" authorId="0" shapeId="0">
      <text>
        <t>Sistema: 8.96
Diferencia: 0.08</t>
      </text>
    </comment>
    <comment ref="G13" authorId="0" shapeId="0">
      <text>
        <t>Sistema: 7.96
Diferencia: 0.39</t>
      </text>
    </comment>
    <comment ref="N13" authorId="0" shapeId="0">
      <text>
        <t>Sistema: 7.45
Diferencia: 0.05</t>
      </text>
    </comment>
    <comment ref="G14" authorId="0" shapeId="0">
      <text>
        <t>Sistema: 8.45
Diferencia: 0.80</t>
      </text>
    </comment>
    <comment ref="N14" authorId="0" shapeId="0">
      <text>
        <t>Sistema: 7.69
Diferencia: 0.11</t>
      </text>
    </comment>
    <comment ref="G15" authorId="0" shapeId="0">
      <text>
        <t>Sistema: 8.00
Diferencia: 0.85</t>
      </text>
    </comment>
    <comment ref="N15" authorId="0" shapeId="0">
      <text>
        <t>Sistema: 8.03
Diferencia: 0.12</t>
      </text>
    </comment>
    <comment ref="G16" authorId="0" shapeId="0">
      <text>
        <t>Sistema: 8.92
Diferencia: 0.29</t>
      </text>
    </comment>
    <comment ref="N16" authorId="0" shapeId="0">
      <text>
        <t>Sistema: 7.50
Diferencia: 0.04</t>
      </text>
    </comment>
    <comment ref="G17" authorId="0" shapeId="0">
      <text>
        <t>Sistema: 8.85
Diferencia: 0.70</t>
      </text>
    </comment>
    <comment ref="N17" authorId="0" shapeId="0">
      <text>
        <t>Sistema: 8.71
Diferencia: 0.10</t>
      </text>
    </comment>
    <comment ref="G18" authorId="0" shapeId="0">
      <text>
        <t>Sistema: 7.50
Diferencia: 0.18</t>
      </text>
    </comment>
    <comment ref="G19" authorId="0" shapeId="0">
      <text>
        <t>Sistema: 7.85
Diferencia: 1.41</t>
      </text>
    </comment>
    <comment ref="N19" authorId="0" shapeId="0">
      <text>
        <t>Sistema: 8.26
Diferencia: 0.20</t>
      </text>
    </comment>
    <comment ref="G20" authorId="0" shapeId="0">
      <text>
        <t>Sistema: 9.16
Diferencia: 0.30</t>
      </text>
    </comment>
    <comment ref="N20" authorId="0" shapeId="0">
      <text>
        <t>Sistema: 8.99
Diferencia: 0.04</t>
      </text>
    </comment>
    <comment ref="G21" authorId="0" shapeId="0">
      <text>
        <t>Sistema: 8.99
Diferencia: 1.17</t>
      </text>
    </comment>
    <comment ref="N21" authorId="0" shapeId="0">
      <text>
        <t>Sistema: 8.67
Diferencia: 0.16</t>
      </text>
    </comment>
    <comment ref="E22" authorId="0" shapeId="0">
      <text>
        <t>Sistema: 7.00
Diferencia: 0.06</t>
      </text>
    </comment>
    <comment ref="G22" authorId="0" shapeId="0">
      <text>
        <t>Sistema: 7.18
Diferencia: 1.07</t>
      </text>
    </comment>
    <comment ref="N22" authorId="0" shapeId="0">
      <text>
        <t>Sistema: 7.45
Diferencia: 0.16</t>
      </text>
    </comment>
    <comment ref="G24" authorId="0" shapeId="0">
      <text>
        <t>Sistema: 8.69
Diferencia: 0.55</t>
      </text>
    </comment>
    <comment ref="N24" authorId="0" shapeId="0">
      <text>
        <t>Sistema: 8.10
Diferencia: 0.08</t>
      </text>
    </comment>
    <comment ref="G25" authorId="0" shapeId="0">
      <text>
        <t>Sistema: 7.90
Diferencia: 0.61</t>
      </text>
    </comment>
    <comment ref="N25" authorId="0" shapeId="0">
      <text>
        <t>Sistema: 7.32
Diferencia: 0.08</t>
      </text>
    </comment>
    <comment ref="G26" authorId="0" shapeId="0">
      <text>
        <t>Sistema: 7.19
Diferencia: 0.13</t>
      </text>
    </comment>
    <comment ref="G27" authorId="0" shapeId="0">
      <text>
        <t>Sistema: 7.60
Diferencia: 1.31</t>
      </text>
    </comment>
    <comment ref="N27" authorId="0" shapeId="0">
      <text>
        <t>Sistema: 7.60
Diferencia: 0.19</t>
      </text>
    </comment>
    <comment ref="G29" authorId="0" shapeId="0">
      <text>
        <t>Sistema: 8.87
Diferencia: 0.63</t>
      </text>
    </comment>
    <comment ref="N29" authorId="0" shapeId="0">
      <text>
        <t>Sistema: 8.37
Diferencia: 0.09</t>
      </text>
    </comment>
    <comment ref="G30" authorId="0" shapeId="0">
      <text>
        <t>Sistema: 8.28
Diferencia: 0.70</t>
      </text>
    </comment>
    <comment ref="N30" authorId="0" shapeId="0">
      <text>
        <t>Sistema: 7.46
Diferencia: 0.10</t>
      </text>
    </comment>
    <comment ref="G32" authorId="0" shapeId="0">
      <text>
        <t>Sistema: 9.33
Diferencia: 0.03</t>
      </text>
    </comment>
    <comment ref="G33" authorId="0" shapeId="0">
      <text>
        <t>Sistema: 9.13
Diferencia: 1.24</t>
      </text>
    </comment>
    <comment ref="N33" authorId="0" shapeId="0">
      <text>
        <t>Sistema: 8.78
Diferencia: 0.18</t>
      </text>
    </comment>
    <comment ref="G34" authorId="0" shapeId="0">
      <text>
        <t>Sistema: 7.70
Diferencia: 0.22</t>
      </text>
    </comment>
    <comment ref="N34" authorId="0" shapeId="0">
      <text>
        <t>Sistema: 8.06
Diferencia: 0.03</t>
      </text>
    </comment>
    <comment ref="G35" authorId="0" shapeId="0">
      <text>
        <t>Sistema: 7.78
Diferencia: 0.25</t>
      </text>
    </comment>
    <comment ref="N35" authorId="0" shapeId="0">
      <text>
        <t>Sistema: 7.31
Diferencia: 0.04</t>
      </text>
    </comment>
    <comment ref="G36" authorId="0" shapeId="0">
      <text>
        <t>Sistema: 8.11
Diferencia: 0.07</t>
      </text>
    </comment>
    <comment ref="G37" authorId="0" shapeId="0">
      <text>
        <t>Sistema: 7.59
Diferencia: 0.49</t>
      </text>
    </comment>
    <comment ref="N37" authorId="0" shapeId="0">
      <text>
        <t>Sistema: 7.88
Diferencia: 0.07</t>
      </text>
    </comment>
    <comment ref="G38" authorId="0" shapeId="0">
      <text>
        <t>Sistema: 8.01
Diferencia: 0.86</t>
      </text>
    </comment>
    <comment ref="N38" authorId="0" shapeId="0">
      <text>
        <t>Sistema: 7.63
Diferencia: 0.12</t>
      </text>
    </comment>
    <comment ref="E39" authorId="0" shapeId="0">
      <text>
        <t>Sistema: 7.09
Diferencia: 0.09</t>
      </text>
    </comment>
    <comment ref="G39" authorId="0" shapeId="0">
      <text>
        <t>Sistema: 8.14
Diferencia: 0.72</t>
      </text>
    </comment>
    <comment ref="N39" authorId="0" shapeId="0">
      <text>
        <t>Sistema: 7.41
Diferencia: 0.09</t>
      </text>
    </comment>
    <comment ref="G40" authorId="0" shapeId="0">
      <text>
        <t>Sistema: 9.35
Diferencia: 1.23</t>
      </text>
    </comment>
    <comment ref="N40" authorId="0" shapeId="0">
      <text>
        <t>Sistema: 9.54
Diferencia: 0.17</t>
      </text>
    </comment>
    <comment ref="G41" authorId="0" shapeId="0">
      <text>
        <t>Sistema: 8.99
Diferencia: 0.68</t>
      </text>
    </comment>
    <comment ref="N41" authorId="0" shapeId="0">
      <text>
        <t>Sistema: 9.12
Diferencia: 0.09</t>
      </text>
    </comment>
    <comment ref="G42" authorId="0" shapeId="0">
      <text>
        <t>Sistema: 7.71
Diferencia: 1.06</t>
      </text>
    </comment>
    <comment ref="N42" authorId="0" shapeId="0">
      <text>
        <t>Sistema: 7.95
Diferencia: 0.15</t>
      </text>
    </comment>
    <comment ref="G43" authorId="0" shapeId="0">
      <text>
        <t>Sistema: 7.75
Diferencia: 0.58</t>
      </text>
    </comment>
    <comment ref="N43" authorId="0" shapeId="0">
      <text>
        <t>Sistema: 7.83
Diferencia: 0.08</t>
      </text>
    </comment>
    <comment ref="G44" authorId="0" shapeId="0">
      <text>
        <t>Sistema: 8.79
Diferencia: 0.46</t>
      </text>
    </comment>
    <comment ref="N44" authorId="0" shapeId="0">
      <text>
        <t>Sistema: 8.79
Diferencia: 0.06</t>
      </text>
    </comment>
    <comment ref="G45" authorId="0" shapeId="0">
      <text>
        <t>Sistema: 8.85
Diferencia: 0.40</t>
      </text>
    </comment>
    <comment ref="N45" authorId="0" shapeId="0">
      <text>
        <t>Sistema: 8.54
Diferencia: 0.06</t>
      </text>
    </comment>
    <comment ref="F47" authorId="0" shapeId="0">
      <text>
        <t>Sistema: 7.36
Diferencia: 0.30</t>
      </text>
    </comment>
    <comment ref="G47" authorId="0" shapeId="0">
      <text>
        <t>Sistema: 8.54
Diferencia: 0.47</t>
      </text>
    </comment>
    <comment ref="N47" authorId="0" shapeId="0">
      <text>
        <t>Sistema: 8.27
Diferencia: 0.11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G7" authorId="0" shapeId="0">
      <text>
        <t>Sistema: 8.76
Diferencia: 0.13</t>
      </text>
    </comment>
    <comment ref="G9" authorId="0" shapeId="0">
      <text>
        <t>Sistema: 7.83
Diferencia: 1.10</t>
      </text>
    </comment>
    <comment ref="N9" authorId="0" shapeId="0">
      <text>
        <t>Sistema: 7.96
Diferencia: 0.16</t>
      </text>
    </comment>
    <comment ref="D10" authorId="0" shapeId="0">
      <text>
        <t>Sistema: 8.25
Diferencia: 0.33</t>
      </text>
    </comment>
    <comment ref="G10" authorId="0" shapeId="0">
      <text>
        <t>Sistema: 8.63
Diferencia: 0.25</t>
      </text>
    </comment>
    <comment ref="N10" authorId="0" shapeId="0">
      <text>
        <t>Sistema: 7.64
Diferencia: 0.08</t>
      </text>
    </comment>
    <comment ref="D11" authorId="0" shapeId="0">
      <text>
        <t>Sistema: 9.87
Diferencia: 0.10</t>
      </text>
    </comment>
    <comment ref="E11" authorId="0" shapeId="0">
      <text>
        <t>Sistema: 9.90
Diferencia: 0.10</t>
      </text>
    </comment>
    <comment ref="G11" authorId="0" shapeId="0">
      <text>
        <t>Sistema: 9.73
Diferencia: 0.10</t>
      </text>
    </comment>
    <comment ref="N11" authorId="0" shapeId="0">
      <text>
        <t>Sistema: 9.82
Diferencia: 0.05</t>
      </text>
    </comment>
    <comment ref="G12" authorId="0" shapeId="0">
      <text>
        <t>Sistema: 7.37
Diferencia: 0.28</t>
      </text>
    </comment>
    <comment ref="N12" authorId="0" shapeId="0">
      <text>
        <t>Sistema: 7.23
Diferencia: 0.04</t>
      </text>
    </comment>
    <comment ref="G13" authorId="0" shapeId="0">
      <text>
        <t>Sistema: 7.47
Diferencia: 0.03</t>
      </text>
    </comment>
    <comment ref="J13" authorId="0" shapeId="0">
      <text>
        <t>Sistema: 7.75
Diferencia: 0.70</t>
      </text>
    </comment>
    <comment ref="N13" authorId="0" shapeId="0">
      <text>
        <t>Sistema: 7.30
Diferencia: 0.09</t>
      </text>
    </comment>
    <comment ref="E14" authorId="0" shapeId="0">
      <text>
        <t>Sistema: 7.66
Diferencia: 0.66</t>
      </text>
    </comment>
    <comment ref="G14" authorId="0" shapeId="0">
      <text>
        <t>Sistema: 8.15
Diferencia: 0.61</t>
      </text>
    </comment>
    <comment ref="N14" authorId="0" shapeId="0">
      <text>
        <t>Sistema: 7.76
Diferencia: 0.18</t>
      </text>
    </comment>
    <comment ref="G15" authorId="0" shapeId="0">
      <text>
        <t>Sistema: 9.34
Diferencia: 0.03</t>
      </text>
    </comment>
    <comment ref="D16" authorId="0" shapeId="0">
      <text>
        <t>Sistema: 8.03
Diferencia: 0.34</t>
      </text>
    </comment>
    <comment ref="G16" authorId="0" shapeId="0">
      <text>
        <t>Sistema: 8.94
Diferencia: 0.14</t>
      </text>
    </comment>
    <comment ref="N16" authorId="0" shapeId="0">
      <text>
        <t>Sistema: 8.13
Diferencia: 0.07</t>
      </text>
    </comment>
    <comment ref="G17" authorId="0" shapeId="0">
      <text>
        <t>Sistema: 8.78
Diferencia: 0.18</t>
      </text>
    </comment>
    <comment ref="G18" authorId="0" shapeId="0">
      <text>
        <t>Sistema: 9.23
Diferencia: 0.24</t>
      </text>
    </comment>
    <comment ref="N18" authorId="0" shapeId="0">
      <text>
        <t>Sistema: 9.28
Diferencia: 0.04</t>
      </text>
    </comment>
    <comment ref="G19" authorId="0" shapeId="0">
      <text>
        <t>Sistema: 8.56
Diferencia: 0.50</t>
      </text>
    </comment>
    <comment ref="N19" authorId="0" shapeId="0">
      <text>
        <t>Sistema: 8.36
Diferencia: 0.07</t>
      </text>
    </comment>
    <comment ref="G20" authorId="0" shapeId="0">
      <text>
        <t>Sistema: 8.58
Diferencia: 0.51</t>
      </text>
    </comment>
    <comment ref="N20" authorId="0" shapeId="0">
      <text>
        <t>Sistema: 9.13
Diferencia: 0.08</t>
      </text>
    </comment>
    <comment ref="G21" authorId="0" shapeId="0">
      <text>
        <t>Sistema: 9.07
Diferencia: 0.39</t>
      </text>
    </comment>
    <comment ref="N21" authorId="0" shapeId="0">
      <text>
        <t>Sistema: 9.38
Diferencia: 0.05</t>
      </text>
    </comment>
    <comment ref="G22" authorId="0" shapeId="0">
      <text>
        <t>Sistema: 7.89
Diferencia: 0.70</t>
      </text>
    </comment>
    <comment ref="N22" authorId="0" shapeId="0">
      <text>
        <t>Sistema: 7.59
Diferencia: 0.10</t>
      </text>
    </comment>
    <comment ref="F24" authorId="0" shapeId="0">
      <text>
        <t>Sistema: 7.00
Diferencia: 1.54</t>
      </text>
    </comment>
    <comment ref="G24" authorId="0" shapeId="0">
      <text>
        <t>Sistema: 8.79
Diferencia: 1.13</t>
      </text>
    </comment>
    <comment ref="N24" authorId="0" shapeId="0">
      <text>
        <t>Sistema: 7.85
Diferencia: 0.06</t>
      </text>
    </comment>
    <comment ref="D25" authorId="0" shapeId="0">
      <text>
        <t>Sistema: 9.43
Diferencia: 0.18</t>
      </text>
    </comment>
    <comment ref="N25" authorId="0" shapeId="0">
      <text>
        <t>Sistema: 9.20
Diferencia: 0.03</t>
      </text>
    </comment>
    <comment ref="G26" authorId="0" shapeId="0">
      <text>
        <t>Sistema: 9.74
Diferencia: 0.41</t>
      </text>
    </comment>
    <comment ref="N26" authorId="0" shapeId="0">
      <text>
        <t>Sistema: 9.35
Diferencia: 0.06</t>
      </text>
    </comment>
    <comment ref="G27" authorId="0" shapeId="0">
      <text>
        <t>Sistema: 7.30
Diferencia: 2.06</t>
      </text>
    </comment>
    <comment ref="N27" authorId="0" shapeId="0">
      <text>
        <t>Sistema: 7.62
Diferencia: 0.29</t>
      </text>
    </comment>
    <comment ref="G28" authorId="0" shapeId="0">
      <text>
        <t>Sistema: 7.54
Diferencia: 0.50</t>
      </text>
    </comment>
    <comment ref="N28" authorId="0" shapeId="0">
      <text>
        <t>Sistema: 7.67
Diferencia: 0.07</t>
      </text>
    </comment>
    <comment ref="G29" authorId="0" shapeId="0">
      <text>
        <t>Sistema: 8.58
Diferencia: 0.90</t>
      </text>
    </comment>
    <comment ref="N29" authorId="0" shapeId="0">
      <text>
        <t>Sistema: 7.62
Diferencia: 0.12</t>
      </text>
    </comment>
    <comment ref="G30" authorId="0" shapeId="0">
      <text>
        <t>Sistema: 8.87
Diferencia: 0.93</t>
      </text>
    </comment>
    <comment ref="N30" authorId="0" shapeId="0">
      <text>
        <t>Sistema: 8.35
Diferencia: 0.13</t>
      </text>
    </comment>
    <comment ref="G31" authorId="0" shapeId="0">
      <text>
        <t>Sistema: 9.28
Diferencia: 0.14</t>
      </text>
    </comment>
    <comment ref="G32" authorId="0" shapeId="0">
      <text>
        <t>Sistema: 8.40
Diferencia: 1.21</t>
      </text>
    </comment>
    <comment ref="N32" authorId="0" shapeId="0">
      <text>
        <t>Sistema: 7.71
Diferencia: 0.17</t>
      </text>
    </comment>
    <comment ref="G33" authorId="0" shapeId="0">
      <text>
        <t>Sistema: 7.70
Diferencia: 0.43</t>
      </text>
    </comment>
    <comment ref="N33" authorId="0" shapeId="0">
      <text>
        <t>Sistema: 8.00
Diferencia: 0.06</t>
      </text>
    </comment>
    <comment ref="G34" authorId="0" shapeId="0">
      <text>
        <t>Sistema: 8.97
Diferencia: 1.01</t>
      </text>
    </comment>
    <comment ref="J34" authorId="0" shapeId="0">
      <text>
        <t>Sistema: 9.19
Diferencia: 0.12</t>
      </text>
    </comment>
    <comment ref="N34" authorId="0" shapeId="0">
      <text>
        <t>Sistema: 8.91
Diferencia: 0.12</t>
      </text>
    </comment>
    <comment ref="G35" authorId="0" shapeId="0">
      <text>
        <t>Sistema: 7.65
Diferencia: 1.40</t>
      </text>
    </comment>
    <comment ref="N35" authorId="0" shapeId="0">
      <text>
        <t>Sistema: 7.43
Diferencia: 0.20</t>
      </text>
    </comment>
    <comment ref="G36" authorId="0" shapeId="0">
      <text>
        <t>Sistema: 8.46
Diferencia: 1.02</t>
      </text>
    </comment>
    <comment ref="N36" authorId="0" shapeId="0">
      <text>
        <t>Sistema: 7.97
Diferencia: 0.14</t>
      </text>
    </comment>
    <comment ref="G37" authorId="0" shapeId="0">
      <text>
        <t>Sistema: 7.73
Diferencia: 0.91</t>
      </text>
    </comment>
    <comment ref="N37" authorId="0" shapeId="0">
      <text>
        <t>Sistema: 7.73
Diferencia: 0.13</t>
      </text>
    </comment>
    <comment ref="G38" authorId="0" shapeId="0">
      <text>
        <t>Sistema: 7.77
Diferencia: 0.68</t>
      </text>
    </comment>
    <comment ref="N38" authorId="0" shapeId="0">
      <text>
        <t>Sistema: 7.68
Diferencia: 0.10</t>
      </text>
    </comment>
    <comment ref="G39" authorId="0" shapeId="0">
      <text>
        <t>Sistema: 8.78
Diferencia: 1.34</t>
      </text>
    </comment>
    <comment ref="N39" authorId="0" shapeId="0">
      <text>
        <t>Sistema: 7.91
Diferencia: 0.20</t>
      </text>
    </comment>
    <comment ref="G40" authorId="0" shapeId="0">
      <text>
        <t>Sistema: 8.76
Diferencia: 0.07</t>
      </text>
    </comment>
    <comment ref="G41" authorId="0" shapeId="0">
      <text>
        <t>Sistema: 8.45
Diferencia: 0.45</t>
      </text>
    </comment>
    <comment ref="N41" authorId="0" shapeId="0">
      <text>
        <t>Sistema: 8.57
Diferencia: 0.07</t>
      </text>
    </comment>
    <comment ref="G42" authorId="0" shapeId="0">
      <text>
        <t>Sistema: 8.57
Diferencia: 0.54</t>
      </text>
    </comment>
    <comment ref="N42" authorId="0" shapeId="0">
      <text>
        <t>Sistema: 8.96
Diferencia: 0.08</t>
      </text>
    </comment>
    <comment ref="G43" authorId="0" shapeId="0">
      <text>
        <t>Sistema: 8.24
Diferencia: 0.71</t>
      </text>
    </comment>
    <comment ref="N43" authorId="0" shapeId="0">
      <text>
        <t>Sistema: 9.20
Diferencia: 0.10</t>
      </text>
    </comment>
    <comment ref="G44" authorId="0" shapeId="0">
      <text>
        <t>Sistema: 7.83
Diferencia: 0.85</t>
      </text>
    </comment>
    <comment ref="N44" authorId="0" shapeId="0">
      <text>
        <t>Sistema: 7.68
Diferencia: 0.12</t>
      </text>
    </comment>
    <comment ref="G45" authorId="0" shapeId="0">
      <text>
        <t>Sistema: 9.15
Diferencia: 1.73</t>
      </text>
    </comment>
    <comment ref="N45" authorId="0" shapeId="0">
      <text>
        <t>Sistema: 7.79
Diferencia: 0.25</t>
      </text>
    </comment>
    <comment ref="G46" authorId="0" shapeId="0">
      <text>
        <t>Sistema: 8.85
Diferencia: 0.07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J41" authorId="0" shapeId="0">
      <text>
        <t>Sistema: 9.64
Diferencia: 0.03</t>
      </text>
    </comment>
    <comment ref="N43" authorId="0" shapeId="0">
      <text>
        <t>Sistema: 2.97
Diferencia: 0.39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G7" authorId="0" shapeId="0">
      <text>
        <t>Sistema: 7.60
Diferencia: 0.09</t>
      </text>
    </comment>
    <comment ref="G8" authorId="0" shapeId="0">
      <text>
        <t>Sistema: 8.24
Diferencia: 0.12</t>
      </text>
    </comment>
    <comment ref="G9" authorId="0" shapeId="0">
      <text>
        <t>Sistema: 7.80
Diferencia: 0.10</t>
      </text>
    </comment>
    <comment ref="G10" authorId="0" shapeId="0">
      <text>
        <t>Sistema: 7.95
Diferencia: 0.50</t>
      </text>
    </comment>
    <comment ref="N10" authorId="0" shapeId="0">
      <text>
        <t>Sistema: 7.66
Diferencia: 0.07</t>
      </text>
    </comment>
    <comment ref="G11" authorId="0" shapeId="0">
      <text>
        <t>Sistema: 8.00
Diferencia: 0.31</t>
      </text>
    </comment>
    <comment ref="N11" authorId="0" shapeId="0">
      <text>
        <t>Sistema: 7.53
Diferencia: 0.04</t>
      </text>
    </comment>
    <comment ref="G12" authorId="0" shapeId="0">
      <text>
        <t>Sistema: 7.89
Diferencia: 0.07</t>
      </text>
    </comment>
    <comment ref="G13" authorId="0" shapeId="0">
      <text>
        <t>Sistema: 9.60
Diferencia: 0.46</t>
      </text>
    </comment>
    <comment ref="N13" authorId="0" shapeId="0">
      <text>
        <t>Sistema: 8.79
Diferencia: 0.06</t>
      </text>
    </comment>
    <comment ref="G14" authorId="0" shapeId="0">
      <text>
        <t>Sistema: 9.60
Diferencia: 0.27</t>
      </text>
    </comment>
    <comment ref="N14" authorId="0" shapeId="0">
      <text>
        <t>Sistema: 8.73
Diferencia: 0.04</t>
      </text>
    </comment>
    <comment ref="G15" authorId="0" shapeId="0">
      <text>
        <t>Sistema: 8.27
Diferencia: 0.40</t>
      </text>
    </comment>
    <comment ref="N15" authorId="0" shapeId="0">
      <text>
        <t>Sistema: 7.61
Diferencia: 0.06</t>
      </text>
    </comment>
    <comment ref="G16" authorId="0" shapeId="0">
      <text>
        <t>Sistema: 8.54
Diferencia: 0.10</t>
      </text>
    </comment>
    <comment ref="F17" authorId="0" shapeId="0">
      <text>
        <t>Sistema: 7.20
Diferencia: 0.18</t>
      </text>
    </comment>
    <comment ref="G17" authorId="0" shapeId="0">
      <text>
        <t>Sistema: 7.46
Diferencia: 0.19</t>
      </text>
    </comment>
    <comment ref="N17" authorId="0" shapeId="0">
      <text>
        <t>Sistema: 7.38
Diferencia: 0.06</t>
      </text>
    </comment>
    <comment ref="G18" authorId="0" shapeId="0">
      <text>
        <t>Sistema: 8.04
Diferencia: 0.25</t>
      </text>
    </comment>
    <comment ref="N18" authorId="0" shapeId="0">
      <text>
        <t>Sistema: 7.81
Diferencia: 0.03</t>
      </text>
    </comment>
    <comment ref="G19" authorId="0" shapeId="0">
      <text>
        <t>Sistema: 9.76
Diferencia: 0.17</t>
      </text>
    </comment>
    <comment ref="G20" authorId="0" shapeId="0">
      <text>
        <t>Sistema: 8.44
Diferencia: 0.19</t>
      </text>
    </comment>
    <comment ref="N20" authorId="0" shapeId="0">
      <text>
        <t>Sistema: 7.44
Diferencia: 0.03</t>
      </text>
    </comment>
    <comment ref="G22" authorId="0" shapeId="0">
      <text>
        <t>Sistema: 9.92
Diferencia: 0.19</t>
      </text>
    </comment>
    <comment ref="N22" authorId="0" shapeId="0">
      <text>
        <t>Sistema: 9.60
Diferencia: 0.03</t>
      </text>
    </comment>
    <comment ref="G23" authorId="0" shapeId="0">
      <text>
        <t>Sistema: 9.66
Diferencia: 0.52</t>
      </text>
    </comment>
    <comment ref="N23" authorId="0" shapeId="0">
      <text>
        <t>Sistema: 9.57
Diferencia: 0.07</t>
      </text>
    </comment>
    <comment ref="G25" authorId="0" shapeId="0">
      <text>
        <t>Sistema: 9.51
Diferencia: 0.13</t>
      </text>
    </comment>
    <comment ref="I25" authorId="0" shapeId="0">
      <text>
        <t>Sistema: 9.41
Diferencia: 0.37</t>
      </text>
    </comment>
    <comment ref="N25" authorId="0" shapeId="0">
      <text>
        <t>Sistema: 9.01
Diferencia: 0.03</t>
      </text>
    </comment>
    <comment ref="G26" authorId="0" shapeId="0">
      <text>
        <t>Sistema: 8.27
Diferencia: 0.43</t>
      </text>
    </comment>
    <comment ref="N26" authorId="0" shapeId="0">
      <text>
        <t>Sistema: 8.26
Diferencia: 0.06</t>
      </text>
    </comment>
    <comment ref="G27" authorId="0" shapeId="0">
      <text>
        <t>Sistema: 9.92
Diferencia: 0.77</t>
      </text>
    </comment>
    <comment ref="N27" authorId="0" shapeId="0">
      <text>
        <t>Sistema: 9.02
Diferencia: 0.11</t>
      </text>
    </comment>
    <comment ref="G29" authorId="0" shapeId="0">
      <text>
        <t>Sistema: 8.02
Diferencia: 0.16</t>
      </text>
    </comment>
    <comment ref="G32" authorId="0" shapeId="0">
      <text>
        <t>Sistema: 9.07
Diferencia: 0.07</t>
      </text>
    </comment>
    <comment ref="G33" authorId="0" shapeId="0">
      <text>
        <t>Sistema: 9.77
Diferencia: 0.20</t>
      </text>
    </comment>
    <comment ref="N33" authorId="0" shapeId="0">
      <text>
        <t>Sistema: 9.16
Diferencia: 0.03</t>
      </text>
    </comment>
    <comment ref="G34" authorId="0" shapeId="0">
      <text>
        <t>Sistema: 9.15
Diferencia: 0.70</t>
      </text>
    </comment>
    <comment ref="N34" authorId="0" shapeId="0">
      <text>
        <t>Sistema: 8.03
Diferencia: 0.10</t>
      </text>
    </comment>
    <comment ref="G35" authorId="0" shapeId="0">
      <text>
        <t>Sistema: 8.16
Diferencia: 0.23</t>
      </text>
    </comment>
    <comment ref="N35" authorId="0" shapeId="0">
      <text>
        <t>Sistema: 8.16
Diferencia: 0.03</t>
      </text>
    </comment>
    <comment ref="G37" authorId="0" shapeId="0">
      <text>
        <t>Sistema: 8.92
Diferencia: 0.19</t>
      </text>
    </comment>
    <comment ref="N37" authorId="0" shapeId="0">
      <text>
        <t>Sistema: 8.22
Diferencia: 0.03</t>
      </text>
    </comment>
    <comment ref="G38" authorId="0" shapeId="0">
      <text>
        <t>Sistema: 8.44
Diferencia: 0.28</t>
      </text>
    </comment>
    <comment ref="N38" authorId="0" shapeId="0">
      <text>
        <t>Sistema: 8.29
Diferencia: 0.04</t>
      </text>
    </comment>
    <comment ref="G39" authorId="0" shapeId="0">
      <text>
        <t>Sistema: 8.04
Diferencia: 0.12</t>
      </text>
    </comment>
    <comment ref="G40" authorId="0" shapeId="0">
      <text>
        <t>Sistema: 9.28
Diferencia: 0.08</t>
      </text>
    </comment>
    <comment ref="E41" authorId="0" shapeId="0">
      <text>
        <t>Sistema: 7.69
Diferencia: 0.09</t>
      </text>
    </comment>
    <comment ref="G41" authorId="0" shapeId="0">
      <text>
        <t>Sistema: 7.71
Diferencia: 0.35</t>
      </text>
    </comment>
    <comment ref="N41" authorId="0" shapeId="0">
      <text>
        <t>Sistema: 8.17
Diferencia: 0.07</t>
      </text>
    </comment>
    <comment ref="G42" authorId="0" shapeId="0">
      <text>
        <t>Sistema: 9.82
Diferencia: 0.05</t>
      </text>
    </comment>
    <comment ref="G43" authorId="0" shapeId="0">
      <text>
        <t>Sistema: 8.73
Diferencia: 0.04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xavie/OneDrive/Escritorio/EEUU_2024-2025/SISTEMA%2520DE%2520NOTAS%25202024-2025/MATRIZ%2520DE%2520REGISTRO%2520DE%2520NOTAS_SUPERIO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ADOS"/>
      <sheetName val="1er. Trimestre."/>
      <sheetName val="2do. Trimestre"/>
      <sheetName val="3er. Trimestre"/>
      <sheetName val="PROMEDIO ANU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26" min="1" max="1"/>
    <col width="36" customWidth="1" style="226" min="2" max="2"/>
    <col width="30" customWidth="1" style="226" min="3" max="3"/>
    <col width="16" customWidth="1" style="226" min="4" max="4"/>
    <col width="16" customWidth="1" style="226" min="5" max="5"/>
    <col width="14" customWidth="1" style="226" min="6" max="6"/>
    <col width="22" customWidth="1" style="226" min="7" max="7"/>
  </cols>
  <sheetData>
    <row r="1" ht="26" customHeight="1" s="226">
      <c r="A1" s="252" t="inlineStr">
        <is>
          <t>Curso</t>
        </is>
      </c>
      <c r="B1" s="252" t="inlineStr">
        <is>
          <t>Estudiante</t>
        </is>
      </c>
      <c r="C1" s="252" t="inlineStr">
        <is>
          <t>Materia</t>
        </is>
      </c>
      <c r="D1" s="252" t="inlineStr">
        <is>
          <t>Nota Docente</t>
        </is>
      </c>
      <c r="E1" s="252" t="inlineStr">
        <is>
          <t>Nota Sistema</t>
        </is>
      </c>
      <c r="F1" s="252" t="inlineStr">
        <is>
          <t>Diferencia</t>
        </is>
      </c>
      <c r="G1" s="252" t="inlineStr">
        <is>
          <t>Estado</t>
        </is>
      </c>
    </row>
    <row r="2" ht="20" customHeight="1" s="226">
      <c r="A2" s="253" t="inlineStr">
        <is>
          <t>8AV</t>
        </is>
      </c>
      <c r="B2" s="253" t="inlineStr">
        <is>
          <t>ARIAS PACHECO MARIBEL FATIMA</t>
        </is>
      </c>
      <c r="C2" s="253" t="inlineStr">
        <is>
          <t>Estudios Sociales</t>
        </is>
      </c>
      <c r="D2" s="253" t="n">
        <v>8.82</v>
      </c>
      <c r="E2" s="253" t="n">
        <v>9.550000000000001</v>
      </c>
      <c r="F2" s="253" t="n">
        <v>0.73</v>
      </c>
      <c r="G2" s="253" t="inlineStr">
        <is>
          <t>ERROR</t>
        </is>
      </c>
    </row>
    <row r="3" ht="20" customHeight="1" s="226">
      <c r="A3" s="253" t="inlineStr">
        <is>
          <t>8AV</t>
        </is>
      </c>
      <c r="B3" s="253" t="inlineStr">
        <is>
          <t>ARIAS PACHECO MARIBEL FATIMA</t>
        </is>
      </c>
      <c r="C3" s="253" t="inlineStr">
        <is>
          <t>Promedio Final / P. General</t>
        </is>
      </c>
      <c r="D3" s="253" t="n">
        <v>8.949999999999999</v>
      </c>
      <c r="E3" s="253" t="n">
        <v>9.050000000000001</v>
      </c>
      <c r="F3" s="253" t="n">
        <v>0.1</v>
      </c>
      <c r="G3" s="253" t="inlineStr">
        <is>
          <t>ERROR</t>
        </is>
      </c>
    </row>
    <row r="4" ht="20" customHeight="1" s="226">
      <c r="A4" s="253" t="inlineStr">
        <is>
          <t>8AV</t>
        </is>
      </c>
      <c r="B4" s="253" t="inlineStr">
        <is>
          <t>CAGUANA CHIRIBOGA CARLA NICOLLE</t>
        </is>
      </c>
      <c r="C4" s="253" t="inlineStr">
        <is>
          <t>Promedio Final / P. General</t>
        </is>
      </c>
      <c r="D4" s="253" t="n">
        <v>8.970000000000001</v>
      </c>
      <c r="E4" s="253" t="n">
        <v>8.859999999999999</v>
      </c>
      <c r="F4" s="253" t="n">
        <v>0.11</v>
      </c>
      <c r="G4" s="253" t="inlineStr">
        <is>
          <t>ERROR</t>
        </is>
      </c>
    </row>
    <row r="5" ht="20" customHeight="1" s="226">
      <c r="A5" s="253" t="inlineStr">
        <is>
          <t>8AV</t>
        </is>
      </c>
      <c r="B5" s="253" t="inlineStr">
        <is>
          <t>CAMPOVERDE VALDEZ DAYANNA BELEN</t>
        </is>
      </c>
      <c r="C5" s="253" t="inlineStr">
        <is>
          <t>Estudios Sociales</t>
        </is>
      </c>
      <c r="D5" s="253" t="n">
        <v>8.640000000000001</v>
      </c>
      <c r="E5" s="253" t="n">
        <v>9.050000000000001</v>
      </c>
      <c r="F5" s="253" t="n">
        <v>0.41</v>
      </c>
      <c r="G5" s="253" t="inlineStr">
        <is>
          <t>ERROR</t>
        </is>
      </c>
    </row>
    <row r="6" ht="20" customHeight="1" s="226">
      <c r="A6" s="253" t="inlineStr">
        <is>
          <t>8AV</t>
        </is>
      </c>
      <c r="B6" s="253" t="inlineStr">
        <is>
          <t>CAMPOVERDE VALDEZ DAYANNA BELEN</t>
        </is>
      </c>
      <c r="C6" s="253" t="inlineStr">
        <is>
          <t>Promedio Final / P. General</t>
        </is>
      </c>
      <c r="D6" s="253" t="n">
        <v>8.33</v>
      </c>
      <c r="E6" s="253" t="n">
        <v>8.390000000000001</v>
      </c>
      <c r="F6" s="253" t="n">
        <v>0.06</v>
      </c>
      <c r="G6" s="253" t="inlineStr">
        <is>
          <t>ERROR</t>
        </is>
      </c>
    </row>
    <row r="7" ht="20" customHeight="1" s="226">
      <c r="A7" s="253" t="inlineStr">
        <is>
          <t>8AV</t>
        </is>
      </c>
      <c r="B7" s="253" t="inlineStr">
        <is>
          <t>CUMBE JIMENEZ CAMILA PATRICIA</t>
        </is>
      </c>
      <c r="C7" s="253" t="inlineStr">
        <is>
          <t>Promedio Final / P. General</t>
        </is>
      </c>
      <c r="D7" s="253" t="n">
        <v>7.55</v>
      </c>
      <c r="E7" s="253" t="n">
        <v>7.51</v>
      </c>
      <c r="F7" s="253" t="n">
        <v>0.04</v>
      </c>
      <c r="G7" s="253" t="inlineStr">
        <is>
          <t>ERROR</t>
        </is>
      </c>
    </row>
    <row r="8" ht="20" customHeight="1" s="226">
      <c r="A8" s="253" t="inlineStr">
        <is>
          <t>8AV</t>
        </is>
      </c>
      <c r="B8" s="253" t="inlineStr">
        <is>
          <t>ESPINOSA GUAZHA SANTIAGO EFRAIN</t>
        </is>
      </c>
      <c r="C8" s="253" t="inlineStr">
        <is>
          <t>Estudios Sociales</t>
        </is>
      </c>
      <c r="D8" s="253" t="n">
        <v>8.81</v>
      </c>
      <c r="E8" s="253" t="n">
        <v>8.85</v>
      </c>
      <c r="F8" s="253" t="n">
        <v>0.04</v>
      </c>
      <c r="G8" s="253" t="inlineStr">
        <is>
          <t>ERROR</t>
        </is>
      </c>
    </row>
    <row r="9" ht="20" customHeight="1" s="226">
      <c r="A9" s="253" t="inlineStr">
        <is>
          <t>8AV</t>
        </is>
      </c>
      <c r="B9" s="253" t="inlineStr">
        <is>
          <t>ESPINOZA POMA DOMENICA DEL CISNE</t>
        </is>
      </c>
      <c r="C9" s="253" t="inlineStr">
        <is>
          <t>Estudios Sociales</t>
        </is>
      </c>
      <c r="D9" s="253" t="n">
        <v>8.76</v>
      </c>
      <c r="E9" s="253" t="n">
        <v>8.390000000000001</v>
      </c>
      <c r="F9" s="253" t="n">
        <v>0.37</v>
      </c>
      <c r="G9" s="253" t="inlineStr">
        <is>
          <t>ERROR</t>
        </is>
      </c>
    </row>
    <row r="10" ht="20" customHeight="1" s="226">
      <c r="A10" s="253" t="inlineStr">
        <is>
          <t>8AV</t>
        </is>
      </c>
      <c r="B10" s="253" t="inlineStr">
        <is>
          <t>ESPINOZA POMA DOMENICA DEL CISNE</t>
        </is>
      </c>
      <c r="C10" s="253" t="inlineStr">
        <is>
          <t>Promedio Final / P. General</t>
        </is>
      </c>
      <c r="D10" s="253" t="n">
        <v>8.84</v>
      </c>
      <c r="E10" s="253" t="n">
        <v>8.789999999999999</v>
      </c>
      <c r="F10" s="253" t="n">
        <v>0.05</v>
      </c>
      <c r="G10" s="253" t="inlineStr">
        <is>
          <t>ERROR</t>
        </is>
      </c>
    </row>
    <row r="11" ht="20" customHeight="1" s="226">
      <c r="A11" s="253" t="inlineStr">
        <is>
          <t>8AV</t>
        </is>
      </c>
      <c r="B11" s="253" t="inlineStr">
        <is>
          <t>GUAMAN SHIRAP DASHA ABIGAIL</t>
        </is>
      </c>
      <c r="C11" s="253" t="inlineStr">
        <is>
          <t>Estudios Sociales</t>
        </is>
      </c>
      <c r="D11" s="253" t="n">
        <v>7.9</v>
      </c>
      <c r="E11" s="253" t="n">
        <v>8.199999999999999</v>
      </c>
      <c r="F11" s="253" t="n">
        <v>0.3</v>
      </c>
      <c r="G11" s="253" t="inlineStr">
        <is>
          <t>ERROR</t>
        </is>
      </c>
    </row>
    <row r="12" ht="20" customHeight="1" s="226">
      <c r="A12" s="253" t="inlineStr">
        <is>
          <t>8AV</t>
        </is>
      </c>
      <c r="B12" s="253" t="inlineStr">
        <is>
          <t>GUAMAN SHIRAP DASHA ABIGAIL</t>
        </is>
      </c>
      <c r="C12" s="253" t="inlineStr">
        <is>
          <t>Promedio Final / P. General</t>
        </is>
      </c>
      <c r="D12" s="253" t="n">
        <v>7.85</v>
      </c>
      <c r="E12" s="253" t="n">
        <v>6.63</v>
      </c>
      <c r="F12" s="253" t="n">
        <v>1.22</v>
      </c>
      <c r="G12" s="253" t="inlineStr">
        <is>
          <t>ERROR</t>
        </is>
      </c>
    </row>
    <row r="13" ht="20" customHeight="1" s="226">
      <c r="A13" s="253" t="inlineStr">
        <is>
          <t>8AV</t>
        </is>
      </c>
      <c r="B13" s="253" t="inlineStr">
        <is>
          <t>JARAMILLO LOAIZA RUTH NOEMI</t>
        </is>
      </c>
      <c r="C13" s="253" t="inlineStr">
        <is>
          <t>Estudios Sociales</t>
        </is>
      </c>
      <c r="D13" s="253" t="n">
        <v>8.56</v>
      </c>
      <c r="E13" s="253" t="n">
        <v>8.35</v>
      </c>
      <c r="F13" s="253" t="n">
        <v>0.21</v>
      </c>
      <c r="G13" s="253" t="inlineStr">
        <is>
          <t>ERROR</t>
        </is>
      </c>
    </row>
    <row r="14" ht="20" customHeight="1" s="226">
      <c r="A14" s="253" t="inlineStr">
        <is>
          <t>8AV</t>
        </is>
      </c>
      <c r="B14" s="253" t="inlineStr">
        <is>
          <t>JARAMILLO LOAIZA RUTH NOEMI</t>
        </is>
      </c>
      <c r="C14" s="253" t="inlineStr">
        <is>
          <t>Promedio Final / P. General</t>
        </is>
      </c>
      <c r="D14" s="253" t="n">
        <v>8.390000000000001</v>
      </c>
      <c r="E14" s="253" t="n">
        <v>8.359999999999999</v>
      </c>
      <c r="F14" s="253" t="n">
        <v>0.03</v>
      </c>
      <c r="G14" s="253" t="inlineStr">
        <is>
          <t>ERROR</t>
        </is>
      </c>
    </row>
    <row r="15" ht="20" customHeight="1" s="226">
      <c r="A15" s="253" t="inlineStr">
        <is>
          <t>8AV</t>
        </is>
      </c>
      <c r="B15" s="253" t="inlineStr">
        <is>
          <t>LLATAS MALLA KAREN JHINET</t>
        </is>
      </c>
      <c r="C15" s="253" t="inlineStr">
        <is>
          <t>Estudios Sociales</t>
        </is>
      </c>
      <c r="D15" s="253" t="n">
        <v>7.98</v>
      </c>
      <c r="E15" s="253" t="n">
        <v>8.130000000000001</v>
      </c>
      <c r="F15" s="253" t="n">
        <v>0.15</v>
      </c>
      <c r="G15" s="253" t="inlineStr">
        <is>
          <t>ERROR</t>
        </is>
      </c>
    </row>
    <row r="16" ht="20" customHeight="1" s="226">
      <c r="A16" s="253" t="inlineStr">
        <is>
          <t>8AV</t>
        </is>
      </c>
      <c r="B16" s="253" t="inlineStr">
        <is>
          <t>MARCA PULGARIN ANTONY MATEO</t>
        </is>
      </c>
      <c r="C16" s="253" t="inlineStr">
        <is>
          <t>Estudios Sociales</t>
        </is>
      </c>
      <c r="D16" s="253" t="n">
        <v>8.33</v>
      </c>
      <c r="E16" s="253" t="n">
        <v>8.65</v>
      </c>
      <c r="F16" s="253" t="n">
        <v>0.32</v>
      </c>
      <c r="G16" s="253" t="inlineStr">
        <is>
          <t>ERROR</t>
        </is>
      </c>
    </row>
    <row r="17" ht="20" customHeight="1" s="226">
      <c r="A17" s="253" t="inlineStr">
        <is>
          <t>8AV</t>
        </is>
      </c>
      <c r="B17" s="253" t="inlineStr">
        <is>
          <t>MARCA PULGARIN ANTONY MATEO</t>
        </is>
      </c>
      <c r="C17" s="253" t="inlineStr">
        <is>
          <t>Promedio Final / P. General</t>
        </is>
      </c>
      <c r="D17" s="253" t="n">
        <v>7.72</v>
      </c>
      <c r="E17" s="253" t="n">
        <v>7.77</v>
      </c>
      <c r="F17" s="253" t="n">
        <v>0.05</v>
      </c>
      <c r="G17" s="253" t="inlineStr">
        <is>
          <t>ERROR</t>
        </is>
      </c>
    </row>
    <row r="18" ht="20" customHeight="1" s="226">
      <c r="A18" s="253" t="inlineStr">
        <is>
          <t>8AV</t>
        </is>
      </c>
      <c r="B18" s="253" t="inlineStr">
        <is>
          <t>MENDEZ AVILA DAYANA LIZBETH</t>
        </is>
      </c>
      <c r="C18" s="253" t="inlineStr">
        <is>
          <t>Estudios Sociales</t>
        </is>
      </c>
      <c r="D18" s="253" t="n">
        <v>8.800000000000001</v>
      </c>
      <c r="E18" s="253" t="n">
        <v>8.23</v>
      </c>
      <c r="F18" s="253" t="n">
        <v>0.57</v>
      </c>
      <c r="G18" s="253" t="inlineStr">
        <is>
          <t>ERROR</t>
        </is>
      </c>
    </row>
    <row r="19" ht="20" customHeight="1" s="226">
      <c r="A19" s="253" t="inlineStr">
        <is>
          <t>8AV</t>
        </is>
      </c>
      <c r="B19" s="253" t="inlineStr">
        <is>
          <t>MENDEZ AVILA DAYANA LIZBETH</t>
        </is>
      </c>
      <c r="C19" s="253" t="inlineStr">
        <is>
          <t>Promedio Final / P. General</t>
        </is>
      </c>
      <c r="D19" s="253" t="n">
        <v>8.300000000000001</v>
      </c>
      <c r="E19" s="253" t="n">
        <v>8.220000000000001</v>
      </c>
      <c r="F19" s="253" t="n">
        <v>0.08</v>
      </c>
      <c r="G19" s="253" t="inlineStr">
        <is>
          <t>ERROR</t>
        </is>
      </c>
    </row>
    <row r="20" ht="20" customHeight="1" s="226">
      <c r="A20" s="253" t="inlineStr">
        <is>
          <t>8AV</t>
        </is>
      </c>
      <c r="B20" s="253" t="inlineStr">
        <is>
          <t>MIZHQUIRI CABRERA MIA ANALIA</t>
        </is>
      </c>
      <c r="C20" s="253" t="inlineStr">
        <is>
          <t>Estudios Sociales</t>
        </is>
      </c>
      <c r="D20" s="253" t="n">
        <v>8.83</v>
      </c>
      <c r="E20" s="253" t="n">
        <v>8.76</v>
      </c>
      <c r="F20" s="253" t="n">
        <v>0.07000000000000001</v>
      </c>
      <c r="G20" s="253" t="inlineStr">
        <is>
          <t>ERROR</t>
        </is>
      </c>
    </row>
    <row r="21" ht="20" customHeight="1" s="226">
      <c r="A21" s="253" t="inlineStr">
        <is>
          <t>8AV</t>
        </is>
      </c>
      <c r="B21" s="253" t="inlineStr">
        <is>
          <t>MUÑOZ ORELLANA NUBE NICOLE</t>
        </is>
      </c>
      <c r="C21" s="253" t="inlineStr">
        <is>
          <t>Estudios Sociales</t>
        </is>
      </c>
      <c r="D21" s="253" t="n">
        <v>9.02</v>
      </c>
      <c r="E21" s="253" t="n">
        <v>9.31</v>
      </c>
      <c r="F21" s="253" t="n">
        <v>0.29</v>
      </c>
      <c r="G21" s="253" t="inlineStr">
        <is>
          <t>ERROR</t>
        </is>
      </c>
    </row>
    <row r="22" ht="20" customHeight="1" s="226">
      <c r="A22" s="253" t="inlineStr">
        <is>
          <t>8AV</t>
        </is>
      </c>
      <c r="B22" s="253" t="inlineStr">
        <is>
          <t>MUÑOZ ORELLANA NUBE NICOLE</t>
        </is>
      </c>
      <c r="C22" s="253" t="inlineStr">
        <is>
          <t>Promedio Final / P. General</t>
        </is>
      </c>
      <c r="D22" s="253" t="n">
        <v>8.85</v>
      </c>
      <c r="E22" s="253" t="n">
        <v>8.890000000000001</v>
      </c>
      <c r="F22" s="253" t="n">
        <v>0.04</v>
      </c>
      <c r="G22" s="253" t="inlineStr">
        <is>
          <t>ERROR</t>
        </is>
      </c>
    </row>
    <row r="23" ht="20" customHeight="1" s="226">
      <c r="A23" s="253" t="inlineStr">
        <is>
          <t>8AV</t>
        </is>
      </c>
      <c r="B23" s="253" t="inlineStr">
        <is>
          <t>MUÑOZ VIÑANZACA ESCARLEN GUADALUPE</t>
        </is>
      </c>
      <c r="C23" s="253" t="inlineStr">
        <is>
          <t>Estudios Sociales</t>
        </is>
      </c>
      <c r="D23" s="253" t="n">
        <v>8.199999999999999</v>
      </c>
      <c r="E23" s="253" t="n">
        <v>8.73</v>
      </c>
      <c r="F23" s="253" t="n">
        <v>0.53</v>
      </c>
      <c r="G23" s="253" t="inlineStr">
        <is>
          <t>ERROR</t>
        </is>
      </c>
    </row>
    <row r="24" ht="20" customHeight="1" s="226">
      <c r="A24" s="253" t="inlineStr">
        <is>
          <t>8AV</t>
        </is>
      </c>
      <c r="B24" s="253" t="inlineStr">
        <is>
          <t>MUÑOZ VIÑANZACA ESCARLEN GUADALUPE</t>
        </is>
      </c>
      <c r="C24" s="253" t="inlineStr">
        <is>
          <t>Promedio Final / P. General</t>
        </is>
      </c>
      <c r="D24" s="253" t="n">
        <v>8.16</v>
      </c>
      <c r="E24" s="253" t="n">
        <v>8.24</v>
      </c>
      <c r="F24" s="253" t="n">
        <v>0.08</v>
      </c>
      <c r="G24" s="253" t="inlineStr">
        <is>
          <t>ERROR</t>
        </is>
      </c>
    </row>
    <row r="25" ht="20" customHeight="1" s="226">
      <c r="A25" s="253" t="inlineStr">
        <is>
          <t>8AV</t>
        </is>
      </c>
      <c r="B25" s="253" t="inlineStr">
        <is>
          <t>OCHOA CALLE CAMILA ESTHEFANIA</t>
        </is>
      </c>
      <c r="C25" s="253" t="inlineStr">
        <is>
          <t>Estudios Sociales</t>
        </is>
      </c>
      <c r="D25" s="253" t="n">
        <v>8.48</v>
      </c>
      <c r="E25" s="253" t="n">
        <v>8.18</v>
      </c>
      <c r="F25" s="253" t="n">
        <v>0.3</v>
      </c>
      <c r="G25" s="253" t="inlineStr">
        <is>
          <t>ERROR</t>
        </is>
      </c>
    </row>
    <row r="26" ht="20" customHeight="1" s="226">
      <c r="A26" s="253" t="inlineStr">
        <is>
          <t>8AV</t>
        </is>
      </c>
      <c r="B26" s="253" t="inlineStr">
        <is>
          <t>OCHOA CALLE CAMILA ESTHEFANIA</t>
        </is>
      </c>
      <c r="C26" s="253" t="inlineStr">
        <is>
          <t>Promedio Final / P. General</t>
        </is>
      </c>
      <c r="D26" s="253" t="n">
        <v>8.26</v>
      </c>
      <c r="E26" s="253" t="n">
        <v>8.210000000000001</v>
      </c>
      <c r="F26" s="253" t="n">
        <v>0.05</v>
      </c>
      <c r="G26" s="253" t="inlineStr">
        <is>
          <t>ERROR</t>
        </is>
      </c>
    </row>
    <row r="27" ht="20" customHeight="1" s="226">
      <c r="A27" s="253" t="inlineStr">
        <is>
          <t>8AV</t>
        </is>
      </c>
      <c r="B27" s="253" t="inlineStr">
        <is>
          <t>ORTIZ JIMENEZ CRISTHOFER LEONARDO</t>
        </is>
      </c>
      <c r="C27" s="253" t="inlineStr">
        <is>
          <t>Estudios Sociales</t>
        </is>
      </c>
      <c r="D27" s="253" t="n">
        <v>7.94</v>
      </c>
      <c r="E27" s="253" t="n">
        <v>7.9</v>
      </c>
      <c r="F27" s="253" t="n">
        <v>0.04</v>
      </c>
      <c r="G27" s="253" t="inlineStr">
        <is>
          <t>ERROR</t>
        </is>
      </c>
    </row>
    <row r="28" ht="20" customHeight="1" s="226">
      <c r="A28" s="253" t="inlineStr">
        <is>
          <t>8AV</t>
        </is>
      </c>
      <c r="B28" s="253" t="inlineStr">
        <is>
          <t>PANDO CARVAJAL JUAN JOSE</t>
        </is>
      </c>
      <c r="C28" s="253" t="inlineStr">
        <is>
          <t>Estudios Sociales</t>
        </is>
      </c>
      <c r="D28" s="253" t="n">
        <v>7.76</v>
      </c>
      <c r="E28" s="253" t="n">
        <v>8.06</v>
      </c>
      <c r="F28" s="253" t="n">
        <v>0.3</v>
      </c>
      <c r="G28" s="253" t="inlineStr">
        <is>
          <t>ERROR</t>
        </is>
      </c>
    </row>
    <row r="29" ht="20" customHeight="1" s="226">
      <c r="A29" s="253" t="inlineStr">
        <is>
          <t>8AV</t>
        </is>
      </c>
      <c r="B29" s="253" t="inlineStr">
        <is>
          <t>PANDO CARVAJAL JUAN JOSE</t>
        </is>
      </c>
      <c r="C29" s="253" t="inlineStr">
        <is>
          <t>Promedio Final / P. General</t>
        </is>
      </c>
      <c r="D29" s="253" t="n">
        <v>7.68</v>
      </c>
      <c r="E29" s="253" t="n">
        <v>7.72</v>
      </c>
      <c r="F29" s="253" t="n">
        <v>0.04</v>
      </c>
      <c r="G29" s="253" t="inlineStr">
        <is>
          <t>ERROR</t>
        </is>
      </c>
    </row>
    <row r="30" ht="20" customHeight="1" s="226">
      <c r="A30" s="253" t="inlineStr">
        <is>
          <t>8AV</t>
        </is>
      </c>
      <c r="B30" s="253" t="inlineStr">
        <is>
          <t>PARRA AGUILAR DEIVID ALEXANDER</t>
        </is>
      </c>
      <c r="C30" s="253" t="inlineStr">
        <is>
          <t>Estudios Sociales</t>
        </is>
      </c>
      <c r="D30" s="253" t="n">
        <v>7.96</v>
      </c>
      <c r="E30" s="253" t="n">
        <v>7.65</v>
      </c>
      <c r="F30" s="253" t="n">
        <v>0.31</v>
      </c>
      <c r="G30" s="253" t="inlineStr">
        <is>
          <t>ERROR</t>
        </is>
      </c>
    </row>
    <row r="31" ht="20" customHeight="1" s="226">
      <c r="A31" s="253" t="inlineStr">
        <is>
          <t>8AV</t>
        </is>
      </c>
      <c r="B31" s="253" t="inlineStr">
        <is>
          <t>PARRA AGUILAR DEIVID ALEXANDER</t>
        </is>
      </c>
      <c r="C31" s="253" t="inlineStr">
        <is>
          <t>Promedio Final / P. General</t>
        </is>
      </c>
      <c r="D31" s="253" t="n">
        <v>8.34</v>
      </c>
      <c r="E31" s="253" t="n">
        <v>8.289999999999999</v>
      </c>
      <c r="F31" s="253" t="n">
        <v>0.05</v>
      </c>
      <c r="G31" s="253" t="inlineStr">
        <is>
          <t>ERROR</t>
        </is>
      </c>
    </row>
    <row r="32" ht="20" customHeight="1" s="226">
      <c r="A32" s="253" t="inlineStr">
        <is>
          <t>8AV</t>
        </is>
      </c>
      <c r="B32" s="253" t="inlineStr">
        <is>
          <t>PATIÑO MINCHALA VALENTINA GALILEA</t>
        </is>
      </c>
      <c r="C32" s="253" t="inlineStr">
        <is>
          <t>Estudios Sociales</t>
        </is>
      </c>
      <c r="D32" s="253" t="n">
        <v>9.15</v>
      </c>
      <c r="E32" s="253" t="n">
        <v>9.1</v>
      </c>
      <c r="F32" s="253" t="n">
        <v>0.05</v>
      </c>
      <c r="G32" s="253" t="inlineStr">
        <is>
          <t>ERROR</t>
        </is>
      </c>
    </row>
    <row r="33" ht="20" customHeight="1" s="226">
      <c r="A33" s="253" t="inlineStr">
        <is>
          <t>8AV</t>
        </is>
      </c>
      <c r="B33" s="253" t="inlineStr">
        <is>
          <t>QUINDE SARMIENTO BRITTANY NICOLE</t>
        </is>
      </c>
      <c r="C33" s="253" t="inlineStr">
        <is>
          <t>Estudios Sociales</t>
        </is>
      </c>
      <c r="D33" s="253" t="n">
        <v>8.18</v>
      </c>
      <c r="E33" s="253" t="n">
        <v>8.380000000000001</v>
      </c>
      <c r="F33" s="253" t="n">
        <v>0.2</v>
      </c>
      <c r="G33" s="253" t="inlineStr">
        <is>
          <t>ERROR</t>
        </is>
      </c>
    </row>
    <row r="34" ht="20" customHeight="1" s="226">
      <c r="A34" s="253" t="inlineStr">
        <is>
          <t>8AV</t>
        </is>
      </c>
      <c r="B34" s="253" t="inlineStr">
        <is>
          <t>QUINDE SARMIENTO BRITTANY NICOLE</t>
        </is>
      </c>
      <c r="C34" s="253" t="inlineStr">
        <is>
          <t>Promedio Final / P. General</t>
        </is>
      </c>
      <c r="D34" s="253" t="n">
        <v>7.83</v>
      </c>
      <c r="E34" s="253" t="n">
        <v>7.86</v>
      </c>
      <c r="F34" s="253" t="n">
        <v>0.03</v>
      </c>
      <c r="G34" s="253" t="inlineStr">
        <is>
          <t>ERROR</t>
        </is>
      </c>
    </row>
    <row r="35" ht="20" customHeight="1" s="226">
      <c r="A35" s="253" t="inlineStr">
        <is>
          <t>8AV</t>
        </is>
      </c>
      <c r="B35" s="253" t="inlineStr">
        <is>
          <t>ROMERO MIRANDA BIANCA MAYERLI</t>
        </is>
      </c>
      <c r="C35" s="253" t="inlineStr">
        <is>
          <t>Estudios Sociales</t>
        </is>
      </c>
      <c r="D35" s="253" t="n">
        <v>8.77</v>
      </c>
      <c r="E35" s="253" t="n">
        <v>8.6</v>
      </c>
      <c r="F35" s="253" t="n">
        <v>0.17</v>
      </c>
      <c r="G35" s="253" t="inlineStr">
        <is>
          <t>ERROR</t>
        </is>
      </c>
    </row>
    <row r="36" ht="20" customHeight="1" s="226">
      <c r="A36" s="253" t="inlineStr">
        <is>
          <t>8AV</t>
        </is>
      </c>
      <c r="B36" s="253" t="inlineStr">
        <is>
          <t>ROMERO MIRANDA BIANCA MAYERLI</t>
        </is>
      </c>
      <c r="C36" s="253" t="inlineStr">
        <is>
          <t>Promedio Final / P. General</t>
        </is>
      </c>
      <c r="D36" s="253" t="n">
        <v>8.85</v>
      </c>
      <c r="E36" s="253" t="n">
        <v>8.82</v>
      </c>
      <c r="F36" s="253" t="n">
        <v>0.03</v>
      </c>
      <c r="G36" s="253" t="inlineStr">
        <is>
          <t>ERROR</t>
        </is>
      </c>
    </row>
    <row r="37" ht="20" customHeight="1" s="226">
      <c r="A37" s="253" t="inlineStr">
        <is>
          <t>8AV</t>
        </is>
      </c>
      <c r="B37" s="253" t="inlineStr">
        <is>
          <t>SANCHEZ URGILES KEVIN ALEXANDER</t>
        </is>
      </c>
      <c r="C37" s="253" t="inlineStr">
        <is>
          <t>Estudios Sociales</t>
        </is>
      </c>
      <c r="D37" s="253" t="n">
        <v>7.49</v>
      </c>
      <c r="E37" s="253" t="n">
        <v>7.55</v>
      </c>
      <c r="F37" s="253" t="n">
        <v>0.06</v>
      </c>
      <c r="G37" s="253" t="inlineStr">
        <is>
          <t>ERROR</t>
        </is>
      </c>
    </row>
    <row r="38" ht="20" customHeight="1" s="226">
      <c r="A38" s="253" t="inlineStr">
        <is>
          <t>8AV</t>
        </is>
      </c>
      <c r="B38" s="253" t="inlineStr">
        <is>
          <t>SAUCE PEREZ MICHAEL ALEXANDER</t>
        </is>
      </c>
      <c r="C38" s="253" t="inlineStr">
        <is>
          <t>Estudios Sociales</t>
        </is>
      </c>
      <c r="D38" s="253" t="n">
        <v>8.140000000000001</v>
      </c>
      <c r="E38" s="253" t="n">
        <v>8.19</v>
      </c>
      <c r="F38" s="253" t="n">
        <v>0.05</v>
      </c>
      <c r="G38" s="253" t="inlineStr">
        <is>
          <t>ERROR</t>
        </is>
      </c>
    </row>
    <row r="39" ht="20" customHeight="1" s="226">
      <c r="A39" s="253" t="inlineStr">
        <is>
          <t>8AV</t>
        </is>
      </c>
      <c r="B39" s="253" t="inlineStr">
        <is>
          <t>SIMBAÑA CABRERA NICOLE VALENTINA</t>
        </is>
      </c>
      <c r="C39" s="253" t="inlineStr">
        <is>
          <t>Estudios Sociales</t>
        </is>
      </c>
      <c r="D39" s="253" t="n">
        <v>8.779999999999999</v>
      </c>
      <c r="E39" s="253" t="n">
        <v>8.699999999999999</v>
      </c>
      <c r="F39" s="253" t="n">
        <v>0.08</v>
      </c>
      <c r="G39" s="253" t="inlineStr">
        <is>
          <t>ERROR</t>
        </is>
      </c>
    </row>
    <row r="40" ht="20" customHeight="1" s="226">
      <c r="A40" s="253" t="inlineStr">
        <is>
          <t>8AV</t>
        </is>
      </c>
      <c r="B40" s="253" t="inlineStr">
        <is>
          <t>ZHINGRI AREVALO KAREN LISSBET</t>
        </is>
      </c>
      <c r="C40" s="253" t="inlineStr">
        <is>
          <t>Promedio Final / P. General</t>
        </is>
      </c>
      <c r="D40" s="253" t="n">
        <v>7.58</v>
      </c>
      <c r="E40" s="253" t="n">
        <v>7.49</v>
      </c>
      <c r="F40" s="253" t="n">
        <v>0.09</v>
      </c>
      <c r="G40" s="253" t="inlineStr">
        <is>
          <t>ERROR</t>
        </is>
      </c>
    </row>
    <row r="41" ht="20" customHeight="1" s="226">
      <c r="A41" s="253" t="inlineStr">
        <is>
          <t>8BV</t>
        </is>
      </c>
      <c r="B41" s="253" t="inlineStr">
        <is>
          <t>BERNAL JARA MATIUS NICOLAS</t>
        </is>
      </c>
      <c r="C41" s="253" t="inlineStr">
        <is>
          <t>Estudios Sociales</t>
        </is>
      </c>
      <c r="D41" s="253" t="n">
        <v>8.460000000000001</v>
      </c>
      <c r="E41" s="253" t="n">
        <v>8.94</v>
      </c>
      <c r="F41" s="253" t="n">
        <v>0.48</v>
      </c>
      <c r="G41" s="253" t="inlineStr">
        <is>
          <t>ERROR</t>
        </is>
      </c>
    </row>
    <row r="42" ht="20" customHeight="1" s="226">
      <c r="A42" s="253" t="inlineStr">
        <is>
          <t>8BV</t>
        </is>
      </c>
      <c r="B42" s="253" t="inlineStr">
        <is>
          <t>BERNAL JARA MATIUS NICOLAS</t>
        </is>
      </c>
      <c r="C42" s="253" t="inlineStr">
        <is>
          <t>Promedio Final / P. General</t>
        </is>
      </c>
      <c r="D42" s="253" t="n">
        <v>8.99</v>
      </c>
      <c r="E42" s="253" t="n">
        <v>9.06</v>
      </c>
      <c r="F42" s="253" t="n">
        <v>0.07000000000000001</v>
      </c>
      <c r="G42" s="253" t="inlineStr">
        <is>
          <t>ERROR</t>
        </is>
      </c>
    </row>
    <row r="43" ht="20" customHeight="1" s="226">
      <c r="A43" s="253" t="inlineStr">
        <is>
          <t>8BV</t>
        </is>
      </c>
      <c r="B43" s="253" t="inlineStr">
        <is>
          <t>BUENO GUALLPA MARÍA FERNANDA</t>
        </is>
      </c>
      <c r="C43" s="253" t="inlineStr">
        <is>
          <t>Estudios Sociales</t>
        </is>
      </c>
      <c r="D43" s="253" t="n">
        <v>8.890000000000001</v>
      </c>
      <c r="E43" s="253" t="n">
        <v>8.08</v>
      </c>
      <c r="F43" s="253" t="n">
        <v>0.8100000000000001</v>
      </c>
      <c r="G43" s="253" t="inlineStr">
        <is>
          <t>ERROR</t>
        </is>
      </c>
    </row>
    <row r="44" ht="20" customHeight="1" s="226">
      <c r="A44" s="253" t="inlineStr">
        <is>
          <t>8BV</t>
        </is>
      </c>
      <c r="B44" s="253" t="inlineStr">
        <is>
          <t>BUENO GUALLPA MARÍA FERNANDA</t>
        </is>
      </c>
      <c r="C44" s="253" t="inlineStr">
        <is>
          <t>Promedio Final / P. General</t>
        </is>
      </c>
      <c r="D44" s="253" t="n">
        <v>8.19</v>
      </c>
      <c r="E44" s="253" t="n">
        <v>8.07</v>
      </c>
      <c r="F44" s="253" t="n">
        <v>0.12</v>
      </c>
      <c r="G44" s="253" t="inlineStr">
        <is>
          <t>ERROR</t>
        </is>
      </c>
    </row>
    <row r="45" ht="20" customHeight="1" s="226">
      <c r="A45" s="253" t="inlineStr">
        <is>
          <t>8BV</t>
        </is>
      </c>
      <c r="B45" s="253" t="inlineStr">
        <is>
          <t>CALLE HEREDIA JHANDY ROBERTO</t>
        </is>
      </c>
      <c r="C45" s="253" t="inlineStr">
        <is>
          <t>Estudios Sociales</t>
        </is>
      </c>
      <c r="D45" s="253" t="n">
        <v>8.41</v>
      </c>
      <c r="E45" s="253" t="n">
        <v>7.68</v>
      </c>
      <c r="F45" s="253" t="n">
        <v>0.73</v>
      </c>
      <c r="G45" s="253" t="inlineStr">
        <is>
          <t>ERROR</t>
        </is>
      </c>
    </row>
    <row r="46" ht="20" customHeight="1" s="226">
      <c r="A46" s="253" t="inlineStr">
        <is>
          <t>8BV</t>
        </is>
      </c>
      <c r="B46" s="253" t="inlineStr">
        <is>
          <t>CALLE HEREDIA JHANDY ROBERTO</t>
        </is>
      </c>
      <c r="C46" s="253" t="inlineStr">
        <is>
          <t>Promedio Final / P. General</t>
        </is>
      </c>
      <c r="D46" s="253" t="n">
        <v>8.26</v>
      </c>
      <c r="E46" s="253" t="n">
        <v>8.16</v>
      </c>
      <c r="F46" s="253" t="n">
        <v>0.1</v>
      </c>
      <c r="G46" s="253" t="inlineStr">
        <is>
          <t>ERROR</t>
        </is>
      </c>
    </row>
    <row r="47" ht="20" customHeight="1" s="226">
      <c r="A47" s="253" t="inlineStr">
        <is>
          <t>8BV</t>
        </is>
      </c>
      <c r="B47" s="253" t="inlineStr">
        <is>
          <t>CAMPOS PANDO FRANCISCO ANDRES</t>
        </is>
      </c>
      <c r="C47" s="253" t="inlineStr">
        <is>
          <t>Estudios Sociales</t>
        </is>
      </c>
      <c r="D47" s="253" t="n">
        <v>10</v>
      </c>
      <c r="E47" s="253" t="n">
        <v>9.949999999999999</v>
      </c>
      <c r="F47" s="253" t="n">
        <v>0.05</v>
      </c>
      <c r="G47" s="253" t="inlineStr">
        <is>
          <t>ERROR</t>
        </is>
      </c>
    </row>
    <row r="48" ht="20" customHeight="1" s="226">
      <c r="A48" s="253" t="inlineStr">
        <is>
          <t>8BV</t>
        </is>
      </c>
      <c r="B48" s="253" t="inlineStr">
        <is>
          <t>CANDELARIO CARRERA JONATHAN JOSUE</t>
        </is>
      </c>
      <c r="C48" s="253" t="inlineStr">
        <is>
          <t>Estudios Sociales</t>
        </is>
      </c>
      <c r="D48" s="253" t="n">
        <v>8.609999999999999</v>
      </c>
      <c r="E48" s="253" t="n">
        <v>9.279999999999999</v>
      </c>
      <c r="F48" s="253" t="n">
        <v>0.67</v>
      </c>
      <c r="G48" s="253" t="inlineStr">
        <is>
          <t>ERROR</t>
        </is>
      </c>
    </row>
    <row r="49" ht="20" customHeight="1" s="226">
      <c r="A49" s="253" t="inlineStr">
        <is>
          <t>8BV</t>
        </is>
      </c>
      <c r="B49" s="253" t="inlineStr">
        <is>
          <t>CANDELARIO CARRERA JONATHAN JOSUE</t>
        </is>
      </c>
      <c r="C49" s="253" t="inlineStr">
        <is>
          <t>Promedio Final / P. General</t>
        </is>
      </c>
      <c r="D49" s="253" t="n">
        <v>8.789999999999999</v>
      </c>
      <c r="E49" s="253" t="n">
        <v>8.880000000000001</v>
      </c>
      <c r="F49" s="253" t="n">
        <v>0.09</v>
      </c>
      <c r="G49" s="253" t="inlineStr">
        <is>
          <t>ERROR</t>
        </is>
      </c>
    </row>
    <row r="50" ht="20" customHeight="1" s="226">
      <c r="A50" s="253" t="inlineStr">
        <is>
          <t>8BV</t>
        </is>
      </c>
      <c r="B50" s="253" t="inlineStr">
        <is>
          <t>DIAZ ESPINOZA BRITANY NICOL</t>
        </is>
      </c>
      <c r="C50" s="253" t="inlineStr">
        <is>
          <t>Estudios Sociales</t>
        </is>
      </c>
      <c r="D50" s="253" t="n">
        <v>8.57</v>
      </c>
      <c r="E50" s="253" t="n">
        <v>7.94</v>
      </c>
      <c r="F50" s="253" t="n">
        <v>0.63</v>
      </c>
      <c r="G50" s="253" t="inlineStr">
        <is>
          <t>ERROR</t>
        </is>
      </c>
    </row>
    <row r="51" ht="20" customHeight="1" s="226">
      <c r="A51" s="253" t="inlineStr">
        <is>
          <t>8BV</t>
        </is>
      </c>
      <c r="B51" s="253" t="inlineStr">
        <is>
          <t>DIAZ ESPINOZA BRITANY NICOL</t>
        </is>
      </c>
      <c r="C51" s="253" t="inlineStr">
        <is>
          <t>Promedio Final / P. General</t>
        </is>
      </c>
      <c r="D51" s="253" t="n">
        <v>7.78</v>
      </c>
      <c r="E51" s="253" t="n">
        <v>7.69</v>
      </c>
      <c r="F51" s="253" t="n">
        <v>0.09</v>
      </c>
      <c r="G51" s="253" t="inlineStr">
        <is>
          <t>ERROR</t>
        </is>
      </c>
    </row>
    <row r="52" ht="20" customHeight="1" s="226">
      <c r="A52" s="253" t="inlineStr">
        <is>
          <t>8BV</t>
        </is>
      </c>
      <c r="B52" s="253" t="inlineStr">
        <is>
          <t>DURAN QUINTUÑA MILAN RAFAEL</t>
        </is>
      </c>
      <c r="C52" s="253" t="inlineStr">
        <is>
          <t>Estudios Sociales</t>
        </is>
      </c>
      <c r="D52" s="253" t="n">
        <v>8.48</v>
      </c>
      <c r="E52" s="253" t="n">
        <v>7.81</v>
      </c>
      <c r="F52" s="253" t="n">
        <v>0.67</v>
      </c>
      <c r="G52" s="253" t="inlineStr">
        <is>
          <t>ERROR</t>
        </is>
      </c>
    </row>
    <row r="53" ht="20" customHeight="1" s="226">
      <c r="A53" s="253" t="inlineStr">
        <is>
          <t>8BV</t>
        </is>
      </c>
      <c r="B53" s="253" t="inlineStr">
        <is>
          <t>DURAN QUINTUÑA MILAN RAFAEL</t>
        </is>
      </c>
      <c r="C53" s="253" t="inlineStr">
        <is>
          <t>Promedio Final / P. General</t>
        </is>
      </c>
      <c r="D53" s="253" t="n">
        <v>8.109999999999999</v>
      </c>
      <c r="E53" s="253" t="n">
        <v>8.02</v>
      </c>
      <c r="F53" s="253" t="n">
        <v>0.09</v>
      </c>
      <c r="G53" s="253" t="inlineStr">
        <is>
          <t>ERROR</t>
        </is>
      </c>
    </row>
    <row r="54" ht="20" customHeight="1" s="226">
      <c r="A54" s="253" t="inlineStr">
        <is>
          <t>8BV</t>
        </is>
      </c>
      <c r="B54" s="253" t="inlineStr">
        <is>
          <t>DUTAN CALLE GAEL MARTIN</t>
        </is>
      </c>
      <c r="C54" s="253" t="inlineStr">
        <is>
          <t>Estudios Sociales</t>
        </is>
      </c>
      <c r="D54" s="253" t="n">
        <v>8.57</v>
      </c>
      <c r="E54" s="253" t="n">
        <v>8.949999999999999</v>
      </c>
      <c r="F54" s="253" t="n">
        <v>0.38</v>
      </c>
      <c r="G54" s="253" t="inlineStr">
        <is>
          <t>ERROR</t>
        </is>
      </c>
    </row>
    <row r="55" ht="20" customHeight="1" s="226">
      <c r="A55" s="253" t="inlineStr">
        <is>
          <t>8BV</t>
        </is>
      </c>
      <c r="B55" s="253" t="inlineStr">
        <is>
          <t>DUTAN CALLE GAEL MARTIN</t>
        </is>
      </c>
      <c r="C55" s="253" t="inlineStr">
        <is>
          <t>Promedio Final / P. General</t>
        </is>
      </c>
      <c r="D55" s="253" t="n">
        <v>8.640000000000001</v>
      </c>
      <c r="E55" s="253" t="n">
        <v>8.699999999999999</v>
      </c>
      <c r="F55" s="253" t="n">
        <v>0.06</v>
      </c>
      <c r="G55" s="253" t="inlineStr">
        <is>
          <t>ERROR</t>
        </is>
      </c>
    </row>
    <row r="56" ht="20" customHeight="1" s="226">
      <c r="A56" s="253" t="inlineStr">
        <is>
          <t>8BV</t>
        </is>
      </c>
      <c r="B56" s="253" t="inlineStr">
        <is>
          <t>FAJARDO CARDENAS EDWIN ALEXANDER</t>
        </is>
      </c>
      <c r="C56" s="253" t="inlineStr">
        <is>
          <t>Estudios Sociales</t>
        </is>
      </c>
      <c r="D56" s="253" t="n">
        <v>8.710000000000001</v>
      </c>
      <c r="E56" s="253" t="n">
        <v>8.43</v>
      </c>
      <c r="F56" s="253" t="n">
        <v>0.28</v>
      </c>
      <c r="G56" s="253" t="inlineStr">
        <is>
          <t>ERROR</t>
        </is>
      </c>
    </row>
    <row r="57" ht="20" customHeight="1" s="226">
      <c r="A57" s="253" t="inlineStr">
        <is>
          <t>8BV</t>
        </is>
      </c>
      <c r="B57" s="253" t="inlineStr">
        <is>
          <t>FAJARDO CARDENAS EDWIN ALEXANDER</t>
        </is>
      </c>
      <c r="C57" s="253" t="inlineStr">
        <is>
          <t>Promedio Final / P. General</t>
        </is>
      </c>
      <c r="D57" s="253" t="n">
        <v>8.32</v>
      </c>
      <c r="E57" s="253" t="n">
        <v>8.279999999999999</v>
      </c>
      <c r="F57" s="253" t="n">
        <v>0.04</v>
      </c>
      <c r="G57" s="253" t="inlineStr">
        <is>
          <t>ERROR</t>
        </is>
      </c>
    </row>
    <row r="58" ht="20" customHeight="1" s="226">
      <c r="A58" s="253" t="inlineStr">
        <is>
          <t>8BV</t>
        </is>
      </c>
      <c r="B58" s="253" t="inlineStr">
        <is>
          <t>FARFAN MOROCHO DAMARIS ABIGAIL</t>
        </is>
      </c>
      <c r="C58" s="253" t="inlineStr">
        <is>
          <t>Estudios Sociales</t>
        </is>
      </c>
      <c r="D58" s="253" t="n">
        <v>8.83</v>
      </c>
      <c r="E58" s="253" t="n">
        <v>8.73</v>
      </c>
      <c r="F58" s="253" t="n">
        <v>0.1</v>
      </c>
      <c r="G58" s="253" t="inlineStr">
        <is>
          <t>ERROR</t>
        </is>
      </c>
    </row>
    <row r="59" ht="20" customHeight="1" s="226">
      <c r="A59" s="254" t="inlineStr">
        <is>
          <t>8BV</t>
        </is>
      </c>
      <c r="B59" s="254" t="inlineStr">
        <is>
          <t>FIGUEROA PACHAR JUAN DIEGO</t>
        </is>
      </c>
      <c r="C59" s="254" t="inlineStr">
        <is>
          <t>SOLO EN DOCENTES</t>
        </is>
      </c>
      <c r="D59" s="254" t="inlineStr">
        <is>
          <t>-</t>
        </is>
      </c>
      <c r="E59" s="254" t="inlineStr">
        <is>
          <t>-</t>
        </is>
      </c>
      <c r="F59" s="254" t="inlineStr">
        <is>
          <t>-</t>
        </is>
      </c>
      <c r="G59" s="254" t="inlineStr">
        <is>
          <t>DESFASE DE NÓMINA</t>
        </is>
      </c>
    </row>
    <row r="60" ht="20" customHeight="1" s="226">
      <c r="A60" s="253" t="inlineStr">
        <is>
          <t>8BV</t>
        </is>
      </c>
      <c r="B60" s="253" t="inlineStr">
        <is>
          <t>GUARTASACA BUENO JORGE LUIS</t>
        </is>
      </c>
      <c r="C60" s="253" t="inlineStr">
        <is>
          <t>Estudios Sociales</t>
        </is>
      </c>
      <c r="D60" s="253" t="n">
        <v>8.640000000000001</v>
      </c>
      <c r="E60" s="253" t="n">
        <v>8.15</v>
      </c>
      <c r="F60" s="253" t="n">
        <v>0.49</v>
      </c>
      <c r="G60" s="253" t="inlineStr">
        <is>
          <t>ERROR</t>
        </is>
      </c>
    </row>
    <row r="61" ht="20" customHeight="1" s="226">
      <c r="A61" s="253" t="inlineStr">
        <is>
          <t>8BV</t>
        </is>
      </c>
      <c r="B61" s="253" t="inlineStr">
        <is>
          <t>GUARTASACA BUENO JORGE LUIS</t>
        </is>
      </c>
      <c r="C61" s="253" t="inlineStr">
        <is>
          <t>Promedio Final / P. General</t>
        </is>
      </c>
      <c r="D61" s="253" t="n">
        <v>7.78</v>
      </c>
      <c r="E61" s="253" t="n">
        <v>7.71</v>
      </c>
      <c r="F61" s="253" t="n">
        <v>0.07000000000000001</v>
      </c>
      <c r="G61" s="253" t="inlineStr">
        <is>
          <t>ERROR</t>
        </is>
      </c>
    </row>
    <row r="62" ht="20" customHeight="1" s="226">
      <c r="A62" s="253" t="inlineStr">
        <is>
          <t>8BV</t>
        </is>
      </c>
      <c r="B62" s="253" t="inlineStr">
        <is>
          <t>GUZMAN CORDOVA MIRELLA FERNANDA</t>
        </is>
      </c>
      <c r="C62" s="253" t="inlineStr">
        <is>
          <t>Estudios Sociales</t>
        </is>
      </c>
      <c r="D62" s="253" t="n">
        <v>8.56</v>
      </c>
      <c r="E62" s="253" t="n">
        <v>9.050000000000001</v>
      </c>
      <c r="F62" s="253" t="n">
        <v>0.49</v>
      </c>
      <c r="G62" s="253" t="inlineStr">
        <is>
          <t>ERROR</t>
        </is>
      </c>
    </row>
    <row r="63" ht="20" customHeight="1" s="226">
      <c r="A63" s="253" t="inlineStr">
        <is>
          <t>8BV</t>
        </is>
      </c>
      <c r="B63" s="253" t="inlineStr">
        <is>
          <t>GUZMAN CORDOVA MIRELLA FERNANDA</t>
        </is>
      </c>
      <c r="C63" s="253" t="inlineStr">
        <is>
          <t>Promedio Final / P. General</t>
        </is>
      </c>
      <c r="D63" s="253" t="n">
        <v>9.279999999999999</v>
      </c>
      <c r="E63" s="253" t="n">
        <v>9.35</v>
      </c>
      <c r="F63" s="253" t="n">
        <v>0.07000000000000001</v>
      </c>
      <c r="G63" s="253" t="inlineStr">
        <is>
          <t>ERROR</t>
        </is>
      </c>
    </row>
    <row r="64" ht="20" customHeight="1" s="226">
      <c r="A64" s="253" t="inlineStr">
        <is>
          <t>8BV</t>
        </is>
      </c>
      <c r="B64" s="253" t="inlineStr">
        <is>
          <t>LEMA CUNUHAY GABRIELA ELIZABETH</t>
        </is>
      </c>
      <c r="C64" s="253" t="inlineStr">
        <is>
          <t>Estudios Sociales</t>
        </is>
      </c>
      <c r="D64" s="253" t="n">
        <v>8.56</v>
      </c>
      <c r="E64" s="253" t="n">
        <v>9.050000000000001</v>
      </c>
      <c r="F64" s="253" t="n">
        <v>0.49</v>
      </c>
      <c r="G64" s="253" t="inlineStr">
        <is>
          <t>ERROR</t>
        </is>
      </c>
    </row>
    <row r="65" ht="20" customHeight="1" s="226">
      <c r="A65" s="253" t="inlineStr">
        <is>
          <t>8BV</t>
        </is>
      </c>
      <c r="B65" s="253" t="inlineStr">
        <is>
          <t>LEMA CUNUHAY GABRIELA ELIZABETH</t>
        </is>
      </c>
      <c r="C65" s="253" t="inlineStr">
        <is>
          <t>Promedio Final / P. General</t>
        </is>
      </c>
      <c r="D65" s="253" t="n">
        <v>9.19</v>
      </c>
      <c r="E65" s="253" t="n">
        <v>9.26</v>
      </c>
      <c r="F65" s="253" t="n">
        <v>0.07000000000000001</v>
      </c>
      <c r="G65" s="253" t="inlineStr">
        <is>
          <t>ERROR</t>
        </is>
      </c>
    </row>
    <row r="66" ht="20" customHeight="1" s="226">
      <c r="A66" s="253" t="inlineStr">
        <is>
          <t>8BV</t>
        </is>
      </c>
      <c r="B66" s="253" t="inlineStr">
        <is>
          <t>MOROCHO CABRERA DANIELA ALEJANDRA</t>
        </is>
      </c>
      <c r="C66" s="253" t="inlineStr">
        <is>
          <t>Estudios Sociales</t>
        </is>
      </c>
      <c r="D66" s="253" t="n">
        <v>8.31</v>
      </c>
      <c r="E66" s="253" t="n">
        <v>8.779999999999999</v>
      </c>
      <c r="F66" s="253" t="n">
        <v>0.47</v>
      </c>
      <c r="G66" s="253" t="inlineStr">
        <is>
          <t>ERROR</t>
        </is>
      </c>
    </row>
    <row r="67" ht="20" customHeight="1" s="226">
      <c r="A67" s="253" t="inlineStr">
        <is>
          <t>8BV</t>
        </is>
      </c>
      <c r="B67" s="253" t="inlineStr">
        <is>
          <t>MOROCHO CABRERA DANIELA ALEJANDRA</t>
        </is>
      </c>
      <c r="C67" s="253" t="inlineStr">
        <is>
          <t>Promedio Final / P. General</t>
        </is>
      </c>
      <c r="D67" s="253" t="n">
        <v>7.59</v>
      </c>
      <c r="E67" s="253" t="n">
        <v>7.65</v>
      </c>
      <c r="F67" s="253" t="n">
        <v>0.06</v>
      </c>
      <c r="G67" s="253" t="inlineStr">
        <is>
          <t>ERROR</t>
        </is>
      </c>
    </row>
    <row r="68" ht="20" customHeight="1" s="226">
      <c r="A68" s="254" t="inlineStr">
        <is>
          <t>8BV</t>
        </is>
      </c>
      <c r="B68" s="254" t="inlineStr">
        <is>
          <t>ORTIZ GUARACA ERICK ALEXANDER</t>
        </is>
      </c>
      <c r="C68" s="254" t="inlineStr">
        <is>
          <t>SOLO EN DOCENTES</t>
        </is>
      </c>
      <c r="D68" s="254" t="inlineStr">
        <is>
          <t>-</t>
        </is>
      </c>
      <c r="E68" s="254" t="inlineStr">
        <is>
          <t>-</t>
        </is>
      </c>
      <c r="F68" s="254" t="inlineStr">
        <is>
          <t>-</t>
        </is>
      </c>
      <c r="G68" s="254" t="inlineStr">
        <is>
          <t>DESFASE DE NÓMINA</t>
        </is>
      </c>
    </row>
    <row r="69" ht="20" customHeight="1" s="226">
      <c r="A69" s="253" t="inlineStr">
        <is>
          <t>8BV</t>
        </is>
      </c>
      <c r="B69" s="253" t="inlineStr">
        <is>
          <t>ORTIZ SAMANIEGO NAYLA PAMELA</t>
        </is>
      </c>
      <c r="C69" s="253" t="inlineStr">
        <is>
          <t>Estudios Sociales</t>
        </is>
      </c>
      <c r="D69" s="253" t="n">
        <v>9.01</v>
      </c>
      <c r="E69" s="253" t="n">
        <v>7.96</v>
      </c>
      <c r="F69" s="253" t="n">
        <v>1.05</v>
      </c>
      <c r="G69" s="253" t="inlineStr">
        <is>
          <t>ERROR</t>
        </is>
      </c>
    </row>
    <row r="70" ht="20" customHeight="1" s="226">
      <c r="A70" s="253" t="inlineStr">
        <is>
          <t>8BV</t>
        </is>
      </c>
      <c r="B70" s="253" t="inlineStr">
        <is>
          <t>ORTIZ SAMANIEGO NAYLA PAMELA</t>
        </is>
      </c>
      <c r="C70" s="253" t="inlineStr">
        <is>
          <t>Promedio Final / P. General</t>
        </is>
      </c>
      <c r="D70" s="253" t="n">
        <v>7.79</v>
      </c>
      <c r="E70" s="253" t="n">
        <v>7.64</v>
      </c>
      <c r="F70" s="253" t="n">
        <v>0.15</v>
      </c>
      <c r="G70" s="253" t="inlineStr">
        <is>
          <t>ERROR</t>
        </is>
      </c>
    </row>
    <row r="71" ht="20" customHeight="1" s="226">
      <c r="A71" s="253" t="inlineStr">
        <is>
          <t>8BV</t>
        </is>
      </c>
      <c r="B71" s="253" t="inlineStr">
        <is>
          <t>PAIDA CARVAJAL MARIEL SHANELA</t>
        </is>
      </c>
      <c r="C71" s="253" t="inlineStr">
        <is>
          <t>Estudios Sociales</t>
        </is>
      </c>
      <c r="D71" s="253" t="n">
        <v>8.73</v>
      </c>
      <c r="E71" s="253" t="n">
        <v>9.710000000000001</v>
      </c>
      <c r="F71" s="253" t="n">
        <v>0.98</v>
      </c>
      <c r="G71" s="253" t="inlineStr">
        <is>
          <t>ERROR</t>
        </is>
      </c>
    </row>
    <row r="72" ht="20" customHeight="1" s="226">
      <c r="A72" s="253" t="inlineStr">
        <is>
          <t>8BV</t>
        </is>
      </c>
      <c r="B72" s="253" t="inlineStr">
        <is>
          <t>PAIDA CARVAJAL MARIEL SHANELA</t>
        </is>
      </c>
      <c r="C72" s="253" t="inlineStr">
        <is>
          <t>Promedio Final / P. General</t>
        </is>
      </c>
      <c r="D72" s="253" t="n">
        <v>9.5</v>
      </c>
      <c r="E72" s="253" t="n">
        <v>9.640000000000001</v>
      </c>
      <c r="F72" s="253" t="n">
        <v>0.14</v>
      </c>
      <c r="G72" s="253" t="inlineStr">
        <is>
          <t>ERROR</t>
        </is>
      </c>
    </row>
    <row r="73" ht="20" customHeight="1" s="226">
      <c r="A73" s="253" t="inlineStr">
        <is>
          <t>8BV</t>
        </is>
      </c>
      <c r="B73" s="253" t="inlineStr">
        <is>
          <t>PALACIOS GUTIERREZ GUSTAVO ALEJANDRO</t>
        </is>
      </c>
      <c r="C73" s="253" t="inlineStr">
        <is>
          <t>Estudios Sociales</t>
        </is>
      </c>
      <c r="D73" s="253" t="n">
        <v>9.039999999999999</v>
      </c>
      <c r="E73" s="253" t="n">
        <v>7.84</v>
      </c>
      <c r="F73" s="253" t="n">
        <v>1.2</v>
      </c>
      <c r="G73" s="253" t="inlineStr">
        <is>
          <t>ERROR</t>
        </is>
      </c>
    </row>
    <row r="74" ht="20" customHeight="1" s="226">
      <c r="A74" s="253" t="inlineStr">
        <is>
          <t>8BV</t>
        </is>
      </c>
      <c r="B74" s="253" t="inlineStr">
        <is>
          <t>PALACIOS GUTIERREZ GUSTAVO ALEJANDRO</t>
        </is>
      </c>
      <c r="C74" s="253" t="inlineStr">
        <is>
          <t>Promedio Final / P. General</t>
        </is>
      </c>
      <c r="D74" s="253" t="n">
        <v>8.08</v>
      </c>
      <c r="E74" s="253" t="n">
        <v>7.91</v>
      </c>
      <c r="F74" s="253" t="n">
        <v>0.17</v>
      </c>
      <c r="G74" s="253" t="inlineStr">
        <is>
          <t>ERROR</t>
        </is>
      </c>
    </row>
    <row r="75" ht="20" customHeight="1" s="226">
      <c r="A75" s="253" t="inlineStr">
        <is>
          <t>8BV</t>
        </is>
      </c>
      <c r="B75" s="253" t="inlineStr">
        <is>
          <t>PALLAZHCO CAMPOVERDE QUEVIN ALEXANDER</t>
        </is>
      </c>
      <c r="C75" s="253" t="inlineStr">
        <is>
          <t>Estudios Sociales</t>
        </is>
      </c>
      <c r="D75" s="253" t="n">
        <v>8.789999999999999</v>
      </c>
      <c r="E75" s="253" t="n">
        <v>8.32</v>
      </c>
      <c r="F75" s="253" t="n">
        <v>0.47</v>
      </c>
      <c r="G75" s="253" t="inlineStr">
        <is>
          <t>ERROR</t>
        </is>
      </c>
    </row>
    <row r="76" ht="20" customHeight="1" s="226">
      <c r="A76" s="253" t="inlineStr">
        <is>
          <t>8BV</t>
        </is>
      </c>
      <c r="B76" s="253" t="inlineStr">
        <is>
          <t>PALLAZHCO CAMPOVERDE QUEVIN ALEXANDER</t>
        </is>
      </c>
      <c r="C76" s="253" t="inlineStr">
        <is>
          <t>Promedio Final / P. General</t>
        </is>
      </c>
      <c r="D76" s="253" t="n">
        <v>7.68</v>
      </c>
      <c r="E76" s="253" t="n">
        <v>7.61</v>
      </c>
      <c r="F76" s="253" t="n">
        <v>0.07000000000000001</v>
      </c>
      <c r="G76" s="253" t="inlineStr">
        <is>
          <t>ERROR</t>
        </is>
      </c>
    </row>
    <row r="77" ht="20" customHeight="1" s="226">
      <c r="A77" s="254" t="inlineStr">
        <is>
          <t>8BV</t>
        </is>
      </c>
      <c r="B77" s="254" t="inlineStr">
        <is>
          <t>PERES PERALTA CARLOS GEOVANN</t>
        </is>
      </c>
      <c r="C77" s="254" t="inlineStr">
        <is>
          <t>SOLO EN DOCENTES</t>
        </is>
      </c>
      <c r="D77" s="254" t="inlineStr">
        <is>
          <t>-</t>
        </is>
      </c>
      <c r="E77" s="254" t="inlineStr">
        <is>
          <t>-</t>
        </is>
      </c>
      <c r="F77" s="254" t="inlineStr">
        <is>
          <t>-</t>
        </is>
      </c>
      <c r="G77" s="254" t="inlineStr">
        <is>
          <t>DESFASE DE NÓMINA</t>
        </is>
      </c>
    </row>
    <row r="78" ht="20" customHeight="1" s="226">
      <c r="A78" s="253" t="inlineStr">
        <is>
          <t>8BV</t>
        </is>
      </c>
      <c r="B78" s="253" t="inlineStr">
        <is>
          <t>PUMA NAULA LUIS FERNANDO</t>
        </is>
      </c>
      <c r="C78" s="253" t="inlineStr">
        <is>
          <t>Estudios Sociales</t>
        </is>
      </c>
      <c r="D78" s="253" t="n">
        <v>8.6</v>
      </c>
      <c r="E78" s="253" t="n">
        <v>8.57</v>
      </c>
      <c r="F78" s="253" t="n">
        <v>0.03</v>
      </c>
      <c r="G78" s="253" t="inlineStr">
        <is>
          <t>ERROR</t>
        </is>
      </c>
    </row>
    <row r="79" ht="20" customHeight="1" s="226">
      <c r="A79" s="253" t="inlineStr">
        <is>
          <t>8BV</t>
        </is>
      </c>
      <c r="B79" s="253" t="inlineStr">
        <is>
          <t>PUMA ZHAGUI JORDAN STALIN</t>
        </is>
      </c>
      <c r="C79" s="253" t="inlineStr">
        <is>
          <t>Estudios Sociales</t>
        </is>
      </c>
      <c r="D79" s="253" t="n">
        <v>8.43</v>
      </c>
      <c r="E79" s="253" t="n">
        <v>8.02</v>
      </c>
      <c r="F79" s="253" t="n">
        <v>0.41</v>
      </c>
      <c r="G79" s="253" t="inlineStr">
        <is>
          <t>ERROR</t>
        </is>
      </c>
    </row>
    <row r="80" ht="20" customHeight="1" s="226">
      <c r="A80" s="253" t="inlineStr">
        <is>
          <t>8BV</t>
        </is>
      </c>
      <c r="B80" s="253" t="inlineStr">
        <is>
          <t>PUMA ZHAGUI JORDAN STALIN</t>
        </is>
      </c>
      <c r="C80" s="253" t="inlineStr">
        <is>
          <t>Promedio Final / P. General</t>
        </is>
      </c>
      <c r="D80" s="253" t="n">
        <v>8.52</v>
      </c>
      <c r="E80" s="253" t="n">
        <v>8.460000000000001</v>
      </c>
      <c r="F80" s="253" t="n">
        <v>0.06</v>
      </c>
      <c r="G80" s="253" t="inlineStr">
        <is>
          <t>ERROR</t>
        </is>
      </c>
    </row>
    <row r="81" ht="20" customHeight="1" s="226">
      <c r="A81" s="253" t="inlineStr">
        <is>
          <t>8BV</t>
        </is>
      </c>
      <c r="B81" s="253" t="inlineStr">
        <is>
          <t>QUIROGA CHACA LESLIE NICOLE</t>
        </is>
      </c>
      <c r="C81" s="253" t="inlineStr">
        <is>
          <t>Estudios Sociales</t>
        </is>
      </c>
      <c r="D81" s="253" t="n">
        <v>8.43</v>
      </c>
      <c r="E81" s="253" t="n">
        <v>9.08</v>
      </c>
      <c r="F81" s="253" t="n">
        <v>0.65</v>
      </c>
      <c r="G81" s="253" t="inlineStr">
        <is>
          <t>ERROR</t>
        </is>
      </c>
    </row>
    <row r="82" ht="20" customHeight="1" s="226">
      <c r="A82" s="253" t="inlineStr">
        <is>
          <t>8BV</t>
        </is>
      </c>
      <c r="B82" s="253" t="inlineStr">
        <is>
          <t>QUIROGA CHACA LESLIE NICOLE</t>
        </is>
      </c>
      <c r="C82" s="253" t="inlineStr">
        <is>
          <t>Promedio Final / P. General</t>
        </is>
      </c>
      <c r="D82" s="253" t="n">
        <v>8.529999999999999</v>
      </c>
      <c r="E82" s="253" t="n">
        <v>8.630000000000001</v>
      </c>
      <c r="F82" s="253" t="n">
        <v>0.1</v>
      </c>
      <c r="G82" s="253" t="inlineStr">
        <is>
          <t>ERROR</t>
        </is>
      </c>
    </row>
    <row r="83" ht="20" customHeight="1" s="226">
      <c r="A83" s="253" t="inlineStr">
        <is>
          <t>8BV</t>
        </is>
      </c>
      <c r="B83" s="253" t="inlineStr">
        <is>
          <t>QUIZHPI ZUÑIGA MARIA PAZ</t>
        </is>
      </c>
      <c r="C83" s="253" t="inlineStr">
        <is>
          <t>Estudios Sociales</t>
        </is>
      </c>
      <c r="D83" s="253" t="n">
        <v>8.67</v>
      </c>
      <c r="E83" s="253" t="n">
        <v>9.380000000000001</v>
      </c>
      <c r="F83" s="253" t="n">
        <v>0.71</v>
      </c>
      <c r="G83" s="253" t="inlineStr">
        <is>
          <t>ERROR</t>
        </is>
      </c>
    </row>
    <row r="84" ht="20" customHeight="1" s="226">
      <c r="A84" s="253" t="inlineStr">
        <is>
          <t>8BV</t>
        </is>
      </c>
      <c r="B84" s="253" t="inlineStr">
        <is>
          <t>QUIZHPI ZUÑIGA MARIA PAZ</t>
        </is>
      </c>
      <c r="C84" s="253" t="inlineStr">
        <is>
          <t>Promedio Final / P. General</t>
        </is>
      </c>
      <c r="D84" s="253" t="n">
        <v>8.619999999999999</v>
      </c>
      <c r="E84" s="253" t="n">
        <v>8.720000000000001</v>
      </c>
      <c r="F84" s="253" t="n">
        <v>0.1</v>
      </c>
      <c r="G84" s="253" t="inlineStr">
        <is>
          <t>ERROR</t>
        </is>
      </c>
    </row>
    <row r="85" ht="20" customHeight="1" s="226">
      <c r="A85" s="253" t="inlineStr">
        <is>
          <t>8BV</t>
        </is>
      </c>
      <c r="B85" s="253" t="inlineStr">
        <is>
          <t>REA VERA ERIKA DANIELA</t>
        </is>
      </c>
      <c r="C85" s="253" t="inlineStr">
        <is>
          <t>Estudios Sociales</t>
        </is>
      </c>
      <c r="D85" s="253" t="n">
        <v>9.4</v>
      </c>
      <c r="E85" s="253" t="n">
        <v>9.31</v>
      </c>
      <c r="F85" s="253" t="n">
        <v>0.09</v>
      </c>
      <c r="G85" s="253" t="inlineStr">
        <is>
          <t>ERROR</t>
        </is>
      </c>
    </row>
    <row r="86" ht="20" customHeight="1" s="226">
      <c r="A86" s="253" t="inlineStr">
        <is>
          <t>8BV</t>
        </is>
      </c>
      <c r="B86" s="253" t="inlineStr">
        <is>
          <t>RUIZ ARIAS MAGALY SALOME</t>
        </is>
      </c>
      <c r="C86" s="253" t="inlineStr">
        <is>
          <t>Estudios Sociales</t>
        </is>
      </c>
      <c r="D86" s="253" t="n">
        <v>8.449999999999999</v>
      </c>
      <c r="E86" s="253" t="n">
        <v>8.69</v>
      </c>
      <c r="F86" s="253" t="n">
        <v>0.24</v>
      </c>
      <c r="G86" s="253" t="inlineStr">
        <is>
          <t>ERROR</t>
        </is>
      </c>
    </row>
    <row r="87" ht="20" customHeight="1" s="226">
      <c r="A87" s="253" t="inlineStr">
        <is>
          <t>8BV</t>
        </is>
      </c>
      <c r="B87" s="253" t="inlineStr">
        <is>
          <t>RUIZ ARIAS MAGALY SALOME</t>
        </is>
      </c>
      <c r="C87" s="253" t="inlineStr">
        <is>
          <t>Promedio Final / P. General</t>
        </is>
      </c>
      <c r="D87" s="253" t="n">
        <v>7.95</v>
      </c>
      <c r="E87" s="253" t="n">
        <v>7.98</v>
      </c>
      <c r="F87" s="253" t="n">
        <v>0.03</v>
      </c>
      <c r="G87" s="253" t="inlineStr">
        <is>
          <t>ERROR</t>
        </is>
      </c>
    </row>
    <row r="88" ht="20" customHeight="1" s="226">
      <c r="A88" s="253" t="inlineStr">
        <is>
          <t>8BV</t>
        </is>
      </c>
      <c r="B88" s="253" t="inlineStr">
        <is>
          <t>SANCHO TADAY DAYANA MICHELLE</t>
        </is>
      </c>
      <c r="C88" s="253" t="inlineStr">
        <is>
          <t>Estudios Sociales</t>
        </is>
      </c>
      <c r="D88" s="253" t="n">
        <v>8.640000000000001</v>
      </c>
      <c r="E88" s="253" t="n">
        <v>9.609999999999999</v>
      </c>
      <c r="F88" s="253" t="n">
        <v>0.97</v>
      </c>
      <c r="G88" s="253" t="inlineStr">
        <is>
          <t>ERROR</t>
        </is>
      </c>
    </row>
    <row r="89" ht="20" customHeight="1" s="226">
      <c r="A89" s="253" t="inlineStr">
        <is>
          <t>8BV</t>
        </is>
      </c>
      <c r="B89" s="253" t="inlineStr">
        <is>
          <t>SANCHO TADAY DAYANA MICHELLE</t>
        </is>
      </c>
      <c r="C89" s="253" t="inlineStr">
        <is>
          <t>Promedio Final / P. General</t>
        </is>
      </c>
      <c r="D89" s="253" t="n">
        <v>9.140000000000001</v>
      </c>
      <c r="E89" s="253" t="n">
        <v>9.279999999999999</v>
      </c>
      <c r="F89" s="253" t="n">
        <v>0.14</v>
      </c>
      <c r="G89" s="253" t="inlineStr">
        <is>
          <t>ERROR</t>
        </is>
      </c>
    </row>
    <row r="90" ht="20" customHeight="1" s="226">
      <c r="A90" s="253" t="inlineStr">
        <is>
          <t>8BV</t>
        </is>
      </c>
      <c r="B90" s="253" t="inlineStr">
        <is>
          <t>SARANGO AVILA JOSTIN ALEXANDER</t>
        </is>
      </c>
      <c r="C90" s="253" t="inlineStr">
        <is>
          <t>Estudios Sociales</t>
        </is>
      </c>
      <c r="D90" s="253" t="n">
        <v>7.98</v>
      </c>
      <c r="E90" s="253" t="n">
        <v>7.92</v>
      </c>
      <c r="F90" s="253" t="n">
        <v>0.06</v>
      </c>
      <c r="G90" s="253" t="inlineStr">
        <is>
          <t>ERROR</t>
        </is>
      </c>
    </row>
    <row r="91" ht="20" customHeight="1" s="226">
      <c r="A91" s="253" t="inlineStr">
        <is>
          <t>8BV</t>
        </is>
      </c>
      <c r="B91" s="253" t="inlineStr">
        <is>
          <t>SARANGO AVILA JOSTIN ALEXANDER</t>
        </is>
      </c>
      <c r="C91" s="253" t="inlineStr">
        <is>
          <t>Educación Física</t>
        </is>
      </c>
      <c r="D91" s="253" t="n">
        <v>7.89</v>
      </c>
      <c r="E91" s="253" t="n">
        <v>7.98</v>
      </c>
      <c r="F91" s="253" t="n">
        <v>0.09</v>
      </c>
      <c r="G91" s="253" t="inlineStr">
        <is>
          <t>ERROR</t>
        </is>
      </c>
    </row>
    <row r="92" ht="20" customHeight="1" s="226">
      <c r="A92" s="253" t="inlineStr">
        <is>
          <t>8BV</t>
        </is>
      </c>
      <c r="B92" s="253" t="inlineStr">
        <is>
          <t>SIAVICHAY CANDO MARCO SEBASTIAN</t>
        </is>
      </c>
      <c r="C92" s="253" t="inlineStr">
        <is>
          <t>Estudios Sociales</t>
        </is>
      </c>
      <c r="D92" s="253" t="n">
        <v>8.44</v>
      </c>
      <c r="E92" s="253" t="n">
        <v>8.75</v>
      </c>
      <c r="F92" s="253" t="n">
        <v>0.31</v>
      </c>
      <c r="G92" s="253" t="inlineStr">
        <is>
          <t>ERROR</t>
        </is>
      </c>
    </row>
    <row r="93" ht="20" customHeight="1" s="226">
      <c r="A93" s="253" t="inlineStr">
        <is>
          <t>8BV</t>
        </is>
      </c>
      <c r="B93" s="253" t="inlineStr">
        <is>
          <t>SIAVICHAY CANDO MARCO SEBASTIAN</t>
        </is>
      </c>
      <c r="C93" s="253" t="inlineStr">
        <is>
          <t>Promedio Final / P. General</t>
        </is>
      </c>
      <c r="D93" s="253" t="n">
        <v>8.27</v>
      </c>
      <c r="E93" s="253" t="n">
        <v>8.32</v>
      </c>
      <c r="F93" s="253" t="n">
        <v>0.05</v>
      </c>
      <c r="G93" s="253" t="inlineStr">
        <is>
          <t>ERROR</t>
        </is>
      </c>
    </row>
    <row r="94" ht="20" customHeight="1" s="226">
      <c r="A94" s="253" t="inlineStr">
        <is>
          <t>8BV</t>
        </is>
      </c>
      <c r="B94" s="253" t="inlineStr">
        <is>
          <t>SINCHI LEMA VALERIA GUADALUPE</t>
        </is>
      </c>
      <c r="C94" s="253" t="inlineStr">
        <is>
          <t>Estudios Sociales</t>
        </is>
      </c>
      <c r="D94" s="253" t="n">
        <v>9.06</v>
      </c>
      <c r="E94" s="253" t="n">
        <v>9.140000000000001</v>
      </c>
      <c r="F94" s="253" t="n">
        <v>0.08</v>
      </c>
      <c r="G94" s="253" t="inlineStr">
        <is>
          <t>ERROR</t>
        </is>
      </c>
    </row>
    <row r="95" ht="20" customHeight="1" s="226">
      <c r="A95" s="253" t="inlineStr">
        <is>
          <t>8BV</t>
        </is>
      </c>
      <c r="B95" s="253" t="inlineStr">
        <is>
          <t>TONGOMBOL CARCHIPULLA VERONICA ALEXANDRA</t>
        </is>
      </c>
      <c r="C95" s="253" t="inlineStr">
        <is>
          <t>Estudios Sociales</t>
        </is>
      </c>
      <c r="D95" s="253" t="n">
        <v>8.52</v>
      </c>
      <c r="E95" s="253" t="n">
        <v>8.01</v>
      </c>
      <c r="F95" s="253" t="n">
        <v>0.51</v>
      </c>
      <c r="G95" s="253" t="inlineStr">
        <is>
          <t>ERROR</t>
        </is>
      </c>
    </row>
    <row r="96" ht="20" customHeight="1" s="226">
      <c r="A96" s="253" t="inlineStr">
        <is>
          <t>8BV</t>
        </is>
      </c>
      <c r="B96" s="253" t="inlineStr">
        <is>
          <t>TONGOMBOL CARCHIPULLA VERONICA ALEXANDRA</t>
        </is>
      </c>
      <c r="C96" s="253" t="inlineStr">
        <is>
          <t>Promedio Final / P. General</t>
        </is>
      </c>
      <c r="D96" s="253" t="n">
        <v>7.61</v>
      </c>
      <c r="E96" s="253" t="n">
        <v>7.54</v>
      </c>
      <c r="F96" s="253" t="n">
        <v>0.07000000000000001</v>
      </c>
      <c r="G96" s="253" t="inlineStr">
        <is>
          <t>ERROR</t>
        </is>
      </c>
    </row>
    <row r="97" ht="20" customHeight="1" s="226">
      <c r="A97" s="253" t="inlineStr">
        <is>
          <t>8BV</t>
        </is>
      </c>
      <c r="B97" s="253" t="inlineStr">
        <is>
          <t>UZHCA JUELA EDWIN FABIAN</t>
        </is>
      </c>
      <c r="C97" s="253" t="inlineStr">
        <is>
          <t>Estudios Sociales</t>
        </is>
      </c>
      <c r="D97" s="253" t="n">
        <v>9.619999999999999</v>
      </c>
      <c r="E97" s="253" t="n">
        <v>8.390000000000001</v>
      </c>
      <c r="F97" s="253" t="n">
        <v>1.23</v>
      </c>
      <c r="G97" s="253" t="inlineStr">
        <is>
          <t>ERROR</t>
        </is>
      </c>
    </row>
    <row r="98" ht="20" customHeight="1" s="226">
      <c r="A98" s="253" t="inlineStr">
        <is>
          <t>8BV</t>
        </is>
      </c>
      <c r="B98" s="253" t="inlineStr">
        <is>
          <t>UZHCA JUELA EDWIN FABIAN</t>
        </is>
      </c>
      <c r="C98" s="253" t="inlineStr">
        <is>
          <t>Promedio Final / P. General</t>
        </is>
      </c>
      <c r="D98" s="253" t="n">
        <v>7.63</v>
      </c>
      <c r="E98" s="253" t="n">
        <v>7.46</v>
      </c>
      <c r="F98" s="253" t="n">
        <v>0.17</v>
      </c>
      <c r="G98" s="253" t="inlineStr">
        <is>
          <t>ERROR</t>
        </is>
      </c>
    </row>
    <row r="99" ht="20" customHeight="1" s="226">
      <c r="A99" s="253" t="inlineStr">
        <is>
          <t>8BV</t>
        </is>
      </c>
      <c r="B99" s="253" t="inlineStr">
        <is>
          <t>VALDEZ BENAVIDES DENISE CAROLINA</t>
        </is>
      </c>
      <c r="C99" s="253" t="inlineStr">
        <is>
          <t>Estudios Sociales</t>
        </is>
      </c>
      <c r="D99" s="253" t="n">
        <v>8.76</v>
      </c>
      <c r="E99" s="253" t="n">
        <v>8.699999999999999</v>
      </c>
      <c r="F99" s="253" t="n">
        <v>0.06</v>
      </c>
      <c r="G99" s="253" t="inlineStr">
        <is>
          <t>ERROR</t>
        </is>
      </c>
    </row>
    <row r="100" ht="20" customHeight="1" s="226">
      <c r="A100" s="253" t="inlineStr">
        <is>
          <t>8BV</t>
        </is>
      </c>
      <c r="B100" s="253" t="inlineStr">
        <is>
          <t>ÑAUTA BARRETO ANDREA MICHELLE</t>
        </is>
      </c>
      <c r="C100" s="253" t="inlineStr">
        <is>
          <t>Promedio Final / P. General</t>
        </is>
      </c>
      <c r="D100" s="253" t="n">
        <v>9.42</v>
      </c>
      <c r="E100" s="253" t="n">
        <v>9.460000000000001</v>
      </c>
      <c r="F100" s="253" t="n">
        <v>0.04</v>
      </c>
      <c r="G100" s="253" t="inlineStr">
        <is>
          <t>ERROR</t>
        </is>
      </c>
    </row>
    <row r="101" ht="20" customHeight="1" s="226">
      <c r="A101" s="254" t="inlineStr">
        <is>
          <t>8BV</t>
        </is>
      </c>
      <c r="B101" s="254" t="inlineStr">
        <is>
          <t>FIGUEROA PACCHA JUAN DIEGO</t>
        </is>
      </c>
      <c r="C101" s="254" t="inlineStr">
        <is>
          <t>SOLO EN SISTEMA</t>
        </is>
      </c>
      <c r="D101" s="254" t="inlineStr">
        <is>
          <t>-</t>
        </is>
      </c>
      <c r="E101" s="254" t="inlineStr">
        <is>
          <t>-</t>
        </is>
      </c>
      <c r="F101" s="254" t="inlineStr">
        <is>
          <t>-</t>
        </is>
      </c>
      <c r="G101" s="254" t="inlineStr">
        <is>
          <t>DESFASE DE NÓMINA</t>
        </is>
      </c>
    </row>
    <row r="102" ht="20" customHeight="1" s="226">
      <c r="A102" s="254" t="inlineStr">
        <is>
          <t>8BV</t>
        </is>
      </c>
      <c r="B102" s="254" t="inlineStr">
        <is>
          <t>ORTIZ GUARACA ERIC ALEXANDER</t>
        </is>
      </c>
      <c r="C102" s="254" t="inlineStr">
        <is>
          <t>SOLO EN SISTEMA</t>
        </is>
      </c>
      <c r="D102" s="254" t="inlineStr">
        <is>
          <t>-</t>
        </is>
      </c>
      <c r="E102" s="254" t="inlineStr">
        <is>
          <t>-</t>
        </is>
      </c>
      <c r="F102" s="254" t="inlineStr">
        <is>
          <t>-</t>
        </is>
      </c>
      <c r="G102" s="254" t="inlineStr">
        <is>
          <t>DESFASE DE NÓMINA</t>
        </is>
      </c>
    </row>
    <row r="103" ht="20" customHeight="1" s="226">
      <c r="A103" s="254" t="inlineStr">
        <is>
          <t>8BV</t>
        </is>
      </c>
      <c r="B103" s="254" t="inlineStr">
        <is>
          <t>PERES PERALTA CARLOS GEOVANNY</t>
        </is>
      </c>
      <c r="C103" s="254" t="inlineStr">
        <is>
          <t>SOLO EN SISTEMA</t>
        </is>
      </c>
      <c r="D103" s="254" t="inlineStr">
        <is>
          <t>-</t>
        </is>
      </c>
      <c r="E103" s="254" t="inlineStr">
        <is>
          <t>-</t>
        </is>
      </c>
      <c r="F103" s="254" t="inlineStr">
        <is>
          <t>-</t>
        </is>
      </c>
      <c r="G103" s="254" t="inlineStr">
        <is>
          <t>DESFASE DE NÓMINA</t>
        </is>
      </c>
    </row>
    <row r="104" ht="20" customHeight="1" s="226">
      <c r="A104" s="253" t="inlineStr">
        <is>
          <t>9AV</t>
        </is>
      </c>
      <c r="B104" s="253" t="inlineStr">
        <is>
          <t>BONILLA CANDO PAULA GABRIELA</t>
        </is>
      </c>
      <c r="C104" s="253" t="inlineStr">
        <is>
          <t>Estudios Sociales</t>
        </is>
      </c>
      <c r="D104" s="253" t="n">
        <v>8.880000000000001</v>
      </c>
      <c r="E104" s="253" t="n">
        <v>8.960000000000001</v>
      </c>
      <c r="F104" s="253" t="n">
        <v>0.08</v>
      </c>
      <c r="G104" s="253" t="inlineStr">
        <is>
          <t>ERROR</t>
        </is>
      </c>
    </row>
    <row r="105" ht="20" customHeight="1" s="226">
      <c r="A105" s="253" t="inlineStr">
        <is>
          <t>9AV</t>
        </is>
      </c>
      <c r="B105" s="253" t="inlineStr">
        <is>
          <t>CACHIGUANGO PINEDA JOSTYN DIDIER</t>
        </is>
      </c>
      <c r="C105" s="253" t="inlineStr">
        <is>
          <t>Estudios Sociales</t>
        </is>
      </c>
      <c r="D105" s="253" t="n">
        <v>8.35</v>
      </c>
      <c r="E105" s="253" t="n">
        <v>7.96</v>
      </c>
      <c r="F105" s="253" t="n">
        <v>0.39</v>
      </c>
      <c r="G105" s="253" t="inlineStr">
        <is>
          <t>ERROR</t>
        </is>
      </c>
    </row>
    <row r="106" ht="20" customHeight="1" s="226">
      <c r="A106" s="253" t="inlineStr">
        <is>
          <t>9AV</t>
        </is>
      </c>
      <c r="B106" s="253" t="inlineStr">
        <is>
          <t>CACHIGUANGO PINEDA JOSTYN DIDIER</t>
        </is>
      </c>
      <c r="C106" s="253" t="inlineStr">
        <is>
          <t>Promedio Final / P. General</t>
        </is>
      </c>
      <c r="D106" s="253" t="n">
        <v>7.5</v>
      </c>
      <c r="E106" s="253" t="n">
        <v>7.45</v>
      </c>
      <c r="F106" s="253" t="n">
        <v>0.05</v>
      </c>
      <c r="G106" s="253" t="inlineStr">
        <is>
          <t>ERROR</t>
        </is>
      </c>
    </row>
    <row r="107" ht="20" customHeight="1" s="226">
      <c r="A107" s="253" t="inlineStr">
        <is>
          <t>9AV</t>
        </is>
      </c>
      <c r="B107" s="253" t="inlineStr">
        <is>
          <t>CALLE HURTADO CRISTOBAL SEBASTIAN</t>
        </is>
      </c>
      <c r="C107" s="253" t="inlineStr">
        <is>
          <t>Estudios Sociales</t>
        </is>
      </c>
      <c r="D107" s="253" t="n">
        <v>7.65</v>
      </c>
      <c r="E107" s="253" t="n">
        <v>8.449999999999999</v>
      </c>
      <c r="F107" s="253" t="n">
        <v>0.8</v>
      </c>
      <c r="G107" s="253" t="inlineStr">
        <is>
          <t>ERROR</t>
        </is>
      </c>
    </row>
    <row r="108" ht="20" customHeight="1" s="226">
      <c r="A108" s="253" t="inlineStr">
        <is>
          <t>9AV</t>
        </is>
      </c>
      <c r="B108" s="253" t="inlineStr">
        <is>
          <t>CALLE HURTADO CRISTOBAL SEBASTIAN</t>
        </is>
      </c>
      <c r="C108" s="253" t="inlineStr">
        <is>
          <t>Promedio Final / P. General</t>
        </is>
      </c>
      <c r="D108" s="253" t="n">
        <v>7.58</v>
      </c>
      <c r="E108" s="253" t="n">
        <v>7.69</v>
      </c>
      <c r="F108" s="253" t="n">
        <v>0.11</v>
      </c>
      <c r="G108" s="253" t="inlineStr">
        <is>
          <t>ERROR</t>
        </is>
      </c>
    </row>
    <row r="109" ht="20" customHeight="1" s="226">
      <c r="A109" s="253" t="inlineStr">
        <is>
          <t>9AV</t>
        </is>
      </c>
      <c r="B109" s="253" t="inlineStr">
        <is>
          <t>CALLE SALTO MONICA ALEXANDRA</t>
        </is>
      </c>
      <c r="C109" s="253" t="inlineStr">
        <is>
          <t>Estudios Sociales</t>
        </is>
      </c>
      <c r="D109" s="253" t="n">
        <v>8.85</v>
      </c>
      <c r="E109" s="253" t="n">
        <v>8</v>
      </c>
      <c r="F109" s="253" t="n">
        <v>0.85</v>
      </c>
      <c r="G109" s="253" t="inlineStr">
        <is>
          <t>ERROR</t>
        </is>
      </c>
    </row>
    <row r="110" ht="20" customHeight="1" s="226">
      <c r="A110" s="253" t="inlineStr">
        <is>
          <t>9AV</t>
        </is>
      </c>
      <c r="B110" s="253" t="inlineStr">
        <is>
          <t>CALLE SALTO MONICA ALEXANDRA</t>
        </is>
      </c>
      <c r="C110" s="253" t="inlineStr">
        <is>
          <t>Promedio Final / P. General</t>
        </is>
      </c>
      <c r="D110" s="253" t="n">
        <v>8.15</v>
      </c>
      <c r="E110" s="253" t="n">
        <v>8.029999999999999</v>
      </c>
      <c r="F110" s="253" t="n">
        <v>0.12</v>
      </c>
      <c r="G110" s="253" t="inlineStr">
        <is>
          <t>ERROR</t>
        </is>
      </c>
    </row>
    <row r="111" ht="20" customHeight="1" s="226">
      <c r="A111" s="253" t="inlineStr">
        <is>
          <t>9AV</t>
        </is>
      </c>
      <c r="B111" s="253" t="inlineStr">
        <is>
          <t>CAMPOVERDE CARDENAS JOSUE ISRAEL</t>
        </is>
      </c>
      <c r="C111" s="253" t="inlineStr">
        <is>
          <t>Estudios Sociales</t>
        </is>
      </c>
      <c r="D111" s="253" t="n">
        <v>8.630000000000001</v>
      </c>
      <c r="E111" s="253" t="n">
        <v>8.92</v>
      </c>
      <c r="F111" s="253" t="n">
        <v>0.29</v>
      </c>
      <c r="G111" s="253" t="inlineStr">
        <is>
          <t>ERROR</t>
        </is>
      </c>
    </row>
    <row r="112" ht="20" customHeight="1" s="226">
      <c r="A112" s="253" t="inlineStr">
        <is>
          <t>9AV</t>
        </is>
      </c>
      <c r="B112" s="253" t="inlineStr">
        <is>
          <t>CAMPOVERDE CARDENAS JOSUE ISRAEL</t>
        </is>
      </c>
      <c r="C112" s="253" t="inlineStr">
        <is>
          <t>Promedio Final / P. General</t>
        </is>
      </c>
      <c r="D112" s="253" t="n">
        <v>7.46</v>
      </c>
      <c r="E112" s="253" t="n">
        <v>7.5</v>
      </c>
      <c r="F112" s="253" t="n">
        <v>0.04</v>
      </c>
      <c r="G112" s="253" t="inlineStr">
        <is>
          <t>ERROR</t>
        </is>
      </c>
    </row>
    <row r="113" ht="20" customHeight="1" s="226">
      <c r="A113" s="253" t="inlineStr">
        <is>
          <t>9AV</t>
        </is>
      </c>
      <c r="B113" s="253" t="inlineStr">
        <is>
          <t>CARDENAS ZARATE AMY DAMARIS</t>
        </is>
      </c>
      <c r="C113" s="253" t="inlineStr">
        <is>
          <t>Estudios Sociales</t>
        </is>
      </c>
      <c r="D113" s="253" t="n">
        <v>8.15</v>
      </c>
      <c r="E113" s="253" t="n">
        <v>8.85</v>
      </c>
      <c r="F113" s="253" t="n">
        <v>0.7</v>
      </c>
      <c r="G113" s="253" t="inlineStr">
        <is>
          <t>ERROR</t>
        </is>
      </c>
    </row>
    <row r="114" ht="20" customHeight="1" s="226">
      <c r="A114" s="253" t="inlineStr">
        <is>
          <t>9AV</t>
        </is>
      </c>
      <c r="B114" s="253" t="inlineStr">
        <is>
          <t>CARDENAS ZARATE AMY DAMARIS</t>
        </is>
      </c>
      <c r="C114" s="253" t="inlineStr">
        <is>
          <t>Promedio Final / P. General</t>
        </is>
      </c>
      <c r="D114" s="253" t="n">
        <v>8.609999999999999</v>
      </c>
      <c r="E114" s="253" t="n">
        <v>8.710000000000001</v>
      </c>
      <c r="F114" s="253" t="n">
        <v>0.1</v>
      </c>
      <c r="G114" s="253" t="inlineStr">
        <is>
          <t>ERROR</t>
        </is>
      </c>
    </row>
    <row r="115" ht="20" customHeight="1" s="226">
      <c r="A115" s="253" t="inlineStr">
        <is>
          <t>9AV</t>
        </is>
      </c>
      <c r="B115" s="253" t="inlineStr">
        <is>
          <t>CRUZ LALVAY CRISTOPHER MATIAS</t>
        </is>
      </c>
      <c r="C115" s="253" t="inlineStr">
        <is>
          <t>Estudios Sociales</t>
        </is>
      </c>
      <c r="D115" s="253" t="n">
        <v>7.32</v>
      </c>
      <c r="E115" s="253" t="n">
        <v>7.5</v>
      </c>
      <c r="F115" s="253" t="n">
        <v>0.18</v>
      </c>
      <c r="G115" s="253" t="inlineStr">
        <is>
          <t>ERROR</t>
        </is>
      </c>
    </row>
    <row r="116" ht="20" customHeight="1" s="226">
      <c r="A116" s="253" t="inlineStr">
        <is>
          <t>9AV</t>
        </is>
      </c>
      <c r="B116" s="253" t="inlineStr">
        <is>
          <t>CRUZ TORRES MELANIE NICOLE</t>
        </is>
      </c>
      <c r="C116" s="253" t="inlineStr">
        <is>
          <t>Estudios Sociales</t>
        </is>
      </c>
      <c r="D116" s="253" t="n">
        <v>9.26</v>
      </c>
      <c r="E116" s="253" t="n">
        <v>7.85</v>
      </c>
      <c r="F116" s="253" t="n">
        <v>1.41</v>
      </c>
      <c r="G116" s="253" t="inlineStr">
        <is>
          <t>ERROR</t>
        </is>
      </c>
    </row>
    <row r="117" ht="20" customHeight="1" s="226">
      <c r="A117" s="253" t="inlineStr">
        <is>
          <t>9AV</t>
        </is>
      </c>
      <c r="B117" s="253" t="inlineStr">
        <is>
          <t>CRUZ TORRES MELANIE NICOLE</t>
        </is>
      </c>
      <c r="C117" s="253" t="inlineStr">
        <is>
          <t>Promedio Final / P. General</t>
        </is>
      </c>
      <c r="D117" s="253" t="n">
        <v>8.460000000000001</v>
      </c>
      <c r="E117" s="253" t="n">
        <v>8.26</v>
      </c>
      <c r="F117" s="253" t="n">
        <v>0.2</v>
      </c>
      <c r="G117" s="253" t="inlineStr">
        <is>
          <t>ERROR</t>
        </is>
      </c>
    </row>
    <row r="118" ht="20" customHeight="1" s="226">
      <c r="A118" s="253" t="inlineStr">
        <is>
          <t>9AV</t>
        </is>
      </c>
      <c r="B118" s="253" t="inlineStr">
        <is>
          <t>ENRIQUEZ CAJAMARCA ELVIS LEONARDO</t>
        </is>
      </c>
      <c r="C118" s="253" t="inlineStr">
        <is>
          <t>Estudios Sociales</t>
        </is>
      </c>
      <c r="D118" s="253" t="n">
        <v>8.859999999999999</v>
      </c>
      <c r="E118" s="253" t="n">
        <v>9.16</v>
      </c>
      <c r="F118" s="253" t="n">
        <v>0.3</v>
      </c>
      <c r="G118" s="253" t="inlineStr">
        <is>
          <t>ERROR</t>
        </is>
      </c>
    </row>
    <row r="119" ht="20" customHeight="1" s="226">
      <c r="A119" s="253" t="inlineStr">
        <is>
          <t>9AV</t>
        </is>
      </c>
      <c r="B119" s="253" t="inlineStr">
        <is>
          <t>ENRIQUEZ CAJAMARCA ELVIS LEONARDO</t>
        </is>
      </c>
      <c r="C119" s="253" t="inlineStr">
        <is>
          <t>Promedio Final / P. General</t>
        </is>
      </c>
      <c r="D119" s="253" t="n">
        <v>8.949999999999999</v>
      </c>
      <c r="E119" s="253" t="n">
        <v>8.99</v>
      </c>
      <c r="F119" s="253" t="n">
        <v>0.04</v>
      </c>
      <c r="G119" s="253" t="inlineStr">
        <is>
          <t>ERROR</t>
        </is>
      </c>
    </row>
    <row r="120" ht="20" customHeight="1" s="226">
      <c r="A120" s="253" t="inlineStr">
        <is>
          <t>9AV</t>
        </is>
      </c>
      <c r="B120" s="253" t="inlineStr">
        <is>
          <t>FAJARDO SALINAS PAULA ALEJANDRA</t>
        </is>
      </c>
      <c r="C120" s="253" t="inlineStr">
        <is>
          <t>Estudios Sociales</t>
        </is>
      </c>
      <c r="D120" s="253" t="n">
        <v>7.82</v>
      </c>
      <c r="E120" s="253" t="n">
        <v>8.99</v>
      </c>
      <c r="F120" s="253" t="n">
        <v>1.17</v>
      </c>
      <c r="G120" s="253" t="inlineStr">
        <is>
          <t>ERROR</t>
        </is>
      </c>
    </row>
    <row r="121" ht="20" customHeight="1" s="226">
      <c r="A121" s="253" t="inlineStr">
        <is>
          <t>9AV</t>
        </is>
      </c>
      <c r="B121" s="253" t="inlineStr">
        <is>
          <t>FAJARDO SALINAS PAULA ALEJANDRA</t>
        </is>
      </c>
      <c r="C121" s="253" t="inlineStr">
        <is>
          <t>Promedio Final / P. General</t>
        </is>
      </c>
      <c r="D121" s="253" t="n">
        <v>8.51</v>
      </c>
      <c r="E121" s="253" t="n">
        <v>8.67</v>
      </c>
      <c r="F121" s="253" t="n">
        <v>0.16</v>
      </c>
      <c r="G121" s="253" t="inlineStr">
        <is>
          <t>ERROR</t>
        </is>
      </c>
    </row>
    <row r="122" ht="20" customHeight="1" s="226">
      <c r="A122" s="253" t="inlineStr">
        <is>
          <t>9AV</t>
        </is>
      </c>
      <c r="B122" s="253" t="inlineStr">
        <is>
          <t>FLORES QUINTUÑA ANDERSON JOEL</t>
        </is>
      </c>
      <c r="C122" s="253" t="inlineStr">
        <is>
          <t>Matemática</t>
        </is>
      </c>
      <c r="D122" s="253" t="n">
        <v>7.06</v>
      </c>
      <c r="E122" s="253" t="n">
        <v>7</v>
      </c>
      <c r="F122" s="253" t="n">
        <v>0.06</v>
      </c>
      <c r="G122" s="253" t="inlineStr">
        <is>
          <t>ERROR</t>
        </is>
      </c>
    </row>
    <row r="123" ht="20" customHeight="1" s="226">
      <c r="A123" s="253" t="inlineStr">
        <is>
          <t>9AV</t>
        </is>
      </c>
      <c r="B123" s="253" t="inlineStr">
        <is>
          <t>FLORES QUINTUÑA ANDERSON JOEL</t>
        </is>
      </c>
      <c r="C123" s="253" t="inlineStr">
        <is>
          <t>Estudios Sociales</t>
        </is>
      </c>
      <c r="D123" s="253" t="n">
        <v>8.25</v>
      </c>
      <c r="E123" s="253" t="n">
        <v>7.18</v>
      </c>
      <c r="F123" s="253" t="n">
        <v>1.07</v>
      </c>
      <c r="G123" s="253" t="inlineStr">
        <is>
          <t>ERROR</t>
        </is>
      </c>
    </row>
    <row r="124" ht="20" customHeight="1" s="226">
      <c r="A124" s="253" t="inlineStr">
        <is>
          <t>9AV</t>
        </is>
      </c>
      <c r="B124" s="253" t="inlineStr">
        <is>
          <t>FLORES QUINTUÑA ANDERSON JOEL</t>
        </is>
      </c>
      <c r="C124" s="253" t="inlineStr">
        <is>
          <t>Promedio Final / P. General</t>
        </is>
      </c>
      <c r="D124" s="253" t="n">
        <v>7.61</v>
      </c>
      <c r="E124" s="253" t="n">
        <v>7.45</v>
      </c>
      <c r="F124" s="253" t="n">
        <v>0.16</v>
      </c>
      <c r="G124" s="253" t="inlineStr">
        <is>
          <t>ERROR</t>
        </is>
      </c>
    </row>
    <row r="125" ht="20" customHeight="1" s="226">
      <c r="A125" s="253" t="inlineStr">
        <is>
          <t>9AV</t>
        </is>
      </c>
      <c r="B125" s="253" t="inlineStr">
        <is>
          <t>GUERRERO CUN YAMILETH DE LOS ANGELES</t>
        </is>
      </c>
      <c r="C125" s="253" t="inlineStr">
        <is>
          <t>Estudios Sociales</t>
        </is>
      </c>
      <c r="D125" s="253" t="n">
        <v>8.140000000000001</v>
      </c>
      <c r="E125" s="253" t="n">
        <v>8.69</v>
      </c>
      <c r="F125" s="253" t="n">
        <v>0.55</v>
      </c>
      <c r="G125" s="253" t="inlineStr">
        <is>
          <t>ERROR</t>
        </is>
      </c>
    </row>
    <row r="126" ht="20" customHeight="1" s="226">
      <c r="A126" s="253" t="inlineStr">
        <is>
          <t>9AV</t>
        </is>
      </c>
      <c r="B126" s="253" t="inlineStr">
        <is>
          <t>GUERRERO CUN YAMILETH DE LOS ANGELES</t>
        </is>
      </c>
      <c r="C126" s="253" t="inlineStr">
        <is>
          <t>Promedio Final / P. General</t>
        </is>
      </c>
      <c r="D126" s="253" t="n">
        <v>8.02</v>
      </c>
      <c r="E126" s="253" t="n">
        <v>8.1</v>
      </c>
      <c r="F126" s="253" t="n">
        <v>0.08</v>
      </c>
      <c r="G126" s="253" t="inlineStr">
        <is>
          <t>ERROR</t>
        </is>
      </c>
    </row>
    <row r="127" ht="20" customHeight="1" s="226">
      <c r="A127" s="253" t="inlineStr">
        <is>
          <t>9AV</t>
        </is>
      </c>
      <c r="B127" s="253" t="inlineStr">
        <is>
          <t>ILLESCAS CAÑAR DANNY ISMAEL</t>
        </is>
      </c>
      <c r="C127" s="253" t="inlineStr">
        <is>
          <t>Estudios Sociales</t>
        </is>
      </c>
      <c r="D127" s="253" t="n">
        <v>7.29</v>
      </c>
      <c r="E127" s="253" t="n">
        <v>7.9</v>
      </c>
      <c r="F127" s="253" t="n">
        <v>0.61</v>
      </c>
      <c r="G127" s="253" t="inlineStr">
        <is>
          <t>ERROR</t>
        </is>
      </c>
    </row>
    <row r="128" ht="20" customHeight="1" s="226">
      <c r="A128" s="253" t="inlineStr">
        <is>
          <t>9AV</t>
        </is>
      </c>
      <c r="B128" s="253" t="inlineStr">
        <is>
          <t>ILLESCAS CAÑAR DANNY ISMAEL</t>
        </is>
      </c>
      <c r="C128" s="253" t="inlineStr">
        <is>
          <t>Promedio Final / P. General</t>
        </is>
      </c>
      <c r="D128" s="253" t="n">
        <v>7.24</v>
      </c>
      <c r="E128" s="253" t="n">
        <v>7.32</v>
      </c>
      <c r="F128" s="253" t="n">
        <v>0.08</v>
      </c>
      <c r="G128" s="253" t="inlineStr">
        <is>
          <t>ERROR</t>
        </is>
      </c>
    </row>
    <row r="129" ht="20" customHeight="1" s="226">
      <c r="A129" s="253" t="inlineStr">
        <is>
          <t>9AV</t>
        </is>
      </c>
      <c r="B129" s="253" t="inlineStr">
        <is>
          <t>JIMENEZ CUMBE ELVIS ARIEL</t>
        </is>
      </c>
      <c r="C129" s="253" t="inlineStr">
        <is>
          <t>Estudios Sociales</t>
        </is>
      </c>
      <c r="D129" s="253" t="n">
        <v>7.32</v>
      </c>
      <c r="E129" s="253" t="n">
        <v>7.19</v>
      </c>
      <c r="F129" s="253" t="n">
        <v>0.13</v>
      </c>
      <c r="G129" s="253" t="inlineStr">
        <is>
          <t>ERROR</t>
        </is>
      </c>
    </row>
    <row r="130" ht="20" customHeight="1" s="226">
      <c r="A130" s="253" t="inlineStr">
        <is>
          <t>9AV</t>
        </is>
      </c>
      <c r="B130" s="253" t="inlineStr">
        <is>
          <t>LEMA SANISACA MATIAS SEBASTIAN</t>
        </is>
      </c>
      <c r="C130" s="253" t="inlineStr">
        <is>
          <t>Estudios Sociales</t>
        </is>
      </c>
      <c r="D130" s="253" t="n">
        <v>8.91</v>
      </c>
      <c r="E130" s="253" t="n">
        <v>7.6</v>
      </c>
      <c r="F130" s="253" t="n">
        <v>1.31</v>
      </c>
      <c r="G130" s="253" t="inlineStr">
        <is>
          <t>ERROR</t>
        </is>
      </c>
    </row>
    <row r="131" ht="20" customHeight="1" s="226">
      <c r="A131" s="253" t="inlineStr">
        <is>
          <t>9AV</t>
        </is>
      </c>
      <c r="B131" s="253" t="inlineStr">
        <is>
          <t>LEMA SANISACA MATIAS SEBASTIAN</t>
        </is>
      </c>
      <c r="C131" s="253" t="inlineStr">
        <is>
          <t>Promedio Final / P. General</t>
        </is>
      </c>
      <c r="D131" s="253" t="n">
        <v>7.79</v>
      </c>
      <c r="E131" s="253" t="n">
        <v>7.6</v>
      </c>
      <c r="F131" s="253" t="n">
        <v>0.19</v>
      </c>
      <c r="G131" s="253" t="inlineStr">
        <is>
          <t>ERROR</t>
        </is>
      </c>
    </row>
    <row r="132" ht="20" customHeight="1" s="226">
      <c r="A132" s="253" t="inlineStr">
        <is>
          <t>9AV</t>
        </is>
      </c>
      <c r="B132" s="253" t="inlineStr">
        <is>
          <t>MATUTE GUTAMA ANTONI MATEO</t>
        </is>
      </c>
      <c r="C132" s="253" t="inlineStr">
        <is>
          <t>Estudios Sociales</t>
        </is>
      </c>
      <c r="D132" s="253" t="n">
        <v>8.24</v>
      </c>
      <c r="E132" s="253" t="n">
        <v>8.869999999999999</v>
      </c>
      <c r="F132" s="253" t="n">
        <v>0.63</v>
      </c>
      <c r="G132" s="253" t="inlineStr">
        <is>
          <t>ERROR</t>
        </is>
      </c>
    </row>
    <row r="133" ht="20" customHeight="1" s="226">
      <c r="A133" s="253" t="inlineStr">
        <is>
          <t>9AV</t>
        </is>
      </c>
      <c r="B133" s="253" t="inlineStr">
        <is>
          <t>MATUTE GUTAMA ANTONI MATEO</t>
        </is>
      </c>
      <c r="C133" s="253" t="inlineStr">
        <is>
          <t>Promedio Final / P. General</t>
        </is>
      </c>
      <c r="D133" s="253" t="n">
        <v>8.279999999999999</v>
      </c>
      <c r="E133" s="253" t="n">
        <v>8.369999999999999</v>
      </c>
      <c r="F133" s="253" t="n">
        <v>0.09</v>
      </c>
      <c r="G133" s="253" t="inlineStr">
        <is>
          <t>ERROR</t>
        </is>
      </c>
    </row>
    <row r="134" ht="20" customHeight="1" s="226">
      <c r="A134" s="253" t="inlineStr">
        <is>
          <t>9AV</t>
        </is>
      </c>
      <c r="B134" s="253" t="inlineStr">
        <is>
          <t>MEJIA VALDEZ JOSELINE NATHALY</t>
        </is>
      </c>
      <c r="C134" s="253" t="inlineStr">
        <is>
          <t>Estudios Sociales</t>
        </is>
      </c>
      <c r="D134" s="253" t="n">
        <v>8.98</v>
      </c>
      <c r="E134" s="253" t="n">
        <v>8.279999999999999</v>
      </c>
      <c r="F134" s="253" t="n">
        <v>0.7</v>
      </c>
      <c r="G134" s="253" t="inlineStr">
        <is>
          <t>ERROR</t>
        </is>
      </c>
    </row>
    <row r="135" ht="20" customHeight="1" s="226">
      <c r="A135" s="253" t="inlineStr">
        <is>
          <t>9AV</t>
        </is>
      </c>
      <c r="B135" s="253" t="inlineStr">
        <is>
          <t>MEJIA VALDEZ JOSELINE NATHALY</t>
        </is>
      </c>
      <c r="C135" s="253" t="inlineStr">
        <is>
          <t>Promedio Final / P. General</t>
        </is>
      </c>
      <c r="D135" s="253" t="n">
        <v>7.56</v>
      </c>
      <c r="E135" s="253" t="n">
        <v>7.46</v>
      </c>
      <c r="F135" s="253" t="n">
        <v>0.1</v>
      </c>
      <c r="G135" s="253" t="inlineStr">
        <is>
          <t>ERROR</t>
        </is>
      </c>
    </row>
    <row r="136" ht="20" customHeight="1" s="226">
      <c r="A136" s="253" t="inlineStr">
        <is>
          <t>9AV</t>
        </is>
      </c>
      <c r="B136" s="253" t="inlineStr">
        <is>
          <t>MICHAY AVILA DAYANA NICOL</t>
        </is>
      </c>
      <c r="C136" s="253" t="inlineStr">
        <is>
          <t>Estudios Sociales</t>
        </is>
      </c>
      <c r="D136" s="253" t="n">
        <v>9.359999999999999</v>
      </c>
      <c r="E136" s="253" t="n">
        <v>9.33</v>
      </c>
      <c r="F136" s="253" t="n">
        <v>0.03</v>
      </c>
      <c r="G136" s="253" t="inlineStr">
        <is>
          <t>ERROR</t>
        </is>
      </c>
    </row>
    <row r="137" ht="20" customHeight="1" s="226">
      <c r="A137" s="253" t="inlineStr">
        <is>
          <t>9AV</t>
        </is>
      </c>
      <c r="B137" s="253" t="inlineStr">
        <is>
          <t>MICHAY AVILA JAIME ENRIQUE</t>
        </is>
      </c>
      <c r="C137" s="253" t="inlineStr">
        <is>
          <t>Estudios Sociales</t>
        </is>
      </c>
      <c r="D137" s="253" t="n">
        <v>7.89</v>
      </c>
      <c r="E137" s="253" t="n">
        <v>9.130000000000001</v>
      </c>
      <c r="F137" s="253" t="n">
        <v>1.24</v>
      </c>
      <c r="G137" s="253" t="inlineStr">
        <is>
          <t>ERROR</t>
        </is>
      </c>
    </row>
    <row r="138" ht="20" customHeight="1" s="226">
      <c r="A138" s="253" t="inlineStr">
        <is>
          <t>9AV</t>
        </is>
      </c>
      <c r="B138" s="253" t="inlineStr">
        <is>
          <t>MICHAY AVILA JAIME ENRIQUE</t>
        </is>
      </c>
      <c r="C138" s="253" t="inlineStr">
        <is>
          <t>Promedio Final / P. General</t>
        </is>
      </c>
      <c r="D138" s="253" t="n">
        <v>8.6</v>
      </c>
      <c r="E138" s="253" t="n">
        <v>8.779999999999999</v>
      </c>
      <c r="F138" s="253" t="n">
        <v>0.18</v>
      </c>
      <c r="G138" s="253" t="inlineStr">
        <is>
          <t>ERROR</t>
        </is>
      </c>
    </row>
    <row r="139" ht="20" customHeight="1" s="226">
      <c r="A139" s="253" t="inlineStr">
        <is>
          <t>9AV</t>
        </is>
      </c>
      <c r="B139" s="253" t="inlineStr">
        <is>
          <t>NIOLA ALBANCANDO ESTRELLA ESTEFANIA</t>
        </is>
      </c>
      <c r="C139" s="253" t="inlineStr">
        <is>
          <t>Estudios Sociales</t>
        </is>
      </c>
      <c r="D139" s="253" t="n">
        <v>7.92</v>
      </c>
      <c r="E139" s="253" t="n">
        <v>7.7</v>
      </c>
      <c r="F139" s="253" t="n">
        <v>0.22</v>
      </c>
      <c r="G139" s="253" t="inlineStr">
        <is>
          <t>ERROR</t>
        </is>
      </c>
    </row>
    <row r="140" ht="20" customHeight="1" s="226">
      <c r="A140" s="253" t="inlineStr">
        <is>
          <t>9AV</t>
        </is>
      </c>
      <c r="B140" s="253" t="inlineStr">
        <is>
          <t>NIOLA ALBANCANDO ESTRELLA ESTEFANIA</t>
        </is>
      </c>
      <c r="C140" s="253" t="inlineStr">
        <is>
          <t>Promedio Final / P. General</t>
        </is>
      </c>
      <c r="D140" s="253" t="n">
        <v>8.09</v>
      </c>
      <c r="E140" s="253" t="n">
        <v>8.06</v>
      </c>
      <c r="F140" s="253" t="n">
        <v>0.03</v>
      </c>
      <c r="G140" s="253" t="inlineStr">
        <is>
          <t>ERROR</t>
        </is>
      </c>
    </row>
    <row r="141" ht="20" customHeight="1" s="226">
      <c r="A141" s="253" t="inlineStr">
        <is>
          <t>9AV</t>
        </is>
      </c>
      <c r="B141" s="253" t="inlineStr">
        <is>
          <t>OCHOA ARMIJOS STEEVEN ADRIEL</t>
        </is>
      </c>
      <c r="C141" s="253" t="inlineStr">
        <is>
          <t>Estudios Sociales</t>
        </is>
      </c>
      <c r="D141" s="253" t="n">
        <v>7.53</v>
      </c>
      <c r="E141" s="253" t="n">
        <v>7.78</v>
      </c>
      <c r="F141" s="253" t="n">
        <v>0.25</v>
      </c>
      <c r="G141" s="253" t="inlineStr">
        <is>
          <t>ERROR</t>
        </is>
      </c>
    </row>
    <row r="142" ht="20" customHeight="1" s="226">
      <c r="A142" s="253" t="inlineStr">
        <is>
          <t>9AV</t>
        </is>
      </c>
      <c r="B142" s="253" t="inlineStr">
        <is>
          <t>OCHOA ARMIJOS STEEVEN ADRIEL</t>
        </is>
      </c>
      <c r="C142" s="253" t="inlineStr">
        <is>
          <t>Promedio Final / P. General</t>
        </is>
      </c>
      <c r="D142" s="253" t="n">
        <v>7.27</v>
      </c>
      <c r="E142" s="253" t="n">
        <v>7.31</v>
      </c>
      <c r="F142" s="253" t="n">
        <v>0.04</v>
      </c>
      <c r="G142" s="253" t="inlineStr">
        <is>
          <t>ERROR</t>
        </is>
      </c>
    </row>
    <row r="143" ht="20" customHeight="1" s="226">
      <c r="A143" s="253" t="inlineStr">
        <is>
          <t>9AV</t>
        </is>
      </c>
      <c r="B143" s="253" t="inlineStr">
        <is>
          <t>ORTIZ JAMI KIMBERLY ALEXANDRA</t>
        </is>
      </c>
      <c r="C143" s="253" t="inlineStr">
        <is>
          <t>Estudios Sociales</t>
        </is>
      </c>
      <c r="D143" s="253" t="n">
        <v>8.18</v>
      </c>
      <c r="E143" s="253" t="n">
        <v>8.109999999999999</v>
      </c>
      <c r="F143" s="253" t="n">
        <v>0.07000000000000001</v>
      </c>
      <c r="G143" s="253" t="inlineStr">
        <is>
          <t>ERROR</t>
        </is>
      </c>
    </row>
    <row r="144" ht="20" customHeight="1" s="226">
      <c r="A144" s="253" t="inlineStr">
        <is>
          <t>9AV</t>
        </is>
      </c>
      <c r="B144" s="253" t="inlineStr">
        <is>
          <t>ORTIZ SAMANIEGO LIS FERNANDA</t>
        </is>
      </c>
      <c r="C144" s="253" t="inlineStr">
        <is>
          <t>Estudios Sociales</t>
        </is>
      </c>
      <c r="D144" s="253" t="n">
        <v>8.08</v>
      </c>
      <c r="E144" s="253" t="n">
        <v>7.59</v>
      </c>
      <c r="F144" s="253" t="n">
        <v>0.49</v>
      </c>
      <c r="G144" s="253" t="inlineStr">
        <is>
          <t>ERROR</t>
        </is>
      </c>
    </row>
    <row r="145" ht="20" customHeight="1" s="226">
      <c r="A145" s="253" t="inlineStr">
        <is>
          <t>9AV</t>
        </is>
      </c>
      <c r="B145" s="253" t="inlineStr">
        <is>
          <t>ORTIZ SAMANIEGO LIS FERNANDA</t>
        </is>
      </c>
      <c r="C145" s="253" t="inlineStr">
        <is>
          <t>Promedio Final / P. General</t>
        </is>
      </c>
      <c r="D145" s="253" t="n">
        <v>7.95</v>
      </c>
      <c r="E145" s="253" t="n">
        <v>7.88</v>
      </c>
      <c r="F145" s="253" t="n">
        <v>0.07000000000000001</v>
      </c>
      <c r="G145" s="253" t="inlineStr">
        <is>
          <t>ERROR</t>
        </is>
      </c>
    </row>
    <row r="146" ht="20" customHeight="1" s="226">
      <c r="A146" s="253" t="inlineStr">
        <is>
          <t>9AV</t>
        </is>
      </c>
      <c r="B146" s="253" t="inlineStr">
        <is>
          <t>PAÑEGA UZHCA JUSTIN ALEXANDER</t>
        </is>
      </c>
      <c r="C146" s="253" t="inlineStr">
        <is>
          <t>Estudios Sociales</t>
        </is>
      </c>
      <c r="D146" s="253" t="n">
        <v>8.869999999999999</v>
      </c>
      <c r="E146" s="253" t="n">
        <v>8.01</v>
      </c>
      <c r="F146" s="253" t="n">
        <v>0.86</v>
      </c>
      <c r="G146" s="253" t="inlineStr">
        <is>
          <t>ERROR</t>
        </is>
      </c>
    </row>
    <row r="147" ht="20" customHeight="1" s="226">
      <c r="A147" s="253" t="inlineStr">
        <is>
          <t>9AV</t>
        </is>
      </c>
      <c r="B147" s="253" t="inlineStr">
        <is>
          <t>PAÑEGA UZHCA JUSTIN ALEXANDER</t>
        </is>
      </c>
      <c r="C147" s="253" t="inlineStr">
        <is>
          <t>Promedio Final / P. General</t>
        </is>
      </c>
      <c r="D147" s="253" t="n">
        <v>7.75</v>
      </c>
      <c r="E147" s="253" t="n">
        <v>7.63</v>
      </c>
      <c r="F147" s="253" t="n">
        <v>0.12</v>
      </c>
      <c r="G147" s="253" t="inlineStr">
        <is>
          <t>ERROR</t>
        </is>
      </c>
    </row>
    <row r="148" ht="20" customHeight="1" s="226">
      <c r="A148" s="253" t="inlineStr">
        <is>
          <t>9AV</t>
        </is>
      </c>
      <c r="B148" s="253" t="inlineStr">
        <is>
          <t>PUMA RAMON BRYAN ANTHONY</t>
        </is>
      </c>
      <c r="C148" s="253" t="inlineStr">
        <is>
          <t>Matemática</t>
        </is>
      </c>
      <c r="D148" s="253" t="n">
        <v>7</v>
      </c>
      <c r="E148" s="253" t="n">
        <v>7.09</v>
      </c>
      <c r="F148" s="253" t="n">
        <v>0.09</v>
      </c>
      <c r="G148" s="253" t="inlineStr">
        <is>
          <t>ERROR</t>
        </is>
      </c>
    </row>
    <row r="149" ht="20" customHeight="1" s="226">
      <c r="A149" s="253" t="inlineStr">
        <is>
          <t>9AV</t>
        </is>
      </c>
      <c r="B149" s="253" t="inlineStr">
        <is>
          <t>PUMA RAMON BRYAN ANTHONY</t>
        </is>
      </c>
      <c r="C149" s="253" t="inlineStr">
        <is>
          <t>Estudios Sociales</t>
        </is>
      </c>
      <c r="D149" s="253" t="n">
        <v>8.859999999999999</v>
      </c>
      <c r="E149" s="253" t="n">
        <v>8.140000000000001</v>
      </c>
      <c r="F149" s="253" t="n">
        <v>0.72</v>
      </c>
      <c r="G149" s="253" t="inlineStr">
        <is>
          <t>ERROR</t>
        </is>
      </c>
    </row>
    <row r="150" ht="20" customHeight="1" s="226">
      <c r="A150" s="253" t="inlineStr">
        <is>
          <t>9AV</t>
        </is>
      </c>
      <c r="B150" s="253" t="inlineStr">
        <is>
          <t>PUMA RAMON BRYAN ANTHONY</t>
        </is>
      </c>
      <c r="C150" s="253" t="inlineStr">
        <is>
          <t>Promedio Final / P. General</t>
        </is>
      </c>
      <c r="D150" s="253" t="n">
        <v>7.5</v>
      </c>
      <c r="E150" s="253" t="n">
        <v>7.41</v>
      </c>
      <c r="F150" s="253" t="n">
        <v>0.09</v>
      </c>
      <c r="G150" s="253" t="inlineStr">
        <is>
          <t>ERROR</t>
        </is>
      </c>
    </row>
    <row r="151" ht="20" customHeight="1" s="226">
      <c r="A151" s="253" t="inlineStr">
        <is>
          <t>9AV</t>
        </is>
      </c>
      <c r="B151" s="253" t="inlineStr">
        <is>
          <t>QUINDE ZUMBA VALERIA ESTEFANIA</t>
        </is>
      </c>
      <c r="C151" s="253" t="inlineStr">
        <is>
          <t>Estudios Sociales</t>
        </is>
      </c>
      <c r="D151" s="253" t="n">
        <v>8.119999999999999</v>
      </c>
      <c r="E151" s="253" t="n">
        <v>9.35</v>
      </c>
      <c r="F151" s="253" t="n">
        <v>1.23</v>
      </c>
      <c r="G151" s="253" t="inlineStr">
        <is>
          <t>ERROR</t>
        </is>
      </c>
    </row>
    <row r="152" ht="20" customHeight="1" s="226">
      <c r="A152" s="253" t="inlineStr">
        <is>
          <t>9AV</t>
        </is>
      </c>
      <c r="B152" s="253" t="inlineStr">
        <is>
          <t>QUINDE ZUMBA VALERIA ESTEFANIA</t>
        </is>
      </c>
      <c r="C152" s="253" t="inlineStr">
        <is>
          <t>Promedio Final / P. General</t>
        </is>
      </c>
      <c r="D152" s="253" t="n">
        <v>9.369999999999999</v>
      </c>
      <c r="E152" s="253" t="n">
        <v>9.539999999999999</v>
      </c>
      <c r="F152" s="253" t="n">
        <v>0.17</v>
      </c>
      <c r="G152" s="253" t="inlineStr">
        <is>
          <t>ERROR</t>
        </is>
      </c>
    </row>
    <row r="153" ht="20" customHeight="1" s="226">
      <c r="A153" s="253" t="inlineStr">
        <is>
          <t>9AV</t>
        </is>
      </c>
      <c r="B153" s="253" t="inlineStr">
        <is>
          <t>QUIZHPI GUAMANCELA MELANY NICOLE</t>
        </is>
      </c>
      <c r="C153" s="253" t="inlineStr">
        <is>
          <t>Estudios Sociales</t>
        </is>
      </c>
      <c r="D153" s="253" t="n">
        <v>8.31</v>
      </c>
      <c r="E153" s="253" t="n">
        <v>8.99</v>
      </c>
      <c r="F153" s="253" t="n">
        <v>0.68</v>
      </c>
      <c r="G153" s="253" t="inlineStr">
        <is>
          <t>ERROR</t>
        </is>
      </c>
    </row>
    <row r="154" ht="20" customHeight="1" s="226">
      <c r="A154" s="253" t="inlineStr">
        <is>
          <t>9AV</t>
        </is>
      </c>
      <c r="B154" s="253" t="inlineStr">
        <is>
          <t>QUIZHPI GUAMANCELA MELANY NICOLE</t>
        </is>
      </c>
      <c r="C154" s="253" t="inlineStr">
        <is>
          <t>Promedio Final / P. General</t>
        </is>
      </c>
      <c r="D154" s="253" t="n">
        <v>9.029999999999999</v>
      </c>
      <c r="E154" s="253" t="n">
        <v>9.119999999999999</v>
      </c>
      <c r="F154" s="253" t="n">
        <v>0.09</v>
      </c>
      <c r="G154" s="253" t="inlineStr">
        <is>
          <t>ERROR</t>
        </is>
      </c>
    </row>
    <row r="155" ht="20" customHeight="1" s="226">
      <c r="A155" s="253" t="inlineStr">
        <is>
          <t>9AV</t>
        </is>
      </c>
      <c r="B155" s="253" t="inlineStr">
        <is>
          <t>RIVERA SALDAÑA CAROLINA ESTEFANIA</t>
        </is>
      </c>
      <c r="C155" s="253" t="inlineStr">
        <is>
          <t>Estudios Sociales</t>
        </is>
      </c>
      <c r="D155" s="253" t="n">
        <v>8.77</v>
      </c>
      <c r="E155" s="253" t="n">
        <v>7.71</v>
      </c>
      <c r="F155" s="253" t="n">
        <v>1.06</v>
      </c>
      <c r="G155" s="253" t="inlineStr">
        <is>
          <t>ERROR</t>
        </is>
      </c>
    </row>
    <row r="156" ht="20" customHeight="1" s="226">
      <c r="A156" s="253" t="inlineStr">
        <is>
          <t>9AV</t>
        </is>
      </c>
      <c r="B156" s="253" t="inlineStr">
        <is>
          <t>RIVERA SALDAÑA CAROLINA ESTEFANIA</t>
        </is>
      </c>
      <c r="C156" s="253" t="inlineStr">
        <is>
          <t>Promedio Final / P. General</t>
        </is>
      </c>
      <c r="D156" s="253" t="n">
        <v>8.1</v>
      </c>
      <c r="E156" s="253" t="n">
        <v>7.95</v>
      </c>
      <c r="F156" s="253" t="n">
        <v>0.15</v>
      </c>
      <c r="G156" s="253" t="inlineStr">
        <is>
          <t>ERROR</t>
        </is>
      </c>
    </row>
    <row r="157" ht="20" customHeight="1" s="226">
      <c r="A157" s="253" t="inlineStr">
        <is>
          <t>9AV</t>
        </is>
      </c>
      <c r="B157" s="253" t="inlineStr">
        <is>
          <t>ROSADO GUZÑAY MISHEL ESTEFANIA</t>
        </is>
      </c>
      <c r="C157" s="253" t="inlineStr">
        <is>
          <t>Estudios Sociales</t>
        </is>
      </c>
      <c r="D157" s="253" t="n">
        <v>8.33</v>
      </c>
      <c r="E157" s="253" t="n">
        <v>7.75</v>
      </c>
      <c r="F157" s="253" t="n">
        <v>0.58</v>
      </c>
      <c r="G157" s="253" t="inlineStr">
        <is>
          <t>ERROR</t>
        </is>
      </c>
    </row>
    <row r="158" ht="20" customHeight="1" s="226">
      <c r="A158" s="253" t="inlineStr">
        <is>
          <t>9AV</t>
        </is>
      </c>
      <c r="B158" s="253" t="inlineStr">
        <is>
          <t>ROSADO GUZÑAY MISHEL ESTEFANIA</t>
        </is>
      </c>
      <c r="C158" s="253" t="inlineStr">
        <is>
          <t>Promedio Final / P. General</t>
        </is>
      </c>
      <c r="D158" s="253" t="n">
        <v>7.91</v>
      </c>
      <c r="E158" s="253" t="n">
        <v>7.83</v>
      </c>
      <c r="F158" s="253" t="n">
        <v>0.08</v>
      </c>
      <c r="G158" s="253" t="inlineStr">
        <is>
          <t>ERROR</t>
        </is>
      </c>
    </row>
    <row r="159" ht="20" customHeight="1" s="226">
      <c r="A159" s="253" t="inlineStr">
        <is>
          <t>9AV</t>
        </is>
      </c>
      <c r="B159" s="253" t="inlineStr">
        <is>
          <t>SINCHI MUÑOZ SONIA ALEXANDRA</t>
        </is>
      </c>
      <c r="C159" s="253" t="inlineStr">
        <is>
          <t>Estudios Sociales</t>
        </is>
      </c>
      <c r="D159" s="253" t="n">
        <v>8.33</v>
      </c>
      <c r="E159" s="253" t="n">
        <v>8.789999999999999</v>
      </c>
      <c r="F159" s="253" t="n">
        <v>0.46</v>
      </c>
      <c r="G159" s="253" t="inlineStr">
        <is>
          <t>ERROR</t>
        </is>
      </c>
    </row>
    <row r="160" ht="20" customHeight="1" s="226">
      <c r="A160" s="253" t="inlineStr">
        <is>
          <t>9AV</t>
        </is>
      </c>
      <c r="B160" s="253" t="inlineStr">
        <is>
          <t>SINCHI MUÑOZ SONIA ALEXANDRA</t>
        </is>
      </c>
      <c r="C160" s="253" t="inlineStr">
        <is>
          <t>Promedio Final / P. General</t>
        </is>
      </c>
      <c r="D160" s="253" t="n">
        <v>8.73</v>
      </c>
      <c r="E160" s="253" t="n">
        <v>8.789999999999999</v>
      </c>
      <c r="F160" s="253" t="n">
        <v>0.06</v>
      </c>
      <c r="G160" s="253" t="inlineStr">
        <is>
          <t>ERROR</t>
        </is>
      </c>
    </row>
    <row r="161" ht="20" customHeight="1" s="226">
      <c r="A161" s="253" t="inlineStr">
        <is>
          <t>9AV</t>
        </is>
      </c>
      <c r="B161" s="253" t="inlineStr">
        <is>
          <t>SONGOR BARBECHO ANGELICA GUADALUPE</t>
        </is>
      </c>
      <c r="C161" s="253" t="inlineStr">
        <is>
          <t>Estudios Sociales</t>
        </is>
      </c>
      <c r="D161" s="253" t="n">
        <v>9.25</v>
      </c>
      <c r="E161" s="253" t="n">
        <v>8.85</v>
      </c>
      <c r="F161" s="253" t="n">
        <v>0.4</v>
      </c>
      <c r="G161" s="253" t="inlineStr">
        <is>
          <t>ERROR</t>
        </is>
      </c>
    </row>
    <row r="162" ht="20" customHeight="1" s="226">
      <c r="A162" s="253" t="inlineStr">
        <is>
          <t>9AV</t>
        </is>
      </c>
      <c r="B162" s="253" t="inlineStr">
        <is>
          <t>SONGOR BARBECHO ANGELICA GUADALUPE</t>
        </is>
      </c>
      <c r="C162" s="253" t="inlineStr">
        <is>
          <t>Promedio Final / P. General</t>
        </is>
      </c>
      <c r="D162" s="253" t="n">
        <v>8.6</v>
      </c>
      <c r="E162" s="253" t="n">
        <v>8.539999999999999</v>
      </c>
      <c r="F162" s="253" t="n">
        <v>0.06</v>
      </c>
      <c r="G162" s="253" t="inlineStr">
        <is>
          <t>ERROR</t>
        </is>
      </c>
    </row>
    <row r="163" ht="20" customHeight="1" s="226">
      <c r="A163" s="253" t="inlineStr">
        <is>
          <t>9AV</t>
        </is>
      </c>
      <c r="B163" s="253" t="inlineStr">
        <is>
          <t>VIVEROS BRITO DYLAN JOSHUE</t>
        </is>
      </c>
      <c r="C163" s="253" t="inlineStr">
        <is>
          <t>Ciencias Naturales</t>
        </is>
      </c>
      <c r="D163" s="253" t="n">
        <v>7.06</v>
      </c>
      <c r="E163" s="253" t="n">
        <v>7.36</v>
      </c>
      <c r="F163" s="253" t="n">
        <v>0.3</v>
      </c>
      <c r="G163" s="253" t="inlineStr">
        <is>
          <t>ERROR</t>
        </is>
      </c>
    </row>
    <row r="164" ht="20" customHeight="1" s="226">
      <c r="A164" s="253" t="inlineStr">
        <is>
          <t>9AV</t>
        </is>
      </c>
      <c r="B164" s="253" t="inlineStr">
        <is>
          <t>VIVEROS BRITO DYLAN JOSHUE</t>
        </is>
      </c>
      <c r="C164" s="253" t="inlineStr">
        <is>
          <t>Estudios Sociales</t>
        </is>
      </c>
      <c r="D164" s="253" t="n">
        <v>8.07</v>
      </c>
      <c r="E164" s="253" t="n">
        <v>8.539999999999999</v>
      </c>
      <c r="F164" s="253" t="n">
        <v>0.47</v>
      </c>
      <c r="G164" s="253" t="inlineStr">
        <is>
          <t>ERROR</t>
        </is>
      </c>
    </row>
    <row r="165" ht="20" customHeight="1" s="226">
      <c r="A165" s="253" t="inlineStr">
        <is>
          <t>9AV</t>
        </is>
      </c>
      <c r="B165" s="253" t="inlineStr">
        <is>
          <t>VIVEROS BRITO DYLAN JOSHUE</t>
        </is>
      </c>
      <c r="C165" s="253" t="inlineStr">
        <is>
          <t>Promedio Final / P. General</t>
        </is>
      </c>
      <c r="D165" s="253" t="n">
        <v>8.16</v>
      </c>
      <c r="E165" s="253" t="n">
        <v>8.27</v>
      </c>
      <c r="F165" s="253" t="n">
        <v>0.11</v>
      </c>
      <c r="G165" s="253" t="inlineStr">
        <is>
          <t>ERROR</t>
        </is>
      </c>
    </row>
    <row r="166" ht="20" customHeight="1" s="226">
      <c r="A166" s="253" t="inlineStr">
        <is>
          <t>9BV</t>
        </is>
      </c>
      <c r="B166" s="253" t="inlineStr">
        <is>
          <t>APOLO HERRERA RICHARD SEBASTIAN</t>
        </is>
      </c>
      <c r="C166" s="253" t="inlineStr">
        <is>
          <t>Estudios Sociales</t>
        </is>
      </c>
      <c r="D166" s="253" t="n">
        <v>8.890000000000001</v>
      </c>
      <c r="E166" s="253" t="n">
        <v>8.76</v>
      </c>
      <c r="F166" s="253" t="n">
        <v>0.13</v>
      </c>
      <c r="G166" s="253" t="inlineStr">
        <is>
          <t>ERROR</t>
        </is>
      </c>
    </row>
    <row r="167" ht="20" customHeight="1" s="226">
      <c r="A167" s="253" t="inlineStr">
        <is>
          <t>9BV</t>
        </is>
      </c>
      <c r="B167" s="253" t="inlineStr">
        <is>
          <t>ARPI MOROCHO SOFIA KATHERINE</t>
        </is>
      </c>
      <c r="C167" s="253" t="inlineStr">
        <is>
          <t>Estudios Sociales</t>
        </is>
      </c>
      <c r="D167" s="253" t="n">
        <v>8.93</v>
      </c>
      <c r="E167" s="253" t="n">
        <v>7.83</v>
      </c>
      <c r="F167" s="253" t="n">
        <v>1.1</v>
      </c>
      <c r="G167" s="253" t="inlineStr">
        <is>
          <t>ERROR</t>
        </is>
      </c>
    </row>
    <row r="168" ht="20" customHeight="1" s="226">
      <c r="A168" s="253" t="inlineStr">
        <is>
          <t>9BV</t>
        </is>
      </c>
      <c r="B168" s="253" t="inlineStr">
        <is>
          <t>ARPI MOROCHO SOFIA KATHERINE</t>
        </is>
      </c>
      <c r="C168" s="253" t="inlineStr">
        <is>
          <t>Promedio Final / P. General</t>
        </is>
      </c>
      <c r="D168" s="253" t="n">
        <v>8.119999999999999</v>
      </c>
      <c r="E168" s="253" t="n">
        <v>7.96</v>
      </c>
      <c r="F168" s="253" t="n">
        <v>0.16</v>
      </c>
      <c r="G168" s="253" t="inlineStr">
        <is>
          <t>ERROR</t>
        </is>
      </c>
    </row>
    <row r="169" ht="20" customHeight="1" s="226">
      <c r="A169" s="253" t="inlineStr">
        <is>
          <t>9BV</t>
        </is>
      </c>
      <c r="B169" s="253" t="inlineStr">
        <is>
          <t>CAGUANA VILLALTA NATALIA ISABELA</t>
        </is>
      </c>
      <c r="C169" s="253" t="inlineStr">
        <is>
          <t>Lengua y Literatura</t>
        </is>
      </c>
      <c r="D169" s="253" t="n">
        <v>7.92</v>
      </c>
      <c r="E169" s="253" t="n">
        <v>8.25</v>
      </c>
      <c r="F169" s="253" t="n">
        <v>0.33</v>
      </c>
      <c r="G169" s="253" t="inlineStr">
        <is>
          <t>ERROR</t>
        </is>
      </c>
    </row>
    <row r="170" ht="20" customHeight="1" s="226">
      <c r="A170" s="253" t="inlineStr">
        <is>
          <t>9BV</t>
        </is>
      </c>
      <c r="B170" s="253" t="inlineStr">
        <is>
          <t>CAGUANA VILLALTA NATALIA ISABELA</t>
        </is>
      </c>
      <c r="C170" s="253" t="inlineStr">
        <is>
          <t>Estudios Sociales</t>
        </is>
      </c>
      <c r="D170" s="253" t="n">
        <v>8.380000000000001</v>
      </c>
      <c r="E170" s="253" t="n">
        <v>8.630000000000001</v>
      </c>
      <c r="F170" s="253" t="n">
        <v>0.25</v>
      </c>
      <c r="G170" s="253" t="inlineStr">
        <is>
          <t>ERROR</t>
        </is>
      </c>
    </row>
    <row r="171" ht="20" customHeight="1" s="226">
      <c r="A171" s="253" t="inlineStr">
        <is>
          <t>9BV</t>
        </is>
      </c>
      <c r="B171" s="253" t="inlineStr">
        <is>
          <t>CAGUANA VILLALTA NATALIA ISABELA</t>
        </is>
      </c>
      <c r="C171" s="253" t="inlineStr">
        <is>
          <t>Promedio Final / P. General</t>
        </is>
      </c>
      <c r="D171" s="253" t="n">
        <v>7.56</v>
      </c>
      <c r="E171" s="253" t="n">
        <v>7.64</v>
      </c>
      <c r="F171" s="253" t="n">
        <v>0.08</v>
      </c>
      <c r="G171" s="253" t="inlineStr">
        <is>
          <t>ERROR</t>
        </is>
      </c>
    </row>
    <row r="172" ht="20" customHeight="1" s="226">
      <c r="A172" s="253" t="inlineStr">
        <is>
          <t>9BV</t>
        </is>
      </c>
      <c r="B172" s="253" t="inlineStr">
        <is>
          <t>CALLE CABRERA VICTORIA LORENA</t>
        </is>
      </c>
      <c r="C172" s="253" t="inlineStr">
        <is>
          <t>Lengua y Literatura</t>
        </is>
      </c>
      <c r="D172" s="253" t="n">
        <v>9.77</v>
      </c>
      <c r="E172" s="253" t="n">
        <v>9.869999999999999</v>
      </c>
      <c r="F172" s="253" t="n">
        <v>0.1</v>
      </c>
      <c r="G172" s="253" t="inlineStr">
        <is>
          <t>ERROR</t>
        </is>
      </c>
    </row>
    <row r="173" ht="20" customHeight="1" s="226">
      <c r="A173" s="253" t="inlineStr">
        <is>
          <t>9BV</t>
        </is>
      </c>
      <c r="B173" s="253" t="inlineStr">
        <is>
          <t>CALLE CABRERA VICTORIA LORENA</t>
        </is>
      </c>
      <c r="C173" s="253" t="inlineStr">
        <is>
          <t>Matemática</t>
        </is>
      </c>
      <c r="D173" s="253" t="n">
        <v>9.800000000000001</v>
      </c>
      <c r="E173" s="253" t="n">
        <v>9.9</v>
      </c>
      <c r="F173" s="253" t="n">
        <v>0.1</v>
      </c>
      <c r="G173" s="253" t="inlineStr">
        <is>
          <t>ERROR</t>
        </is>
      </c>
    </row>
    <row r="174" ht="20" customHeight="1" s="226">
      <c r="A174" s="253" t="inlineStr">
        <is>
          <t>9BV</t>
        </is>
      </c>
      <c r="B174" s="253" t="inlineStr">
        <is>
          <t>CALLE CABRERA VICTORIA LORENA</t>
        </is>
      </c>
      <c r="C174" s="253" t="inlineStr">
        <is>
          <t>Estudios Sociales</t>
        </is>
      </c>
      <c r="D174" s="253" t="n">
        <v>9.630000000000001</v>
      </c>
      <c r="E174" s="253" t="n">
        <v>9.73</v>
      </c>
      <c r="F174" s="253" t="n">
        <v>0.1</v>
      </c>
      <c r="G174" s="253" t="inlineStr">
        <is>
          <t>ERROR</t>
        </is>
      </c>
    </row>
    <row r="175" ht="20" customHeight="1" s="226">
      <c r="A175" s="253" t="inlineStr">
        <is>
          <t>9BV</t>
        </is>
      </c>
      <c r="B175" s="253" t="inlineStr">
        <is>
          <t>CALLE CABRERA VICTORIA LORENA</t>
        </is>
      </c>
      <c r="C175" s="253" t="inlineStr">
        <is>
          <t>Promedio Final / P. General</t>
        </is>
      </c>
      <c r="D175" s="253" t="n">
        <v>9.77</v>
      </c>
      <c r="E175" s="253" t="n">
        <v>9.82</v>
      </c>
      <c r="F175" s="253" t="n">
        <v>0.05</v>
      </c>
      <c r="G175" s="253" t="inlineStr">
        <is>
          <t>ERROR</t>
        </is>
      </c>
    </row>
    <row r="176" ht="20" customHeight="1" s="226">
      <c r="A176" s="253" t="inlineStr">
        <is>
          <t>9BV</t>
        </is>
      </c>
      <c r="B176" s="253" t="inlineStr">
        <is>
          <t>CHILLOGALLO NIEVES EVELYN MAGABY</t>
        </is>
      </c>
      <c r="C176" s="253" t="inlineStr">
        <is>
          <t>Estudios Sociales</t>
        </is>
      </c>
      <c r="D176" s="253" t="n">
        <v>7.09</v>
      </c>
      <c r="E176" s="253" t="n">
        <v>7.37</v>
      </c>
      <c r="F176" s="253" t="n">
        <v>0.28</v>
      </c>
      <c r="G176" s="253" t="inlineStr">
        <is>
          <t>ERROR</t>
        </is>
      </c>
    </row>
    <row r="177" ht="20" customHeight="1" s="226">
      <c r="A177" s="253" t="inlineStr">
        <is>
          <t>9BV</t>
        </is>
      </c>
      <c r="B177" s="253" t="inlineStr">
        <is>
          <t>CHILLOGALLO NIEVES EVELYN MAGABY</t>
        </is>
      </c>
      <c r="C177" s="253" t="inlineStr">
        <is>
          <t>Promedio Final / P. General</t>
        </is>
      </c>
      <c r="D177" s="253" t="n">
        <v>7.19</v>
      </c>
      <c r="E177" s="253" t="n">
        <v>7.23</v>
      </c>
      <c r="F177" s="253" t="n">
        <v>0.04</v>
      </c>
      <c r="G177" s="253" t="inlineStr">
        <is>
          <t>ERROR</t>
        </is>
      </c>
    </row>
    <row r="178" ht="20" customHeight="1" s="226">
      <c r="A178" s="253" t="inlineStr">
        <is>
          <t>9BV</t>
        </is>
      </c>
      <c r="B178" s="253" t="inlineStr">
        <is>
          <t>CRUZ LALVAY JHOSELIN DAYANNA</t>
        </is>
      </c>
      <c r="C178" s="253" t="inlineStr">
        <is>
          <t>Estudios Sociales</t>
        </is>
      </c>
      <c r="D178" s="253" t="n">
        <v>7.44</v>
      </c>
      <c r="E178" s="253" t="n">
        <v>7.47</v>
      </c>
      <c r="F178" s="253" t="n">
        <v>0.03</v>
      </c>
      <c r="G178" s="253" t="inlineStr">
        <is>
          <t>ERROR</t>
        </is>
      </c>
    </row>
    <row r="179" ht="20" customHeight="1" s="226">
      <c r="A179" s="253" t="inlineStr">
        <is>
          <t>9BV</t>
        </is>
      </c>
      <c r="B179" s="253" t="inlineStr">
        <is>
          <t>CRUZ LALVAY JHOSELIN DAYANNA</t>
        </is>
      </c>
      <c r="C179" s="253" t="inlineStr">
        <is>
          <t>Educación Física</t>
        </is>
      </c>
      <c r="D179" s="253" t="n">
        <v>8.449999999999999</v>
      </c>
      <c r="E179" s="253" t="n">
        <v>7.75</v>
      </c>
      <c r="F179" s="253" t="n">
        <v>0.7</v>
      </c>
      <c r="G179" s="253" t="inlineStr">
        <is>
          <t>ERROR</t>
        </is>
      </c>
    </row>
    <row r="180" ht="20" customHeight="1" s="226">
      <c r="A180" s="253" t="inlineStr">
        <is>
          <t>9BV</t>
        </is>
      </c>
      <c r="B180" s="253" t="inlineStr">
        <is>
          <t>CRUZ LALVAY JHOSELIN DAYANNA</t>
        </is>
      </c>
      <c r="C180" s="253" t="inlineStr">
        <is>
          <t>Promedio Final / P. General</t>
        </is>
      </c>
      <c r="D180" s="253" t="n">
        <v>7.39</v>
      </c>
      <c r="E180" s="253" t="n">
        <v>7.3</v>
      </c>
      <c r="F180" s="253" t="n">
        <v>0.09</v>
      </c>
      <c r="G180" s="253" t="inlineStr">
        <is>
          <t>ERROR</t>
        </is>
      </c>
    </row>
    <row r="181" ht="20" customHeight="1" s="226">
      <c r="A181" s="253" t="inlineStr">
        <is>
          <t>9BV</t>
        </is>
      </c>
      <c r="B181" s="253" t="inlineStr">
        <is>
          <t>ESPINOZA GUTIERREZ KELLY FERNANDA</t>
        </is>
      </c>
      <c r="C181" s="253" t="inlineStr">
        <is>
          <t>Matemática</t>
        </is>
      </c>
      <c r="D181" s="253" t="n">
        <v>7</v>
      </c>
      <c r="E181" s="253" t="n">
        <v>7.66</v>
      </c>
      <c r="F181" s="253" t="n">
        <v>0.66</v>
      </c>
      <c r="G181" s="253" t="inlineStr">
        <is>
          <t>ERROR</t>
        </is>
      </c>
    </row>
    <row r="182" ht="20" customHeight="1" s="226">
      <c r="A182" s="253" t="inlineStr">
        <is>
          <t>9BV</t>
        </is>
      </c>
      <c r="B182" s="253" t="inlineStr">
        <is>
          <t>ESPINOZA GUTIERREZ KELLY FERNANDA</t>
        </is>
      </c>
      <c r="C182" s="253" t="inlineStr">
        <is>
          <t>Estudios Sociales</t>
        </is>
      </c>
      <c r="D182" s="253" t="n">
        <v>7.54</v>
      </c>
      <c r="E182" s="253" t="n">
        <v>8.15</v>
      </c>
      <c r="F182" s="253" t="n">
        <v>0.61</v>
      </c>
      <c r="G182" s="253" t="inlineStr">
        <is>
          <t>ERROR</t>
        </is>
      </c>
    </row>
    <row r="183" ht="20" customHeight="1" s="226">
      <c r="A183" s="253" t="inlineStr">
        <is>
          <t>9BV</t>
        </is>
      </c>
      <c r="B183" s="253" t="inlineStr">
        <is>
          <t>ESPINOZA GUTIERREZ KELLY FERNANDA</t>
        </is>
      </c>
      <c r="C183" s="253" t="inlineStr">
        <is>
          <t>Promedio Final / P. General</t>
        </is>
      </c>
      <c r="D183" s="253" t="n">
        <v>7.58</v>
      </c>
      <c r="E183" s="253" t="n">
        <v>7.76</v>
      </c>
      <c r="F183" s="253" t="n">
        <v>0.18</v>
      </c>
      <c r="G183" s="253" t="inlineStr">
        <is>
          <t>ERROR</t>
        </is>
      </c>
    </row>
    <row r="184" ht="20" customHeight="1" s="226">
      <c r="A184" s="253" t="inlineStr">
        <is>
          <t>9BV</t>
        </is>
      </c>
      <c r="B184" s="253" t="inlineStr">
        <is>
          <t>GONZALEZ CONTENTO YOSELIN FERNANDA</t>
        </is>
      </c>
      <c r="C184" s="253" t="inlineStr">
        <is>
          <t>Estudios Sociales</t>
        </is>
      </c>
      <c r="D184" s="253" t="n">
        <v>9.31</v>
      </c>
      <c r="E184" s="253" t="n">
        <v>9.34</v>
      </c>
      <c r="F184" s="253" t="n">
        <v>0.03</v>
      </c>
      <c r="G184" s="253" t="inlineStr">
        <is>
          <t>ERROR</t>
        </is>
      </c>
    </row>
    <row r="185" ht="20" customHeight="1" s="226">
      <c r="A185" s="253" t="inlineStr">
        <is>
          <t>9BV</t>
        </is>
      </c>
      <c r="B185" s="253" t="inlineStr">
        <is>
          <t>GUAICHA CHUQUIMARCA DOMENICA CAMILA</t>
        </is>
      </c>
      <c r="C185" s="253" t="inlineStr">
        <is>
          <t>Lengua y Literatura</t>
        </is>
      </c>
      <c r="D185" s="253" t="n">
        <v>8.369999999999999</v>
      </c>
      <c r="E185" s="253" t="n">
        <v>8.029999999999999</v>
      </c>
      <c r="F185" s="253" t="n">
        <v>0.34</v>
      </c>
      <c r="G185" s="253" t="inlineStr">
        <is>
          <t>ERROR</t>
        </is>
      </c>
    </row>
    <row r="186" ht="20" customHeight="1" s="226">
      <c r="A186" s="253" t="inlineStr">
        <is>
          <t>9BV</t>
        </is>
      </c>
      <c r="B186" s="253" t="inlineStr">
        <is>
          <t>GUAICHA CHUQUIMARCA DOMENICA CAMILA</t>
        </is>
      </c>
      <c r="C186" s="253" t="inlineStr">
        <is>
          <t>Estudios Sociales</t>
        </is>
      </c>
      <c r="D186" s="253" t="n">
        <v>9.08</v>
      </c>
      <c r="E186" s="253" t="n">
        <v>8.94</v>
      </c>
      <c r="F186" s="253" t="n">
        <v>0.14</v>
      </c>
      <c r="G186" s="253" t="inlineStr">
        <is>
          <t>ERROR</t>
        </is>
      </c>
    </row>
    <row r="187" ht="20" customHeight="1" s="226">
      <c r="A187" s="253" t="inlineStr">
        <is>
          <t>9BV</t>
        </is>
      </c>
      <c r="B187" s="253" t="inlineStr">
        <is>
          <t>GUAICHA CHUQUIMARCA DOMENICA CAMILA</t>
        </is>
      </c>
      <c r="C187" s="253" t="inlineStr">
        <is>
          <t>Promedio Final / P. General</t>
        </is>
      </c>
      <c r="D187" s="253" t="n">
        <v>8.199999999999999</v>
      </c>
      <c r="E187" s="253" t="n">
        <v>8.130000000000001</v>
      </c>
      <c r="F187" s="253" t="n">
        <v>0.07000000000000001</v>
      </c>
      <c r="G187" s="253" t="inlineStr">
        <is>
          <t>ERROR</t>
        </is>
      </c>
    </row>
    <row r="188" ht="20" customHeight="1" s="226">
      <c r="A188" s="253" t="inlineStr">
        <is>
          <t>9BV</t>
        </is>
      </c>
      <c r="B188" s="253" t="inlineStr">
        <is>
          <t>ILLESCAS PUMA DAVID ALEJANDRO</t>
        </is>
      </c>
      <c r="C188" s="253" t="inlineStr">
        <is>
          <t>Estudios Sociales</t>
        </is>
      </c>
      <c r="D188" s="253" t="n">
        <v>8.960000000000001</v>
      </c>
      <c r="E188" s="253" t="n">
        <v>8.779999999999999</v>
      </c>
      <c r="F188" s="253" t="n">
        <v>0.18</v>
      </c>
      <c r="G188" s="253" t="inlineStr">
        <is>
          <t>ERROR</t>
        </is>
      </c>
    </row>
    <row r="189" ht="20" customHeight="1" s="226">
      <c r="A189" s="253" t="inlineStr">
        <is>
          <t>9BV</t>
        </is>
      </c>
      <c r="B189" s="253" t="inlineStr">
        <is>
          <t>JAIGUA CARDENAS MARIA VALENTINA</t>
        </is>
      </c>
      <c r="C189" s="253" t="inlineStr">
        <is>
          <t>Estudios Sociales</t>
        </is>
      </c>
      <c r="D189" s="253" t="n">
        <v>9.470000000000001</v>
      </c>
      <c r="E189" s="253" t="n">
        <v>9.23</v>
      </c>
      <c r="F189" s="253" t="n">
        <v>0.24</v>
      </c>
      <c r="G189" s="253" t="inlineStr">
        <is>
          <t>ERROR</t>
        </is>
      </c>
    </row>
    <row r="190" ht="20" customHeight="1" s="226">
      <c r="A190" s="253" t="inlineStr">
        <is>
          <t>9BV</t>
        </is>
      </c>
      <c r="B190" s="253" t="inlineStr">
        <is>
          <t>JAIGUA CARDENAS MARIA VALENTINA</t>
        </is>
      </c>
      <c r="C190" s="253" t="inlineStr">
        <is>
          <t>Promedio Final / P. General</t>
        </is>
      </c>
      <c r="D190" s="253" t="n">
        <v>9.32</v>
      </c>
      <c r="E190" s="253" t="n">
        <v>9.279999999999999</v>
      </c>
      <c r="F190" s="253" t="n">
        <v>0.04</v>
      </c>
      <c r="G190" s="253" t="inlineStr">
        <is>
          <t>ERROR</t>
        </is>
      </c>
    </row>
    <row r="191" ht="20" customHeight="1" s="226">
      <c r="A191" s="253" t="inlineStr">
        <is>
          <t>9BV</t>
        </is>
      </c>
      <c r="B191" s="253" t="inlineStr">
        <is>
          <t>MALLA GUARTAN JUAN DAVID</t>
        </is>
      </c>
      <c r="C191" s="253" t="inlineStr">
        <is>
          <t>Estudios Sociales</t>
        </is>
      </c>
      <c r="D191" s="253" t="n">
        <v>9.06</v>
      </c>
      <c r="E191" s="253" t="n">
        <v>8.56</v>
      </c>
      <c r="F191" s="253" t="n">
        <v>0.5</v>
      </c>
      <c r="G191" s="253" t="inlineStr">
        <is>
          <t>ERROR</t>
        </is>
      </c>
    </row>
    <row r="192" ht="20" customHeight="1" s="226">
      <c r="A192" s="253" t="inlineStr">
        <is>
          <t>9BV</t>
        </is>
      </c>
      <c r="B192" s="253" t="inlineStr">
        <is>
          <t>MALLA GUARTAN JUAN DAVID</t>
        </is>
      </c>
      <c r="C192" s="253" t="inlineStr">
        <is>
          <t>Promedio Final / P. General</t>
        </is>
      </c>
      <c r="D192" s="253" t="n">
        <v>8.43</v>
      </c>
      <c r="E192" s="253" t="n">
        <v>8.359999999999999</v>
      </c>
      <c r="F192" s="253" t="n">
        <v>0.07000000000000001</v>
      </c>
      <c r="G192" s="253" t="inlineStr">
        <is>
          <t>ERROR</t>
        </is>
      </c>
    </row>
    <row r="193" ht="20" customHeight="1" s="226">
      <c r="A193" s="253" t="inlineStr">
        <is>
          <t>9BV</t>
        </is>
      </c>
      <c r="B193" s="253" t="inlineStr">
        <is>
          <t>MARCA LLANOS DANA VALENTINA</t>
        </is>
      </c>
      <c r="C193" s="253" t="inlineStr">
        <is>
          <t>Estudios Sociales</t>
        </is>
      </c>
      <c r="D193" s="253" t="n">
        <v>9.09</v>
      </c>
      <c r="E193" s="253" t="n">
        <v>8.58</v>
      </c>
      <c r="F193" s="253" t="n">
        <v>0.51</v>
      </c>
      <c r="G193" s="253" t="inlineStr">
        <is>
          <t>ERROR</t>
        </is>
      </c>
    </row>
    <row r="194" ht="20" customHeight="1" s="226">
      <c r="A194" s="253" t="inlineStr">
        <is>
          <t>9BV</t>
        </is>
      </c>
      <c r="B194" s="253" t="inlineStr">
        <is>
          <t>MARCA LLANOS DANA VALENTINA</t>
        </is>
      </c>
      <c r="C194" s="253" t="inlineStr">
        <is>
          <t>Promedio Final / P. General</t>
        </is>
      </c>
      <c r="D194" s="253" t="n">
        <v>9.210000000000001</v>
      </c>
      <c r="E194" s="253" t="n">
        <v>9.130000000000001</v>
      </c>
      <c r="F194" s="253" t="n">
        <v>0.08</v>
      </c>
      <c r="G194" s="253" t="inlineStr">
        <is>
          <t>ERROR</t>
        </is>
      </c>
    </row>
    <row r="195" ht="20" customHeight="1" s="226">
      <c r="A195" s="253" t="inlineStr">
        <is>
          <t>9BV</t>
        </is>
      </c>
      <c r="B195" s="253" t="inlineStr">
        <is>
          <t>MENDEZ FAJARDO EMILY YESENIA</t>
        </is>
      </c>
      <c r="C195" s="253" t="inlineStr">
        <is>
          <t>Estudios Sociales</t>
        </is>
      </c>
      <c r="D195" s="253" t="n">
        <v>8.68</v>
      </c>
      <c r="E195" s="253" t="n">
        <v>9.07</v>
      </c>
      <c r="F195" s="253" t="n">
        <v>0.39</v>
      </c>
      <c r="G195" s="253" t="inlineStr">
        <is>
          <t>ERROR</t>
        </is>
      </c>
    </row>
    <row r="196" ht="20" customHeight="1" s="226">
      <c r="A196" s="253" t="inlineStr">
        <is>
          <t>9BV</t>
        </is>
      </c>
      <c r="B196" s="253" t="inlineStr">
        <is>
          <t>MENDEZ FAJARDO EMILY YESENIA</t>
        </is>
      </c>
      <c r="C196" s="253" t="inlineStr">
        <is>
          <t>Promedio Final / P. General</t>
        </is>
      </c>
      <c r="D196" s="253" t="n">
        <v>9.33</v>
      </c>
      <c r="E196" s="253" t="n">
        <v>9.380000000000001</v>
      </c>
      <c r="F196" s="253" t="n">
        <v>0.05</v>
      </c>
      <c r="G196" s="253" t="inlineStr">
        <is>
          <t>ERROR</t>
        </is>
      </c>
    </row>
    <row r="197" ht="20" customHeight="1" s="226">
      <c r="A197" s="253" t="inlineStr">
        <is>
          <t>9BV</t>
        </is>
      </c>
      <c r="B197" s="253" t="inlineStr">
        <is>
          <t>MORA GUACHICHULLCA MICHAEL PAUL</t>
        </is>
      </c>
      <c r="C197" s="253" t="inlineStr">
        <is>
          <t>Estudios Sociales</t>
        </is>
      </c>
      <c r="D197" s="253" t="n">
        <v>8.59</v>
      </c>
      <c r="E197" s="253" t="n">
        <v>7.89</v>
      </c>
      <c r="F197" s="253" t="n">
        <v>0.7</v>
      </c>
      <c r="G197" s="253" t="inlineStr">
        <is>
          <t>ERROR</t>
        </is>
      </c>
    </row>
    <row r="198" ht="20" customHeight="1" s="226">
      <c r="A198" s="253" t="inlineStr">
        <is>
          <t>9BV</t>
        </is>
      </c>
      <c r="B198" s="253" t="inlineStr">
        <is>
          <t>MORA GUACHICHULLCA MICHAEL PAUL</t>
        </is>
      </c>
      <c r="C198" s="253" t="inlineStr">
        <is>
          <t>Promedio Final / P. General</t>
        </is>
      </c>
      <c r="D198" s="253" t="n">
        <v>7.69</v>
      </c>
      <c r="E198" s="253" t="n">
        <v>7.59</v>
      </c>
      <c r="F198" s="253" t="n">
        <v>0.1</v>
      </c>
      <c r="G198" s="253" t="inlineStr">
        <is>
          <t>ERROR</t>
        </is>
      </c>
    </row>
    <row r="199" ht="20" customHeight="1" s="226">
      <c r="A199" s="254" t="inlineStr">
        <is>
          <t>9BV</t>
        </is>
      </c>
      <c r="B199" s="254" t="inlineStr">
        <is>
          <t>MUÑOZ TUALOMBO KEYLA ROBERTA</t>
        </is>
      </c>
      <c r="C199" s="254" t="inlineStr">
        <is>
          <t>(NÓMINA)</t>
        </is>
      </c>
      <c r="D199" s="254" t="inlineStr">
        <is>
          <t>-</t>
        </is>
      </c>
      <c r="E199" s="254" t="inlineStr">
        <is>
          <t>-</t>
        </is>
      </c>
      <c r="F199" s="254" t="inlineStr">
        <is>
          <t>-</t>
        </is>
      </c>
      <c r="G199" s="254" t="inlineStr">
        <is>
          <t>DESFASE DE NÓMINA</t>
        </is>
      </c>
    </row>
    <row r="200" ht="20" customHeight="1" s="226">
      <c r="A200" s="253" t="inlineStr">
        <is>
          <t>9BV</t>
        </is>
      </c>
      <c r="B200" s="253" t="inlineStr">
        <is>
          <t>MUÑOZ TUALOMBO KEYLA ROBERTA</t>
        </is>
      </c>
      <c r="C200" s="253" t="inlineStr">
        <is>
          <t>Ciencias Naturales</t>
        </is>
      </c>
      <c r="D200" s="253" t="n">
        <v>8.539999999999999</v>
      </c>
      <c r="E200" s="253" t="n">
        <v>7</v>
      </c>
      <c r="F200" s="253" t="n">
        <v>1.54</v>
      </c>
      <c r="G200" s="253" t="inlineStr">
        <is>
          <t>ERROR</t>
        </is>
      </c>
    </row>
    <row r="201" ht="20" customHeight="1" s="226">
      <c r="A201" s="253" t="inlineStr">
        <is>
          <t>9BV</t>
        </is>
      </c>
      <c r="B201" s="253" t="inlineStr">
        <is>
          <t>MUÑOZ TUALOMBO KEYLA ROBERTA</t>
        </is>
      </c>
      <c r="C201" s="253" t="inlineStr">
        <is>
          <t>Estudios Sociales</t>
        </is>
      </c>
      <c r="D201" s="253" t="n">
        <v>7.66</v>
      </c>
      <c r="E201" s="253" t="n">
        <v>8.789999999999999</v>
      </c>
      <c r="F201" s="253" t="n">
        <v>1.13</v>
      </c>
      <c r="G201" s="253" t="inlineStr">
        <is>
          <t>ERROR</t>
        </is>
      </c>
    </row>
    <row r="202" ht="20" customHeight="1" s="226">
      <c r="A202" s="253" t="inlineStr">
        <is>
          <t>9BV</t>
        </is>
      </c>
      <c r="B202" s="253" t="inlineStr">
        <is>
          <t>MUÑOZ TUALOMBO KEYLA ROBERTA</t>
        </is>
      </c>
      <c r="C202" s="253" t="inlineStr">
        <is>
          <t>Promedio Final / P. General</t>
        </is>
      </c>
      <c r="D202" s="253" t="n">
        <v>7.91</v>
      </c>
      <c r="E202" s="253" t="n">
        <v>7.85</v>
      </c>
      <c r="F202" s="253" t="n">
        <v>0.06</v>
      </c>
      <c r="G202" s="253" t="inlineStr">
        <is>
          <t>ERROR</t>
        </is>
      </c>
    </row>
    <row r="203" ht="20" customHeight="1" s="226">
      <c r="A203" s="254" t="inlineStr">
        <is>
          <t>9BV</t>
        </is>
      </c>
      <c r="B203" s="254" t="inlineStr">
        <is>
          <t>NAULA NAULA EVELYN MARICELA</t>
        </is>
      </c>
      <c r="C203" s="254" t="inlineStr">
        <is>
          <t>(NÓMINA)</t>
        </is>
      </c>
      <c r="D203" s="254" t="inlineStr">
        <is>
          <t>-</t>
        </is>
      </c>
      <c r="E203" s="254" t="inlineStr">
        <is>
          <t>-</t>
        </is>
      </c>
      <c r="F203" s="254" t="inlineStr">
        <is>
          <t>-</t>
        </is>
      </c>
      <c r="G203" s="254" t="inlineStr">
        <is>
          <t>DESFASE DE NÓMINA</t>
        </is>
      </c>
    </row>
    <row r="204" ht="20" customHeight="1" s="226">
      <c r="A204" s="253" t="inlineStr">
        <is>
          <t>9BV</t>
        </is>
      </c>
      <c r="B204" s="253" t="inlineStr">
        <is>
          <t>NAULA NAULA EVELYN MARICELA</t>
        </is>
      </c>
      <c r="C204" s="253" t="inlineStr">
        <is>
          <t>Lengua y Literatura</t>
        </is>
      </c>
      <c r="D204" s="253" t="n">
        <v>9.25</v>
      </c>
      <c r="E204" s="253" t="n">
        <v>9.43</v>
      </c>
      <c r="F204" s="253" t="n">
        <v>0.18</v>
      </c>
      <c r="G204" s="253" t="inlineStr">
        <is>
          <t>ERROR</t>
        </is>
      </c>
    </row>
    <row r="205" ht="20" customHeight="1" s="226">
      <c r="A205" s="253" t="inlineStr">
        <is>
          <t>9BV</t>
        </is>
      </c>
      <c r="B205" s="253" t="inlineStr">
        <is>
          <t>NAULA NAULA EVELYN MARICELA</t>
        </is>
      </c>
      <c r="C205" s="253" t="inlineStr">
        <is>
          <t>Promedio Final / P. General</t>
        </is>
      </c>
      <c r="D205" s="253" t="n">
        <v>9.17</v>
      </c>
      <c r="E205" s="253" t="n">
        <v>9.199999999999999</v>
      </c>
      <c r="F205" s="253" t="n">
        <v>0.03</v>
      </c>
      <c r="G205" s="253" t="inlineStr">
        <is>
          <t>ERROR</t>
        </is>
      </c>
    </row>
    <row r="206" ht="20" customHeight="1" s="226">
      <c r="A206" s="254" t="inlineStr">
        <is>
          <t>9BV</t>
        </is>
      </c>
      <c r="B206" s="254" t="inlineStr">
        <is>
          <t>NAULA SIMBAÑA MELANI GABRIELA</t>
        </is>
      </c>
      <c r="C206" s="254" t="inlineStr">
        <is>
          <t>(NÓMINA)</t>
        </is>
      </c>
      <c r="D206" s="254" t="inlineStr">
        <is>
          <t>-</t>
        </is>
      </c>
      <c r="E206" s="254" t="inlineStr">
        <is>
          <t>-</t>
        </is>
      </c>
      <c r="F206" s="254" t="inlineStr">
        <is>
          <t>-</t>
        </is>
      </c>
      <c r="G206" s="254" t="inlineStr">
        <is>
          <t>DESFASE DE NÓMINA</t>
        </is>
      </c>
    </row>
    <row r="207" ht="20" customHeight="1" s="226">
      <c r="A207" s="253" t="inlineStr">
        <is>
          <t>9BV</t>
        </is>
      </c>
      <c r="B207" s="253" t="inlineStr">
        <is>
          <t>NAULA SIMBAÑA MELANI GABRIELA</t>
        </is>
      </c>
      <c r="C207" s="253" t="inlineStr">
        <is>
          <t>Estudios Sociales</t>
        </is>
      </c>
      <c r="D207" s="253" t="n">
        <v>9.33</v>
      </c>
      <c r="E207" s="253" t="n">
        <v>9.74</v>
      </c>
      <c r="F207" s="253" t="n">
        <v>0.41</v>
      </c>
      <c r="G207" s="253" t="inlineStr">
        <is>
          <t>ERROR</t>
        </is>
      </c>
    </row>
    <row r="208" ht="20" customHeight="1" s="226">
      <c r="A208" s="253" t="inlineStr">
        <is>
          <t>9BV</t>
        </is>
      </c>
      <c r="B208" s="253" t="inlineStr">
        <is>
          <t>NAULA SIMBAÑA MELANI GABRIELA</t>
        </is>
      </c>
      <c r="C208" s="253" t="inlineStr">
        <is>
          <t>Promedio Final / P. General</t>
        </is>
      </c>
      <c r="D208" s="253" t="n">
        <v>9.289999999999999</v>
      </c>
      <c r="E208" s="253" t="n">
        <v>9.35</v>
      </c>
      <c r="F208" s="253" t="n">
        <v>0.06</v>
      </c>
      <c r="G208" s="253" t="inlineStr">
        <is>
          <t>ERROR</t>
        </is>
      </c>
    </row>
    <row r="209" ht="20" customHeight="1" s="226">
      <c r="A209" s="254" t="inlineStr">
        <is>
          <t>9BV</t>
        </is>
      </c>
      <c r="B209" s="254" t="inlineStr">
        <is>
          <t>NIEVES VILLA JEICOL ANDRES</t>
        </is>
      </c>
      <c r="C209" s="254" t="inlineStr">
        <is>
          <t>(NÓMINA)</t>
        </is>
      </c>
      <c r="D209" s="254" t="inlineStr">
        <is>
          <t>-</t>
        </is>
      </c>
      <c r="E209" s="254" t="inlineStr">
        <is>
          <t>-</t>
        </is>
      </c>
      <c r="F209" s="254" t="inlineStr">
        <is>
          <t>-</t>
        </is>
      </c>
      <c r="G209" s="254" t="inlineStr">
        <is>
          <t>DESFASE DE NÓMINA</t>
        </is>
      </c>
    </row>
    <row r="210" ht="20" customHeight="1" s="226">
      <c r="A210" s="253" t="inlineStr">
        <is>
          <t>9BV</t>
        </is>
      </c>
      <c r="B210" s="253" t="inlineStr">
        <is>
          <t>NIEVES VILLA JEICOL ANDRES</t>
        </is>
      </c>
      <c r="C210" s="253" t="inlineStr">
        <is>
          <t>Estudios Sociales</t>
        </is>
      </c>
      <c r="D210" s="253" t="n">
        <v>9.359999999999999</v>
      </c>
      <c r="E210" s="253" t="n">
        <v>7.3</v>
      </c>
      <c r="F210" s="253" t="n">
        <v>2.06</v>
      </c>
      <c r="G210" s="253" t="inlineStr">
        <is>
          <t>ERROR</t>
        </is>
      </c>
    </row>
    <row r="211" ht="20" customHeight="1" s="226">
      <c r="A211" s="253" t="inlineStr">
        <is>
          <t>9BV</t>
        </is>
      </c>
      <c r="B211" s="253" t="inlineStr">
        <is>
          <t>NIEVES VILLA JEICOL ANDRES</t>
        </is>
      </c>
      <c r="C211" s="253" t="inlineStr">
        <is>
          <t>Promedio Final / P. General</t>
        </is>
      </c>
      <c r="D211" s="253" t="n">
        <v>7.91</v>
      </c>
      <c r="E211" s="253" t="n">
        <v>7.62</v>
      </c>
      <c r="F211" s="253" t="n">
        <v>0.29</v>
      </c>
      <c r="G211" s="253" t="inlineStr">
        <is>
          <t>ERROR</t>
        </is>
      </c>
    </row>
    <row r="212" ht="20" customHeight="1" s="226">
      <c r="A212" s="254" t="inlineStr">
        <is>
          <t>9BV</t>
        </is>
      </c>
      <c r="B212" s="254" t="inlineStr">
        <is>
          <t>NIOLA QUITO ASHLY TATIANA</t>
        </is>
      </c>
      <c r="C212" s="254" t="inlineStr">
        <is>
          <t>(NÓMINA)</t>
        </is>
      </c>
      <c r="D212" s="254" t="inlineStr">
        <is>
          <t>-</t>
        </is>
      </c>
      <c r="E212" s="254" t="inlineStr">
        <is>
          <t>-</t>
        </is>
      </c>
      <c r="F212" s="254" t="inlineStr">
        <is>
          <t>-</t>
        </is>
      </c>
      <c r="G212" s="254" t="inlineStr">
        <is>
          <t>DESFASE DE NÓMINA</t>
        </is>
      </c>
    </row>
    <row r="213" ht="20" customHeight="1" s="226">
      <c r="A213" s="253" t="inlineStr">
        <is>
          <t>9BV</t>
        </is>
      </c>
      <c r="B213" s="253" t="inlineStr">
        <is>
          <t>NIOLA QUITO ASHLY TATIANA</t>
        </is>
      </c>
      <c r="C213" s="253" t="inlineStr">
        <is>
          <t>Estudios Sociales</t>
        </is>
      </c>
      <c r="D213" s="253" t="n">
        <v>7.04</v>
      </c>
      <c r="E213" s="253" t="n">
        <v>7.54</v>
      </c>
      <c r="F213" s="253" t="n">
        <v>0.5</v>
      </c>
      <c r="G213" s="253" t="inlineStr">
        <is>
          <t>ERROR</t>
        </is>
      </c>
    </row>
    <row r="214" ht="20" customHeight="1" s="226">
      <c r="A214" s="253" t="inlineStr">
        <is>
          <t>9BV</t>
        </is>
      </c>
      <c r="B214" s="253" t="inlineStr">
        <is>
          <t>NIOLA QUITO ASHLY TATIANA</t>
        </is>
      </c>
      <c r="C214" s="253" t="inlineStr">
        <is>
          <t>Promedio Final / P. General</t>
        </is>
      </c>
      <c r="D214" s="253" t="n">
        <v>7.6</v>
      </c>
      <c r="E214" s="253" t="n">
        <v>7.67</v>
      </c>
      <c r="F214" s="253" t="n">
        <v>0.07000000000000001</v>
      </c>
      <c r="G214" s="253" t="inlineStr">
        <is>
          <t>ERROR</t>
        </is>
      </c>
    </row>
    <row r="215" ht="20" customHeight="1" s="226">
      <c r="A215" s="254" t="inlineStr">
        <is>
          <t>9BV</t>
        </is>
      </c>
      <c r="B215" s="254" t="inlineStr">
        <is>
          <t>PAUCAR QUIZHPI DIEGO ARMANDO</t>
        </is>
      </c>
      <c r="C215" s="254" t="inlineStr">
        <is>
          <t>(NÓMINA)</t>
        </is>
      </c>
      <c r="D215" s="254" t="inlineStr">
        <is>
          <t>-</t>
        </is>
      </c>
      <c r="E215" s="254" t="inlineStr">
        <is>
          <t>-</t>
        </is>
      </c>
      <c r="F215" s="254" t="inlineStr">
        <is>
          <t>-</t>
        </is>
      </c>
      <c r="G215" s="254" t="inlineStr">
        <is>
          <t>DESFASE DE NÓMINA</t>
        </is>
      </c>
    </row>
    <row r="216" ht="20" customHeight="1" s="226">
      <c r="A216" s="253" t="inlineStr">
        <is>
          <t>9BV</t>
        </is>
      </c>
      <c r="B216" s="253" t="inlineStr">
        <is>
          <t>PAUCAR QUIZHPI DIEGO ARMANDO</t>
        </is>
      </c>
      <c r="C216" s="253" t="inlineStr">
        <is>
          <t>Estudios Sociales</t>
        </is>
      </c>
      <c r="D216" s="253" t="n">
        <v>7.68</v>
      </c>
      <c r="E216" s="253" t="n">
        <v>8.58</v>
      </c>
      <c r="F216" s="253" t="n">
        <v>0.9</v>
      </c>
      <c r="G216" s="253" t="inlineStr">
        <is>
          <t>ERROR</t>
        </is>
      </c>
    </row>
    <row r="217" ht="20" customHeight="1" s="226">
      <c r="A217" s="253" t="inlineStr">
        <is>
          <t>9BV</t>
        </is>
      </c>
      <c r="B217" s="253" t="inlineStr">
        <is>
          <t>PAUCAR QUIZHPI DIEGO ARMANDO</t>
        </is>
      </c>
      <c r="C217" s="253" t="inlineStr">
        <is>
          <t>Promedio Final / P. General</t>
        </is>
      </c>
      <c r="D217" s="253" t="n">
        <v>7.5</v>
      </c>
      <c r="E217" s="253" t="n">
        <v>7.62</v>
      </c>
      <c r="F217" s="253" t="n">
        <v>0.12</v>
      </c>
      <c r="G217" s="253" t="inlineStr">
        <is>
          <t>ERROR</t>
        </is>
      </c>
    </row>
    <row r="218" ht="20" customHeight="1" s="226">
      <c r="A218" s="254" t="inlineStr">
        <is>
          <t>9BV</t>
        </is>
      </c>
      <c r="B218" s="254" t="inlineStr">
        <is>
          <t>PERALTA MALLA JOSE ANTONIO</t>
        </is>
      </c>
      <c r="C218" s="254" t="inlineStr">
        <is>
          <t>(NÓMINA)</t>
        </is>
      </c>
      <c r="D218" s="254" t="inlineStr">
        <is>
          <t>-</t>
        </is>
      </c>
      <c r="E218" s="254" t="inlineStr">
        <is>
          <t>-</t>
        </is>
      </c>
      <c r="F218" s="254" t="inlineStr">
        <is>
          <t>-</t>
        </is>
      </c>
      <c r="G218" s="254" t="inlineStr">
        <is>
          <t>DESFASE DE NÓMINA</t>
        </is>
      </c>
    </row>
    <row r="219" ht="20" customHeight="1" s="226">
      <c r="A219" s="253" t="inlineStr">
        <is>
          <t>9BV</t>
        </is>
      </c>
      <c r="B219" s="253" t="inlineStr">
        <is>
          <t>PERALTA MALLA JOSE ANTONIO</t>
        </is>
      </c>
      <c r="C219" s="253" t="inlineStr">
        <is>
          <t>Estudios Sociales</t>
        </is>
      </c>
      <c r="D219" s="253" t="n">
        <v>7.94</v>
      </c>
      <c r="E219" s="253" t="n">
        <v>8.869999999999999</v>
      </c>
      <c r="F219" s="253" t="n">
        <v>0.93</v>
      </c>
      <c r="G219" s="253" t="inlineStr">
        <is>
          <t>ERROR</t>
        </is>
      </c>
    </row>
    <row r="220" ht="20" customHeight="1" s="226">
      <c r="A220" s="253" t="inlineStr">
        <is>
          <t>9BV</t>
        </is>
      </c>
      <c r="B220" s="253" t="inlineStr">
        <is>
          <t>PERALTA MALLA JOSE ANTONIO</t>
        </is>
      </c>
      <c r="C220" s="253" t="inlineStr">
        <is>
          <t>Promedio Final / P. General</t>
        </is>
      </c>
      <c r="D220" s="253" t="n">
        <v>8.220000000000001</v>
      </c>
      <c r="E220" s="253" t="n">
        <v>8.35</v>
      </c>
      <c r="F220" s="253" t="n">
        <v>0.13</v>
      </c>
      <c r="G220" s="253" t="inlineStr">
        <is>
          <t>ERROR</t>
        </is>
      </c>
    </row>
    <row r="221" ht="20" customHeight="1" s="226">
      <c r="A221" s="254" t="inlineStr">
        <is>
          <t>9BV</t>
        </is>
      </c>
      <c r="B221" s="254" t="inlineStr">
        <is>
          <t>PILLACELA CHILLOGALLI KAREN ELIZABETH</t>
        </is>
      </c>
      <c r="C221" s="254" t="inlineStr">
        <is>
          <t>(NÓMINA)</t>
        </is>
      </c>
      <c r="D221" s="254" t="inlineStr">
        <is>
          <t>-</t>
        </is>
      </c>
      <c r="E221" s="254" t="inlineStr">
        <is>
          <t>-</t>
        </is>
      </c>
      <c r="F221" s="254" t="inlineStr">
        <is>
          <t>-</t>
        </is>
      </c>
      <c r="G221" s="254" t="inlineStr">
        <is>
          <t>DESFASE DE NÓMINA</t>
        </is>
      </c>
    </row>
    <row r="222" ht="20" customHeight="1" s="226">
      <c r="A222" s="253" t="inlineStr">
        <is>
          <t>9BV</t>
        </is>
      </c>
      <c r="B222" s="253" t="inlineStr">
        <is>
          <t>PILLACELA CHILLOGALLI KAREN ELIZABETH</t>
        </is>
      </c>
      <c r="C222" s="253" t="inlineStr">
        <is>
          <t>Estudios Sociales</t>
        </is>
      </c>
      <c r="D222" s="253" t="n">
        <v>9.140000000000001</v>
      </c>
      <c r="E222" s="253" t="n">
        <v>9.279999999999999</v>
      </c>
      <c r="F222" s="253" t="n">
        <v>0.14</v>
      </c>
      <c r="G222" s="253" t="inlineStr">
        <is>
          <t>ERROR</t>
        </is>
      </c>
    </row>
    <row r="223" ht="20" customHeight="1" s="226">
      <c r="A223" s="254" t="inlineStr">
        <is>
          <t>9BV</t>
        </is>
      </c>
      <c r="B223" s="254" t="inlineStr">
        <is>
          <t>QUEZADA NAULA KARLA NAYELI</t>
        </is>
      </c>
      <c r="C223" s="254" t="inlineStr">
        <is>
          <t>(NÓMINA)</t>
        </is>
      </c>
      <c r="D223" s="254" t="inlineStr">
        <is>
          <t>-</t>
        </is>
      </c>
      <c r="E223" s="254" t="inlineStr">
        <is>
          <t>-</t>
        </is>
      </c>
      <c r="F223" s="254" t="inlineStr">
        <is>
          <t>-</t>
        </is>
      </c>
      <c r="G223" s="254" t="inlineStr">
        <is>
          <t>DESFASE DE NÓMINA</t>
        </is>
      </c>
    </row>
    <row r="224" ht="20" customHeight="1" s="226">
      <c r="A224" s="253" t="inlineStr">
        <is>
          <t>9BV</t>
        </is>
      </c>
      <c r="B224" s="253" t="inlineStr">
        <is>
          <t>QUEZADA NAULA KARLA NAYELI</t>
        </is>
      </c>
      <c r="C224" s="253" t="inlineStr">
        <is>
          <t>Estudios Sociales</t>
        </is>
      </c>
      <c r="D224" s="253" t="n">
        <v>9.609999999999999</v>
      </c>
      <c r="E224" s="253" t="n">
        <v>8.4</v>
      </c>
      <c r="F224" s="253" t="n">
        <v>1.21</v>
      </c>
      <c r="G224" s="253" t="inlineStr">
        <is>
          <t>ERROR</t>
        </is>
      </c>
    </row>
    <row r="225" ht="20" customHeight="1" s="226">
      <c r="A225" s="253" t="inlineStr">
        <is>
          <t>9BV</t>
        </is>
      </c>
      <c r="B225" s="253" t="inlineStr">
        <is>
          <t>QUEZADA NAULA KARLA NAYELI</t>
        </is>
      </c>
      <c r="C225" s="253" t="inlineStr">
        <is>
          <t>Promedio Final / P. General</t>
        </is>
      </c>
      <c r="D225" s="253" t="n">
        <v>7.88</v>
      </c>
      <c r="E225" s="253" t="n">
        <v>7.71</v>
      </c>
      <c r="F225" s="253" t="n">
        <v>0.17</v>
      </c>
      <c r="G225" s="253" t="inlineStr">
        <is>
          <t>ERROR</t>
        </is>
      </c>
    </row>
    <row r="226" ht="20" customHeight="1" s="226">
      <c r="A226" s="254" t="inlineStr">
        <is>
          <t>9BV</t>
        </is>
      </c>
      <c r="B226" s="254" t="inlineStr">
        <is>
          <t>QUITO CAGUANA ASHLEY VALENTINA</t>
        </is>
      </c>
      <c r="C226" s="254" t="inlineStr">
        <is>
          <t>(NÓMINA)</t>
        </is>
      </c>
      <c r="D226" s="254" t="inlineStr">
        <is>
          <t>-</t>
        </is>
      </c>
      <c r="E226" s="254" t="inlineStr">
        <is>
          <t>-</t>
        </is>
      </c>
      <c r="F226" s="254" t="inlineStr">
        <is>
          <t>-</t>
        </is>
      </c>
      <c r="G226" s="254" t="inlineStr">
        <is>
          <t>DESFASE DE NÓMINA</t>
        </is>
      </c>
    </row>
    <row r="227" ht="20" customHeight="1" s="226">
      <c r="A227" s="253" t="inlineStr">
        <is>
          <t>9BV</t>
        </is>
      </c>
      <c r="B227" s="253" t="inlineStr">
        <is>
          <t>QUITO CAGUANA ASHLEY VALENTINA</t>
        </is>
      </c>
      <c r="C227" s="253" t="inlineStr">
        <is>
          <t>Estudios Sociales</t>
        </is>
      </c>
      <c r="D227" s="253" t="n">
        <v>8.130000000000001</v>
      </c>
      <c r="E227" s="253" t="n">
        <v>7.7</v>
      </c>
      <c r="F227" s="253" t="n">
        <v>0.43</v>
      </c>
      <c r="G227" s="253" t="inlineStr">
        <is>
          <t>ERROR</t>
        </is>
      </c>
    </row>
    <row r="228" ht="20" customHeight="1" s="226">
      <c r="A228" s="253" t="inlineStr">
        <is>
          <t>9BV</t>
        </is>
      </c>
      <c r="B228" s="253" t="inlineStr">
        <is>
          <t>QUITO CAGUANA ASHLEY VALENTINA</t>
        </is>
      </c>
      <c r="C228" s="253" t="inlineStr">
        <is>
          <t>Promedio Final / P. General</t>
        </is>
      </c>
      <c r="D228" s="253" t="n">
        <v>8.06</v>
      </c>
      <c r="E228" s="253" t="n">
        <v>8</v>
      </c>
      <c r="F228" s="253" t="n">
        <v>0.06</v>
      </c>
      <c r="G228" s="253" t="inlineStr">
        <is>
          <t>ERROR</t>
        </is>
      </c>
    </row>
    <row r="229" ht="20" customHeight="1" s="226">
      <c r="A229" s="254" t="inlineStr">
        <is>
          <t>9BV</t>
        </is>
      </c>
      <c r="B229" s="254" t="inlineStr">
        <is>
          <t>QUITO CORDERO NICOLE ARIANNA</t>
        </is>
      </c>
      <c r="C229" s="254" t="inlineStr">
        <is>
          <t>(NÓMINA)</t>
        </is>
      </c>
      <c r="D229" s="254" t="inlineStr">
        <is>
          <t>-</t>
        </is>
      </c>
      <c r="E229" s="254" t="inlineStr">
        <is>
          <t>-</t>
        </is>
      </c>
      <c r="F229" s="254" t="inlineStr">
        <is>
          <t>-</t>
        </is>
      </c>
      <c r="G229" s="254" t="inlineStr">
        <is>
          <t>DESFASE DE NÓMINA</t>
        </is>
      </c>
    </row>
    <row r="230" ht="20" customHeight="1" s="226">
      <c r="A230" s="253" t="inlineStr">
        <is>
          <t>9BV</t>
        </is>
      </c>
      <c r="B230" s="253" t="inlineStr">
        <is>
          <t>QUITO CORDERO NICOLE ARIANNA</t>
        </is>
      </c>
      <c r="C230" s="253" t="inlineStr">
        <is>
          <t>Estudios Sociales</t>
        </is>
      </c>
      <c r="D230" s="253" t="n">
        <v>7.96</v>
      </c>
      <c r="E230" s="253" t="n">
        <v>8.970000000000001</v>
      </c>
      <c r="F230" s="253" t="n">
        <v>1.01</v>
      </c>
      <c r="G230" s="253" t="inlineStr">
        <is>
          <t>ERROR</t>
        </is>
      </c>
    </row>
    <row r="231" ht="20" customHeight="1" s="226">
      <c r="A231" s="253" t="inlineStr">
        <is>
          <t>9BV</t>
        </is>
      </c>
      <c r="B231" s="253" t="inlineStr">
        <is>
          <t>QUITO CORDERO NICOLE ARIANNA</t>
        </is>
      </c>
      <c r="C231" s="253" t="inlineStr">
        <is>
          <t>Educación Física</t>
        </is>
      </c>
      <c r="D231" s="253" t="n">
        <v>9.31</v>
      </c>
      <c r="E231" s="253" t="n">
        <v>9.19</v>
      </c>
      <c r="F231" s="253" t="n">
        <v>0.12</v>
      </c>
      <c r="G231" s="253" t="inlineStr">
        <is>
          <t>ERROR</t>
        </is>
      </c>
    </row>
    <row r="232" ht="20" customHeight="1" s="226">
      <c r="A232" s="253" t="inlineStr">
        <is>
          <t>9BV</t>
        </is>
      </c>
      <c r="B232" s="253" t="inlineStr">
        <is>
          <t>QUITO CORDERO NICOLE ARIANNA</t>
        </is>
      </c>
      <c r="C232" s="253" t="inlineStr">
        <is>
          <t>Promedio Final / P. General</t>
        </is>
      </c>
      <c r="D232" s="253" t="n">
        <v>8.789999999999999</v>
      </c>
      <c r="E232" s="253" t="n">
        <v>8.91</v>
      </c>
      <c r="F232" s="253" t="n">
        <v>0.12</v>
      </c>
      <c r="G232" s="253" t="inlineStr">
        <is>
          <t>ERROR</t>
        </is>
      </c>
    </row>
    <row r="233" ht="20" customHeight="1" s="226">
      <c r="A233" s="254" t="inlineStr">
        <is>
          <t>9BV</t>
        </is>
      </c>
      <c r="B233" s="254" t="inlineStr">
        <is>
          <t>QUITO GUACHICHULLCA STEVEN JOEL</t>
        </is>
      </c>
      <c r="C233" s="254" t="inlineStr">
        <is>
          <t>(NÓMINA)</t>
        </is>
      </c>
      <c r="D233" s="254" t="inlineStr">
        <is>
          <t>-</t>
        </is>
      </c>
      <c r="E233" s="254" t="inlineStr">
        <is>
          <t>-</t>
        </is>
      </c>
      <c r="F233" s="254" t="inlineStr">
        <is>
          <t>-</t>
        </is>
      </c>
      <c r="G233" s="254" t="inlineStr">
        <is>
          <t>DESFASE DE NÓMINA</t>
        </is>
      </c>
    </row>
    <row r="234" ht="20" customHeight="1" s="226">
      <c r="A234" s="253" t="inlineStr">
        <is>
          <t>9BV</t>
        </is>
      </c>
      <c r="B234" s="253" t="inlineStr">
        <is>
          <t>QUITO GUACHICHULLCA STEVEN JOEL</t>
        </is>
      </c>
      <c r="C234" s="253" t="inlineStr">
        <is>
          <t>Estudios Sociales</t>
        </is>
      </c>
      <c r="D234" s="253" t="n">
        <v>9.050000000000001</v>
      </c>
      <c r="E234" s="253" t="n">
        <v>7.65</v>
      </c>
      <c r="F234" s="253" t="n">
        <v>1.4</v>
      </c>
      <c r="G234" s="253" t="inlineStr">
        <is>
          <t>ERROR</t>
        </is>
      </c>
    </row>
    <row r="235" ht="20" customHeight="1" s="226">
      <c r="A235" s="253" t="inlineStr">
        <is>
          <t>9BV</t>
        </is>
      </c>
      <c r="B235" s="253" t="inlineStr">
        <is>
          <t>QUITO GUACHICHULLCA STEVEN JOEL</t>
        </is>
      </c>
      <c r="C235" s="253" t="inlineStr">
        <is>
          <t>Promedio Final / P. General</t>
        </is>
      </c>
      <c r="D235" s="253" t="n">
        <v>7.63</v>
      </c>
      <c r="E235" s="253" t="n">
        <v>7.43</v>
      </c>
      <c r="F235" s="253" t="n">
        <v>0.2</v>
      </c>
      <c r="G235" s="253" t="inlineStr">
        <is>
          <t>ERROR</t>
        </is>
      </c>
    </row>
    <row r="236" ht="20" customHeight="1" s="226">
      <c r="A236" s="254" t="inlineStr">
        <is>
          <t>9BV</t>
        </is>
      </c>
      <c r="B236" s="254" t="inlineStr">
        <is>
          <t>QUIZHPE FAJARDO CRISTIAN SEBASTIAN</t>
        </is>
      </c>
      <c r="C236" s="254" t="inlineStr">
        <is>
          <t>(NÓMINA)</t>
        </is>
      </c>
      <c r="D236" s="254" t="inlineStr">
        <is>
          <t>-</t>
        </is>
      </c>
      <c r="E236" s="254" t="inlineStr">
        <is>
          <t>-</t>
        </is>
      </c>
      <c r="F236" s="254" t="inlineStr">
        <is>
          <t>-</t>
        </is>
      </c>
      <c r="G236" s="254" t="inlineStr">
        <is>
          <t>DESFASE DE NÓMINA</t>
        </is>
      </c>
    </row>
    <row r="237" ht="20" customHeight="1" s="226">
      <c r="A237" s="253" t="inlineStr">
        <is>
          <t>9BV</t>
        </is>
      </c>
      <c r="B237" s="253" t="inlineStr">
        <is>
          <t>QUIZHPE FAJARDO CRISTIAN SEBASTIAN</t>
        </is>
      </c>
      <c r="C237" s="253" t="inlineStr">
        <is>
          <t>Estudios Sociales</t>
        </is>
      </c>
      <c r="D237" s="253" t="n">
        <v>7.44</v>
      </c>
      <c r="E237" s="253" t="n">
        <v>8.460000000000001</v>
      </c>
      <c r="F237" s="253" t="n">
        <v>1.02</v>
      </c>
      <c r="G237" s="253" t="inlineStr">
        <is>
          <t>ERROR</t>
        </is>
      </c>
    </row>
    <row r="238" ht="20" customHeight="1" s="226">
      <c r="A238" s="253" t="inlineStr">
        <is>
          <t>9BV</t>
        </is>
      </c>
      <c r="B238" s="253" t="inlineStr">
        <is>
          <t>QUIZHPE FAJARDO CRISTIAN SEBASTIAN</t>
        </is>
      </c>
      <c r="C238" s="253" t="inlineStr">
        <is>
          <t>Promedio Final / P. General</t>
        </is>
      </c>
      <c r="D238" s="253" t="n">
        <v>7.83</v>
      </c>
      <c r="E238" s="253" t="n">
        <v>7.97</v>
      </c>
      <c r="F238" s="253" t="n">
        <v>0.14</v>
      </c>
      <c r="G238" s="253" t="inlineStr">
        <is>
          <t>ERROR</t>
        </is>
      </c>
    </row>
    <row r="239" ht="20" customHeight="1" s="226">
      <c r="A239" s="254" t="inlineStr">
        <is>
          <t>9BV</t>
        </is>
      </c>
      <c r="B239" s="254" t="inlineStr">
        <is>
          <t>QUIZHPE GUAMANCELA JORDY STEVEN</t>
        </is>
      </c>
      <c r="C239" s="254" t="inlineStr">
        <is>
          <t>(NÓMINA)</t>
        </is>
      </c>
      <c r="D239" s="254" t="inlineStr">
        <is>
          <t>-</t>
        </is>
      </c>
      <c r="E239" s="254" t="inlineStr">
        <is>
          <t>-</t>
        </is>
      </c>
      <c r="F239" s="254" t="inlineStr">
        <is>
          <t>-</t>
        </is>
      </c>
      <c r="G239" s="254" t="inlineStr">
        <is>
          <t>DESFASE DE NÓMINA</t>
        </is>
      </c>
    </row>
    <row r="240" ht="20" customHeight="1" s="226">
      <c r="A240" s="253" t="inlineStr">
        <is>
          <t>9BV</t>
        </is>
      </c>
      <c r="B240" s="253" t="inlineStr">
        <is>
          <t>QUIZHPE GUAMANCELA JORDY STEVEN</t>
        </is>
      </c>
      <c r="C240" s="253" t="inlineStr">
        <is>
          <t>Estudios Sociales</t>
        </is>
      </c>
      <c r="D240" s="253" t="n">
        <v>8.640000000000001</v>
      </c>
      <c r="E240" s="253" t="n">
        <v>7.73</v>
      </c>
      <c r="F240" s="253" t="n">
        <v>0.91</v>
      </c>
      <c r="G240" s="253" t="inlineStr">
        <is>
          <t>ERROR</t>
        </is>
      </c>
    </row>
    <row r="241" ht="20" customHeight="1" s="226">
      <c r="A241" s="253" t="inlineStr">
        <is>
          <t>9BV</t>
        </is>
      </c>
      <c r="B241" s="253" t="inlineStr">
        <is>
          <t>QUIZHPE GUAMANCELA JORDY STEVEN</t>
        </is>
      </c>
      <c r="C241" s="253" t="inlineStr">
        <is>
          <t>Promedio Final / P. General</t>
        </is>
      </c>
      <c r="D241" s="253" t="n">
        <v>7.86</v>
      </c>
      <c r="E241" s="253" t="n">
        <v>7.73</v>
      </c>
      <c r="F241" s="253" t="n">
        <v>0.13</v>
      </c>
      <c r="G241" s="253" t="inlineStr">
        <is>
          <t>ERROR</t>
        </is>
      </c>
    </row>
    <row r="242" ht="20" customHeight="1" s="226">
      <c r="A242" s="254" t="inlineStr">
        <is>
          <t>9BV</t>
        </is>
      </c>
      <c r="B242" s="254" t="inlineStr">
        <is>
          <t>RAMIREZ JEREZ SEBASTIAN MIGUEL</t>
        </is>
      </c>
      <c r="C242" s="254" t="inlineStr">
        <is>
          <t>(NÓMINA)</t>
        </is>
      </c>
      <c r="D242" s="254" t="inlineStr">
        <is>
          <t>-</t>
        </is>
      </c>
      <c r="E242" s="254" t="inlineStr">
        <is>
          <t>-</t>
        </is>
      </c>
      <c r="F242" s="254" t="inlineStr">
        <is>
          <t>-</t>
        </is>
      </c>
      <c r="G242" s="254" t="inlineStr">
        <is>
          <t>DESFASE DE NÓMINA</t>
        </is>
      </c>
    </row>
    <row r="243" ht="20" customHeight="1" s="226">
      <c r="A243" s="253" t="inlineStr">
        <is>
          <t>9BV</t>
        </is>
      </c>
      <c r="B243" s="253" t="inlineStr">
        <is>
          <t>RAMIREZ JEREZ SEBASTIAN MIGUEL</t>
        </is>
      </c>
      <c r="C243" s="253" t="inlineStr">
        <is>
          <t>Estudios Sociales</t>
        </is>
      </c>
      <c r="D243" s="253" t="n">
        <v>7.09</v>
      </c>
      <c r="E243" s="253" t="n">
        <v>7.77</v>
      </c>
      <c r="F243" s="253" t="n">
        <v>0.68</v>
      </c>
      <c r="G243" s="253" t="inlineStr">
        <is>
          <t>ERROR</t>
        </is>
      </c>
    </row>
    <row r="244" ht="20" customHeight="1" s="226">
      <c r="A244" s="253" t="inlineStr">
        <is>
          <t>9BV</t>
        </is>
      </c>
      <c r="B244" s="253" t="inlineStr">
        <is>
          <t>RAMIREZ JEREZ SEBASTIAN MIGUEL</t>
        </is>
      </c>
      <c r="C244" s="253" t="inlineStr">
        <is>
          <t>Promedio Final / P. General</t>
        </is>
      </c>
      <c r="D244" s="253" t="n">
        <v>7.58</v>
      </c>
      <c r="E244" s="253" t="n">
        <v>7.68</v>
      </c>
      <c r="F244" s="253" t="n">
        <v>0.1</v>
      </c>
      <c r="G244" s="253" t="inlineStr">
        <is>
          <t>ERROR</t>
        </is>
      </c>
    </row>
    <row r="245" ht="20" customHeight="1" s="226">
      <c r="A245" s="254" t="inlineStr">
        <is>
          <t>9BV</t>
        </is>
      </c>
      <c r="B245" s="254" t="inlineStr">
        <is>
          <t>REMACHE BARBECHO JORDY MIGUEL</t>
        </is>
      </c>
      <c r="C245" s="254" t="inlineStr">
        <is>
          <t>(NÓMINA)</t>
        </is>
      </c>
      <c r="D245" s="254" t="inlineStr">
        <is>
          <t>-</t>
        </is>
      </c>
      <c r="E245" s="254" t="inlineStr">
        <is>
          <t>-</t>
        </is>
      </c>
      <c r="F245" s="254" t="inlineStr">
        <is>
          <t>-</t>
        </is>
      </c>
      <c r="G245" s="254" t="inlineStr">
        <is>
          <t>DESFASE DE NÓMINA</t>
        </is>
      </c>
    </row>
    <row r="246" ht="20" customHeight="1" s="226">
      <c r="A246" s="253" t="inlineStr">
        <is>
          <t>9BV</t>
        </is>
      </c>
      <c r="B246" s="253" t="inlineStr">
        <is>
          <t>REMACHE BARBECHO JORDY MIGUEL</t>
        </is>
      </c>
      <c r="C246" s="253" t="inlineStr">
        <is>
          <t>Estudios Sociales</t>
        </is>
      </c>
      <c r="D246" s="253" t="n">
        <v>7.44</v>
      </c>
      <c r="E246" s="253" t="n">
        <v>8.779999999999999</v>
      </c>
      <c r="F246" s="253" t="n">
        <v>1.34</v>
      </c>
      <c r="G246" s="253" t="inlineStr">
        <is>
          <t>ERROR</t>
        </is>
      </c>
    </row>
    <row r="247" ht="20" customHeight="1" s="226">
      <c r="A247" s="253" t="inlineStr">
        <is>
          <t>9BV</t>
        </is>
      </c>
      <c r="B247" s="253" t="inlineStr">
        <is>
          <t>REMACHE BARBECHO JORDY MIGUEL</t>
        </is>
      </c>
      <c r="C247" s="253" t="inlineStr">
        <is>
          <t>Promedio Final / P. General</t>
        </is>
      </c>
      <c r="D247" s="253" t="n">
        <v>7.71</v>
      </c>
      <c r="E247" s="253" t="n">
        <v>7.91</v>
      </c>
      <c r="F247" s="253" t="n">
        <v>0.2</v>
      </c>
      <c r="G247" s="253" t="inlineStr">
        <is>
          <t>ERROR</t>
        </is>
      </c>
    </row>
    <row r="248" ht="20" customHeight="1" s="226">
      <c r="A248" s="254" t="inlineStr">
        <is>
          <t>9BV</t>
        </is>
      </c>
      <c r="B248" s="254" t="inlineStr">
        <is>
          <t>SANCHEZ CAMPOVERDE JEAN CARLOS</t>
        </is>
      </c>
      <c r="C248" s="254" t="inlineStr">
        <is>
          <t>(NÓMINA)</t>
        </is>
      </c>
      <c r="D248" s="254" t="inlineStr">
        <is>
          <t>-</t>
        </is>
      </c>
      <c r="E248" s="254" t="inlineStr">
        <is>
          <t>-</t>
        </is>
      </c>
      <c r="F248" s="254" t="inlineStr">
        <is>
          <t>-</t>
        </is>
      </c>
      <c r="G248" s="254" t="inlineStr">
        <is>
          <t>DESFASE DE NÓMINA</t>
        </is>
      </c>
    </row>
    <row r="249" ht="20" customHeight="1" s="226">
      <c r="A249" s="253" t="inlineStr">
        <is>
          <t>9BV</t>
        </is>
      </c>
      <c r="B249" s="253" t="inlineStr">
        <is>
          <t>SANCHEZ CAMPOVERDE JEAN CARLOS</t>
        </is>
      </c>
      <c r="C249" s="253" t="inlineStr">
        <is>
          <t>Estudios Sociales</t>
        </is>
      </c>
      <c r="D249" s="253" t="n">
        <v>8.83</v>
      </c>
      <c r="E249" s="253" t="n">
        <v>8.76</v>
      </c>
      <c r="F249" s="253" t="n">
        <v>0.07000000000000001</v>
      </c>
      <c r="G249" s="253" t="inlineStr">
        <is>
          <t>ERROR</t>
        </is>
      </c>
    </row>
    <row r="250" ht="20" customHeight="1" s="226">
      <c r="A250" s="254" t="inlineStr">
        <is>
          <t>9BV</t>
        </is>
      </c>
      <c r="B250" s="254" t="inlineStr">
        <is>
          <t>SIMBAÑA GUZHÑAY JUSTIN DAVID</t>
        </is>
      </c>
      <c r="C250" s="254" t="inlineStr">
        <is>
          <t>(NÓMINA)</t>
        </is>
      </c>
      <c r="D250" s="254" t="inlineStr">
        <is>
          <t>-</t>
        </is>
      </c>
      <c r="E250" s="254" t="inlineStr">
        <is>
          <t>-</t>
        </is>
      </c>
      <c r="F250" s="254" t="inlineStr">
        <is>
          <t>-</t>
        </is>
      </c>
      <c r="G250" s="254" t="inlineStr">
        <is>
          <t>DESFASE DE NÓMINA</t>
        </is>
      </c>
    </row>
    <row r="251" ht="20" customHeight="1" s="226">
      <c r="A251" s="253" t="inlineStr">
        <is>
          <t>9BV</t>
        </is>
      </c>
      <c r="B251" s="253" t="inlineStr">
        <is>
          <t>SIMBAÑA GUZHÑAY JUSTIN DAVID</t>
        </is>
      </c>
      <c r="C251" s="253" t="inlineStr">
        <is>
          <t>Estudios Sociales</t>
        </is>
      </c>
      <c r="D251" s="253" t="n">
        <v>8.9</v>
      </c>
      <c r="E251" s="253" t="n">
        <v>8.449999999999999</v>
      </c>
      <c r="F251" s="253" t="n">
        <v>0.45</v>
      </c>
      <c r="G251" s="253" t="inlineStr">
        <is>
          <t>ERROR</t>
        </is>
      </c>
    </row>
    <row r="252" ht="20" customHeight="1" s="226">
      <c r="A252" s="253" t="inlineStr">
        <is>
          <t>9BV</t>
        </is>
      </c>
      <c r="B252" s="253" t="inlineStr">
        <is>
          <t>SIMBAÑA GUZHÑAY JUSTIN DAVID</t>
        </is>
      </c>
      <c r="C252" s="253" t="inlineStr">
        <is>
          <t>Promedio Final / P. General</t>
        </is>
      </c>
      <c r="D252" s="253" t="n">
        <v>8.640000000000001</v>
      </c>
      <c r="E252" s="253" t="n">
        <v>8.57</v>
      </c>
      <c r="F252" s="253" t="n">
        <v>0.07000000000000001</v>
      </c>
      <c r="G252" s="253" t="inlineStr">
        <is>
          <t>ERROR</t>
        </is>
      </c>
    </row>
    <row r="253" ht="20" customHeight="1" s="226">
      <c r="A253" s="254" t="inlineStr">
        <is>
          <t>9BV</t>
        </is>
      </c>
      <c r="B253" s="254" t="inlineStr">
        <is>
          <t>SIMBAÑA QUEZADA GEOFFREY XAVIER</t>
        </is>
      </c>
      <c r="C253" s="254" t="inlineStr">
        <is>
          <t>(NÓMINA)</t>
        </is>
      </c>
      <c r="D253" s="254" t="inlineStr">
        <is>
          <t>-</t>
        </is>
      </c>
      <c r="E253" s="254" t="inlineStr">
        <is>
          <t>-</t>
        </is>
      </c>
      <c r="F253" s="254" t="inlineStr">
        <is>
          <t>-</t>
        </is>
      </c>
      <c r="G253" s="254" t="inlineStr">
        <is>
          <t>DESFASE DE NÓMINA</t>
        </is>
      </c>
    </row>
    <row r="254" ht="20" customHeight="1" s="226">
      <c r="A254" s="253" t="inlineStr">
        <is>
          <t>9BV</t>
        </is>
      </c>
      <c r="B254" s="253" t="inlineStr">
        <is>
          <t>SIMBAÑA QUEZADA GEOFFREY XAVIER</t>
        </is>
      </c>
      <c r="C254" s="253" t="inlineStr">
        <is>
          <t>Estudios Sociales</t>
        </is>
      </c>
      <c r="D254" s="253" t="n">
        <v>8.029999999999999</v>
      </c>
      <c r="E254" s="253" t="n">
        <v>8.57</v>
      </c>
      <c r="F254" s="253" t="n">
        <v>0.54</v>
      </c>
      <c r="G254" s="253" t="inlineStr">
        <is>
          <t>ERROR</t>
        </is>
      </c>
    </row>
    <row r="255" ht="20" customHeight="1" s="226">
      <c r="A255" s="253" t="inlineStr">
        <is>
          <t>9BV</t>
        </is>
      </c>
      <c r="B255" s="253" t="inlineStr">
        <is>
          <t>SIMBAÑA QUEZADA GEOFFREY XAVIER</t>
        </is>
      </c>
      <c r="C255" s="253" t="inlineStr">
        <is>
          <t>Promedio Final / P. General</t>
        </is>
      </c>
      <c r="D255" s="253" t="n">
        <v>8.880000000000001</v>
      </c>
      <c r="E255" s="253" t="n">
        <v>8.960000000000001</v>
      </c>
      <c r="F255" s="253" t="n">
        <v>0.08</v>
      </c>
      <c r="G255" s="253" t="inlineStr">
        <is>
          <t>ERROR</t>
        </is>
      </c>
    </row>
    <row r="256" ht="20" customHeight="1" s="226">
      <c r="A256" s="254" t="inlineStr">
        <is>
          <t>9BV</t>
        </is>
      </c>
      <c r="B256" s="254" t="inlineStr">
        <is>
          <t>VALDEZ SARANGO JHONNY SEBASTIAN</t>
        </is>
      </c>
      <c r="C256" s="254" t="inlineStr">
        <is>
          <t>(NÓMINA)</t>
        </is>
      </c>
      <c r="D256" s="254" t="inlineStr">
        <is>
          <t>-</t>
        </is>
      </c>
      <c r="E256" s="254" t="inlineStr">
        <is>
          <t>-</t>
        </is>
      </c>
      <c r="F256" s="254" t="inlineStr">
        <is>
          <t>-</t>
        </is>
      </c>
      <c r="G256" s="254" t="inlineStr">
        <is>
          <t>DESFASE DE NÓMINA</t>
        </is>
      </c>
    </row>
    <row r="257" ht="20" customHeight="1" s="226">
      <c r="A257" s="253" t="inlineStr">
        <is>
          <t>9BV</t>
        </is>
      </c>
      <c r="B257" s="253" t="inlineStr">
        <is>
          <t>VALDEZ SARANGO JHONNY SEBASTIAN</t>
        </is>
      </c>
      <c r="C257" s="253" t="inlineStr">
        <is>
          <t>Estudios Sociales</t>
        </is>
      </c>
      <c r="D257" s="253" t="n">
        <v>8.949999999999999</v>
      </c>
      <c r="E257" s="253" t="n">
        <v>8.24</v>
      </c>
      <c r="F257" s="253" t="n">
        <v>0.71</v>
      </c>
      <c r="G257" s="253" t="inlineStr">
        <is>
          <t>ERROR</t>
        </is>
      </c>
    </row>
    <row r="258" ht="20" customHeight="1" s="226">
      <c r="A258" s="253" t="inlineStr">
        <is>
          <t>9BV</t>
        </is>
      </c>
      <c r="B258" s="253" t="inlineStr">
        <is>
          <t>VALDEZ SARANGO JHONNY SEBASTIAN</t>
        </is>
      </c>
      <c r="C258" s="253" t="inlineStr">
        <is>
          <t>Promedio Final / P. General</t>
        </is>
      </c>
      <c r="D258" s="253" t="n">
        <v>9.300000000000001</v>
      </c>
      <c r="E258" s="253" t="n">
        <v>9.199999999999999</v>
      </c>
      <c r="F258" s="253" t="n">
        <v>0.1</v>
      </c>
      <c r="G258" s="253" t="inlineStr">
        <is>
          <t>ERROR</t>
        </is>
      </c>
    </row>
    <row r="259" ht="20" customHeight="1" s="226">
      <c r="A259" s="254" t="inlineStr">
        <is>
          <t>9BV</t>
        </is>
      </c>
      <c r="B259" s="254" t="inlineStr">
        <is>
          <t>VELASCO GUAMAN LUIS DAVID</t>
        </is>
      </c>
      <c r="C259" s="254" t="inlineStr">
        <is>
          <t>(NÓMINA)</t>
        </is>
      </c>
      <c r="D259" s="254" t="inlineStr">
        <is>
          <t>-</t>
        </is>
      </c>
      <c r="E259" s="254" t="inlineStr">
        <is>
          <t>-</t>
        </is>
      </c>
      <c r="F259" s="254" t="inlineStr">
        <is>
          <t>-</t>
        </is>
      </c>
      <c r="G259" s="254" t="inlineStr">
        <is>
          <t>DESFASE DE NÓMINA</t>
        </is>
      </c>
    </row>
    <row r="260" ht="20" customHeight="1" s="226">
      <c r="A260" s="253" t="inlineStr">
        <is>
          <t>9BV</t>
        </is>
      </c>
      <c r="B260" s="253" t="inlineStr">
        <is>
          <t>VELASCO GUAMAN LUIS DAVID</t>
        </is>
      </c>
      <c r="C260" s="253" t="inlineStr">
        <is>
          <t>Estudios Sociales</t>
        </is>
      </c>
      <c r="D260" s="253" t="n">
        <v>8.68</v>
      </c>
      <c r="E260" s="253" t="n">
        <v>7.83</v>
      </c>
      <c r="F260" s="253" t="n">
        <v>0.85</v>
      </c>
      <c r="G260" s="253" t="inlineStr">
        <is>
          <t>ERROR</t>
        </is>
      </c>
    </row>
    <row r="261" ht="20" customHeight="1" s="226">
      <c r="A261" s="253" t="inlineStr">
        <is>
          <t>9BV</t>
        </is>
      </c>
      <c r="B261" s="253" t="inlineStr">
        <is>
          <t>VELASCO GUAMAN LUIS DAVID</t>
        </is>
      </c>
      <c r="C261" s="253" t="inlineStr">
        <is>
          <t>Promedio Final / P. General</t>
        </is>
      </c>
      <c r="D261" s="253" t="n">
        <v>7.8</v>
      </c>
      <c r="E261" s="253" t="n">
        <v>7.68</v>
      </c>
      <c r="F261" s="253" t="n">
        <v>0.12</v>
      </c>
      <c r="G261" s="253" t="inlineStr">
        <is>
          <t>ERROR</t>
        </is>
      </c>
    </row>
    <row r="262" ht="20" customHeight="1" s="226">
      <c r="A262" s="254" t="inlineStr">
        <is>
          <t>9BV</t>
        </is>
      </c>
      <c r="B262" s="254" t="inlineStr">
        <is>
          <t>VELESACA ZUÑA KAMILA YULIETH</t>
        </is>
      </c>
      <c r="C262" s="254" t="inlineStr">
        <is>
          <t>(NÓMINA)</t>
        </is>
      </c>
      <c r="D262" s="254" t="inlineStr">
        <is>
          <t>-</t>
        </is>
      </c>
      <c r="E262" s="254" t="inlineStr">
        <is>
          <t>-</t>
        </is>
      </c>
      <c r="F262" s="254" t="inlineStr">
        <is>
          <t>-</t>
        </is>
      </c>
      <c r="G262" s="254" t="inlineStr">
        <is>
          <t>DESFASE DE NÓMINA</t>
        </is>
      </c>
    </row>
    <row r="263" ht="20" customHeight="1" s="226">
      <c r="A263" s="253" t="inlineStr">
        <is>
          <t>9BV</t>
        </is>
      </c>
      <c r="B263" s="253" t="inlineStr">
        <is>
          <t>VELESACA ZUÑA KAMILA YULIETH</t>
        </is>
      </c>
      <c r="C263" s="253" t="inlineStr">
        <is>
          <t>Estudios Sociales</t>
        </is>
      </c>
      <c r="D263" s="253" t="n">
        <v>7.42</v>
      </c>
      <c r="E263" s="253" t="n">
        <v>9.15</v>
      </c>
      <c r="F263" s="253" t="n">
        <v>1.73</v>
      </c>
      <c r="G263" s="253" t="inlineStr">
        <is>
          <t>ERROR</t>
        </is>
      </c>
    </row>
    <row r="264" ht="20" customHeight="1" s="226">
      <c r="A264" s="253" t="inlineStr">
        <is>
          <t>9BV</t>
        </is>
      </c>
      <c r="B264" s="253" t="inlineStr">
        <is>
          <t>VELESACA ZUÑA KAMILA YULIETH</t>
        </is>
      </c>
      <c r="C264" s="253" t="inlineStr">
        <is>
          <t>Promedio Final / P. General</t>
        </is>
      </c>
      <c r="D264" s="253" t="n">
        <v>7.54</v>
      </c>
      <c r="E264" s="253" t="n">
        <v>7.79</v>
      </c>
      <c r="F264" s="253" t="n">
        <v>0.25</v>
      </c>
      <c r="G264" s="253" t="inlineStr">
        <is>
          <t>ERROR</t>
        </is>
      </c>
    </row>
    <row r="265" ht="20" customHeight="1" s="226">
      <c r="A265" s="254" t="inlineStr">
        <is>
          <t>9BV</t>
        </is>
      </c>
      <c r="B265" s="254" t="inlineStr">
        <is>
          <t>VELIZ CARRION JEFFREY BENJAMIN</t>
        </is>
      </c>
      <c r="C265" s="254" t="inlineStr">
        <is>
          <t>(NÓMINA)</t>
        </is>
      </c>
      <c r="D265" s="254" t="inlineStr">
        <is>
          <t>-</t>
        </is>
      </c>
      <c r="E265" s="254" t="inlineStr">
        <is>
          <t>-</t>
        </is>
      </c>
      <c r="F265" s="254" t="inlineStr">
        <is>
          <t>-</t>
        </is>
      </c>
      <c r="G265" s="254" t="inlineStr">
        <is>
          <t>DESFASE DE NÓMINA</t>
        </is>
      </c>
    </row>
    <row r="266" ht="20" customHeight="1" s="226">
      <c r="A266" s="253" t="inlineStr">
        <is>
          <t>9BV</t>
        </is>
      </c>
      <c r="B266" s="253" t="inlineStr">
        <is>
          <t>VELIZ CARRION JEFFREY BENJAMIN</t>
        </is>
      </c>
      <c r="C266" s="253" t="inlineStr">
        <is>
          <t>Estudios Sociales</t>
        </is>
      </c>
      <c r="D266" s="253" t="n">
        <v>8.779999999999999</v>
      </c>
      <c r="E266" s="253" t="n">
        <v>8.85</v>
      </c>
      <c r="F266" s="253" t="n">
        <v>0.07000000000000001</v>
      </c>
      <c r="G266" s="253" t="inlineStr">
        <is>
          <t>ERROR</t>
        </is>
      </c>
    </row>
    <row r="267" ht="20" customHeight="1" s="226">
      <c r="A267" s="254" t="inlineStr">
        <is>
          <t>9BV</t>
        </is>
      </c>
      <c r="B267" s="254" t="inlineStr">
        <is>
          <t>ZARATE SIAVICHAY LADAY CATALINA</t>
        </is>
      </c>
      <c r="C267" s="254" t="inlineStr">
        <is>
          <t>SOLO EN DOCENTES</t>
        </is>
      </c>
      <c r="D267" s="254" t="inlineStr">
        <is>
          <t>-</t>
        </is>
      </c>
      <c r="E267" s="254" t="inlineStr">
        <is>
          <t>-</t>
        </is>
      </c>
      <c r="F267" s="254" t="inlineStr">
        <is>
          <t>-</t>
        </is>
      </c>
      <c r="G267" s="254" t="inlineStr">
        <is>
          <t>DESFASE DE NÓMINA</t>
        </is>
      </c>
    </row>
    <row r="268" ht="20" customHeight="1" s="226">
      <c r="A268" s="254" t="inlineStr">
        <is>
          <t>9BV</t>
        </is>
      </c>
      <c r="B268" s="254" t="inlineStr">
        <is>
          <t>MUÑOZ MENDIETA SOFIA DE LOURDES</t>
        </is>
      </c>
      <c r="C268" s="254" t="inlineStr">
        <is>
          <t>SOLO EN SISTEMA</t>
        </is>
      </c>
      <c r="D268" s="254" t="inlineStr">
        <is>
          <t>-</t>
        </is>
      </c>
      <c r="E268" s="254" t="inlineStr">
        <is>
          <t>-</t>
        </is>
      </c>
      <c r="F268" s="254" t="inlineStr">
        <is>
          <t>-</t>
        </is>
      </c>
      <c r="G268" s="254" t="inlineStr">
        <is>
          <t>DESFASE DE NÓMINA</t>
        </is>
      </c>
    </row>
    <row r="269" ht="20" customHeight="1" s="226">
      <c r="A269" s="254" t="inlineStr">
        <is>
          <t>9BV</t>
        </is>
      </c>
      <c r="B269" s="254" t="inlineStr">
        <is>
          <t>ZARATE SIAVICHAY LADY CATALINA</t>
        </is>
      </c>
      <c r="C269" s="254" t="inlineStr">
        <is>
          <t>SOLO EN SISTEMA</t>
        </is>
      </c>
      <c r="D269" s="254" t="inlineStr">
        <is>
          <t>-</t>
        </is>
      </c>
      <c r="E269" s="254" t="inlineStr">
        <is>
          <t>-</t>
        </is>
      </c>
      <c r="F269" s="254" t="inlineStr">
        <is>
          <t>-</t>
        </is>
      </c>
      <c r="G269" s="254" t="inlineStr">
        <is>
          <t>DESFASE DE NÓMINA</t>
        </is>
      </c>
    </row>
    <row r="270" ht="20" customHeight="1" s="226">
      <c r="A270" s="254" t="inlineStr">
        <is>
          <t>10AV</t>
        </is>
      </c>
      <c r="B270" s="254" t="inlineStr">
        <is>
          <t>CEDEÑO VALENTIN MATIAS EDUARDO</t>
        </is>
      </c>
      <c r="C270" s="254" t="inlineStr">
        <is>
          <t>(NÓMINA)</t>
        </is>
      </c>
      <c r="D270" s="254" t="inlineStr">
        <is>
          <t>-</t>
        </is>
      </c>
      <c r="E270" s="254" t="inlineStr">
        <is>
          <t>-</t>
        </is>
      </c>
      <c r="F270" s="254" t="inlineStr">
        <is>
          <t>-</t>
        </is>
      </c>
      <c r="G270" s="254" t="inlineStr">
        <is>
          <t>DESFASE DE NÓMINA</t>
        </is>
      </c>
    </row>
    <row r="271" ht="20" customHeight="1" s="226">
      <c r="A271" s="254" t="inlineStr">
        <is>
          <t>10AV</t>
        </is>
      </c>
      <c r="B271" s="254" t="inlineStr">
        <is>
          <t>CHACA CAMPOVERDE DENISE VALESKA</t>
        </is>
      </c>
      <c r="C271" s="254" t="inlineStr">
        <is>
          <t>(NÓMINA)</t>
        </is>
      </c>
      <c r="D271" s="254" t="inlineStr">
        <is>
          <t>-</t>
        </is>
      </c>
      <c r="E271" s="254" t="inlineStr">
        <is>
          <t>-</t>
        </is>
      </c>
      <c r="F271" s="254" t="inlineStr">
        <is>
          <t>-</t>
        </is>
      </c>
      <c r="G271" s="254" t="inlineStr">
        <is>
          <t>DESFASE DE NÓMINA</t>
        </is>
      </c>
    </row>
    <row r="272" ht="20" customHeight="1" s="226">
      <c r="A272" s="254" t="inlineStr">
        <is>
          <t>10AV</t>
        </is>
      </c>
      <c r="B272" s="254" t="inlineStr">
        <is>
          <t>CHILLOGALLO PIZARRO STEVEN ADRIAN</t>
        </is>
      </c>
      <c r="C272" s="254" t="inlineStr">
        <is>
          <t>(NÓMINA)</t>
        </is>
      </c>
      <c r="D272" s="254" t="inlineStr">
        <is>
          <t>-</t>
        </is>
      </c>
      <c r="E272" s="254" t="inlineStr">
        <is>
          <t>-</t>
        </is>
      </c>
      <c r="F272" s="254" t="inlineStr">
        <is>
          <t>-</t>
        </is>
      </c>
      <c r="G272" s="254" t="inlineStr">
        <is>
          <t>DESFASE DE NÓMINA</t>
        </is>
      </c>
    </row>
    <row r="273" ht="20" customHeight="1" s="226">
      <c r="A273" s="254" t="inlineStr">
        <is>
          <t>10AV</t>
        </is>
      </c>
      <c r="B273" s="254" t="inlineStr">
        <is>
          <t>CORTE PROAÑO JAIME FERNANDO</t>
        </is>
      </c>
      <c r="C273" s="254" t="inlineStr">
        <is>
          <t>(NÓMINA)</t>
        </is>
      </c>
      <c r="D273" s="254" t="inlineStr">
        <is>
          <t>-</t>
        </is>
      </c>
      <c r="E273" s="254" t="inlineStr">
        <is>
          <t>-</t>
        </is>
      </c>
      <c r="F273" s="254" t="inlineStr">
        <is>
          <t>-</t>
        </is>
      </c>
      <c r="G273" s="254" t="inlineStr">
        <is>
          <t>DESFASE DE NÓMINA</t>
        </is>
      </c>
    </row>
    <row r="274" ht="20" customHeight="1" s="226">
      <c r="A274" s="254" t="inlineStr">
        <is>
          <t>10AV</t>
        </is>
      </c>
      <c r="B274" s="254" t="inlineStr">
        <is>
          <t>CUEVA UZHCA MARJURY LIZBETH</t>
        </is>
      </c>
      <c r="C274" s="254" t="inlineStr">
        <is>
          <t>(NÓMINA)</t>
        </is>
      </c>
      <c r="D274" s="254" t="inlineStr">
        <is>
          <t>-</t>
        </is>
      </c>
      <c r="E274" s="254" t="inlineStr">
        <is>
          <t>-</t>
        </is>
      </c>
      <c r="F274" s="254" t="inlineStr">
        <is>
          <t>-</t>
        </is>
      </c>
      <c r="G274" s="254" t="inlineStr">
        <is>
          <t>DESFASE DE NÓMINA</t>
        </is>
      </c>
    </row>
    <row r="275" ht="20" customHeight="1" s="226">
      <c r="A275" s="254" t="inlineStr">
        <is>
          <t>10AV</t>
        </is>
      </c>
      <c r="B275" s="254" t="inlineStr">
        <is>
          <t>CUMBE JIMENEZ JOSE ANDRES</t>
        </is>
      </c>
      <c r="C275" s="254" t="inlineStr">
        <is>
          <t>(NÓMINA)</t>
        </is>
      </c>
      <c r="D275" s="254" t="inlineStr">
        <is>
          <t>-</t>
        </is>
      </c>
      <c r="E275" s="254" t="inlineStr">
        <is>
          <t>-</t>
        </is>
      </c>
      <c r="F275" s="254" t="inlineStr">
        <is>
          <t>-</t>
        </is>
      </c>
      <c r="G275" s="254" t="inlineStr">
        <is>
          <t>DESFASE DE NÓMINA</t>
        </is>
      </c>
    </row>
    <row r="276" ht="20" customHeight="1" s="226">
      <c r="A276" s="254" t="inlineStr">
        <is>
          <t>10AV</t>
        </is>
      </c>
      <c r="B276" s="254" t="inlineStr">
        <is>
          <t>ELIZALDE CRUZ EMILY ALEXANDRA</t>
        </is>
      </c>
      <c r="C276" s="254" t="inlineStr">
        <is>
          <t>(NÓMINA)</t>
        </is>
      </c>
      <c r="D276" s="254" t="inlineStr">
        <is>
          <t>-</t>
        </is>
      </c>
      <c r="E276" s="254" t="inlineStr">
        <is>
          <t>-</t>
        </is>
      </c>
      <c r="F276" s="254" t="inlineStr">
        <is>
          <t>-</t>
        </is>
      </c>
      <c r="G276" s="254" t="inlineStr">
        <is>
          <t>DESFASE DE NÓMINA</t>
        </is>
      </c>
    </row>
    <row r="277" ht="20" customHeight="1" s="226">
      <c r="A277" s="254" t="inlineStr">
        <is>
          <t>10AV</t>
        </is>
      </c>
      <c r="B277" s="254" t="inlineStr">
        <is>
          <t>FAJARDO PANDIGUANA MILAGROS GUADALUPE</t>
        </is>
      </c>
      <c r="C277" s="254" t="inlineStr">
        <is>
          <t>(NÓMINA)</t>
        </is>
      </c>
      <c r="D277" s="254" t="inlineStr">
        <is>
          <t>-</t>
        </is>
      </c>
      <c r="E277" s="254" t="inlineStr">
        <is>
          <t>-</t>
        </is>
      </c>
      <c r="F277" s="254" t="inlineStr">
        <is>
          <t>-</t>
        </is>
      </c>
      <c r="G277" s="254" t="inlineStr">
        <is>
          <t>DESFASE DE NÓMINA</t>
        </is>
      </c>
    </row>
    <row r="278" ht="20" customHeight="1" s="226">
      <c r="A278" s="254" t="inlineStr">
        <is>
          <t>10AV</t>
        </is>
      </c>
      <c r="B278" s="254" t="inlineStr">
        <is>
          <t>FERNANDEZ FERNANDEZ ANAHI ROSARIO</t>
        </is>
      </c>
      <c r="C278" s="254" t="inlineStr">
        <is>
          <t>(NÓMINA)</t>
        </is>
      </c>
      <c r="D278" s="254" t="inlineStr">
        <is>
          <t>-</t>
        </is>
      </c>
      <c r="E278" s="254" t="inlineStr">
        <is>
          <t>-</t>
        </is>
      </c>
      <c r="F278" s="254" t="inlineStr">
        <is>
          <t>-</t>
        </is>
      </c>
      <c r="G278" s="254" t="inlineStr">
        <is>
          <t>DESFASE DE NÓMINA</t>
        </is>
      </c>
    </row>
    <row r="279" ht="20" customHeight="1" s="226">
      <c r="A279" s="254" t="inlineStr">
        <is>
          <t>10AV</t>
        </is>
      </c>
      <c r="B279" s="254" t="inlineStr">
        <is>
          <t>FERNANDEZ NAREA GABRIEL PATRICIO</t>
        </is>
      </c>
      <c r="C279" s="254" t="inlineStr">
        <is>
          <t>(NÓMINA)</t>
        </is>
      </c>
      <c r="D279" s="254" t="inlineStr">
        <is>
          <t>-</t>
        </is>
      </c>
      <c r="E279" s="254" t="inlineStr">
        <is>
          <t>-</t>
        </is>
      </c>
      <c r="F279" s="254" t="inlineStr">
        <is>
          <t>-</t>
        </is>
      </c>
      <c r="G279" s="254" t="inlineStr">
        <is>
          <t>DESFASE DE NÓMINA</t>
        </is>
      </c>
    </row>
    <row r="280" ht="20" customHeight="1" s="226">
      <c r="A280" s="254" t="inlineStr">
        <is>
          <t>10AV</t>
        </is>
      </c>
      <c r="B280" s="254" t="inlineStr">
        <is>
          <t>GOMEZ MINUCHE MARYURI YAMILETH</t>
        </is>
      </c>
      <c r="C280" s="254" t="inlineStr">
        <is>
          <t>(NÓMINA)</t>
        </is>
      </c>
      <c r="D280" s="254" t="inlineStr">
        <is>
          <t>-</t>
        </is>
      </c>
      <c r="E280" s="254" t="inlineStr">
        <is>
          <t>-</t>
        </is>
      </c>
      <c r="F280" s="254" t="inlineStr">
        <is>
          <t>-</t>
        </is>
      </c>
      <c r="G280" s="254" t="inlineStr">
        <is>
          <t>DESFASE DE NÓMINA</t>
        </is>
      </c>
    </row>
    <row r="281" ht="20" customHeight="1" s="226">
      <c r="A281" s="254" t="inlineStr">
        <is>
          <t>10AV</t>
        </is>
      </c>
      <c r="B281" s="254" t="inlineStr">
        <is>
          <t>GUAILLAS LEON KAREN AYELEN</t>
        </is>
      </c>
      <c r="C281" s="254" t="inlineStr">
        <is>
          <t>(NÓMINA)</t>
        </is>
      </c>
      <c r="D281" s="254" t="inlineStr">
        <is>
          <t>-</t>
        </is>
      </c>
      <c r="E281" s="254" t="inlineStr">
        <is>
          <t>-</t>
        </is>
      </c>
      <c r="F281" s="254" t="inlineStr">
        <is>
          <t>-</t>
        </is>
      </c>
      <c r="G281" s="254" t="inlineStr">
        <is>
          <t>DESFASE DE NÓMINA</t>
        </is>
      </c>
    </row>
    <row r="282" ht="20" customHeight="1" s="226">
      <c r="A282" s="254" t="inlineStr">
        <is>
          <t>10AV</t>
        </is>
      </c>
      <c r="B282" s="254" t="inlineStr">
        <is>
          <t>GUAMBAÑA AREVALO DAYSI ABIGAIL</t>
        </is>
      </c>
      <c r="C282" s="254" t="inlineStr">
        <is>
          <t>(NÓMINA)</t>
        </is>
      </c>
      <c r="D282" s="254" t="inlineStr">
        <is>
          <t>-</t>
        </is>
      </c>
      <c r="E282" s="254" t="inlineStr">
        <is>
          <t>-</t>
        </is>
      </c>
      <c r="F282" s="254" t="inlineStr">
        <is>
          <t>-</t>
        </is>
      </c>
      <c r="G282" s="254" t="inlineStr">
        <is>
          <t>DESFASE DE NÓMINA</t>
        </is>
      </c>
    </row>
    <row r="283" ht="20" customHeight="1" s="226">
      <c r="A283" s="254" t="inlineStr">
        <is>
          <t>10AV</t>
        </is>
      </c>
      <c r="B283" s="254" t="inlineStr">
        <is>
          <t>GUARTASACA BUENO PAULA ABIGAIL</t>
        </is>
      </c>
      <c r="C283" s="254" t="inlineStr">
        <is>
          <t>(NÓMINA)</t>
        </is>
      </c>
      <c r="D283" s="254" t="inlineStr">
        <is>
          <t>-</t>
        </is>
      </c>
      <c r="E283" s="254" t="inlineStr">
        <is>
          <t>-</t>
        </is>
      </c>
      <c r="F283" s="254" t="inlineStr">
        <is>
          <t>-</t>
        </is>
      </c>
      <c r="G283" s="254" t="inlineStr">
        <is>
          <t>DESFASE DE NÓMINA</t>
        </is>
      </c>
    </row>
    <row r="284" ht="20" customHeight="1" s="226">
      <c r="A284" s="254" t="inlineStr">
        <is>
          <t>10AV</t>
        </is>
      </c>
      <c r="B284" s="254" t="inlineStr">
        <is>
          <t>HERAS REYES KAISER MATIAS</t>
        </is>
      </c>
      <c r="C284" s="254" t="inlineStr">
        <is>
          <t>(NÓMINA)</t>
        </is>
      </c>
      <c r="D284" s="254" t="inlineStr">
        <is>
          <t>-</t>
        </is>
      </c>
      <c r="E284" s="254" t="inlineStr">
        <is>
          <t>-</t>
        </is>
      </c>
      <c r="F284" s="254" t="inlineStr">
        <is>
          <t>-</t>
        </is>
      </c>
      <c r="G284" s="254" t="inlineStr">
        <is>
          <t>DESFASE DE NÓMINA</t>
        </is>
      </c>
    </row>
    <row r="285" ht="20" customHeight="1" s="226">
      <c r="A285" s="254" t="inlineStr">
        <is>
          <t>10AV</t>
        </is>
      </c>
      <c r="B285" s="254" t="inlineStr">
        <is>
          <t>LLANES CUEVA OMAR RICARDO</t>
        </is>
      </c>
      <c r="C285" s="254" t="inlineStr">
        <is>
          <t>(NÓMINA)</t>
        </is>
      </c>
      <c r="D285" s="254" t="inlineStr">
        <is>
          <t>-</t>
        </is>
      </c>
      <c r="E285" s="254" t="inlineStr">
        <is>
          <t>-</t>
        </is>
      </c>
      <c r="F285" s="254" t="inlineStr">
        <is>
          <t>-</t>
        </is>
      </c>
      <c r="G285" s="254" t="inlineStr">
        <is>
          <t>DESFASE DE NÓMINA</t>
        </is>
      </c>
    </row>
    <row r="286" ht="20" customHeight="1" s="226">
      <c r="A286" s="254" t="inlineStr">
        <is>
          <t>10AV</t>
        </is>
      </c>
      <c r="B286" s="254" t="inlineStr">
        <is>
          <t>LLANGARI GOMEZ JHOEL SANTIAGO</t>
        </is>
      </c>
      <c r="C286" s="254" t="inlineStr">
        <is>
          <t>(NÓMINA)</t>
        </is>
      </c>
      <c r="D286" s="254" t="inlineStr">
        <is>
          <t>-</t>
        </is>
      </c>
      <c r="E286" s="254" t="inlineStr">
        <is>
          <t>-</t>
        </is>
      </c>
      <c r="F286" s="254" t="inlineStr">
        <is>
          <t>-</t>
        </is>
      </c>
      <c r="G286" s="254" t="inlineStr">
        <is>
          <t>DESFASE DE NÓMINA</t>
        </is>
      </c>
    </row>
    <row r="287" ht="20" customHeight="1" s="226">
      <c r="A287" s="254" t="inlineStr">
        <is>
          <t>10AV</t>
        </is>
      </c>
      <c r="B287" s="254" t="inlineStr">
        <is>
          <t>MARCA PULGARIN DAVID SEBASTIAN</t>
        </is>
      </c>
      <c r="C287" s="254" t="inlineStr">
        <is>
          <t>(NÓMINA)</t>
        </is>
      </c>
      <c r="D287" s="254" t="inlineStr">
        <is>
          <t>-</t>
        </is>
      </c>
      <c r="E287" s="254" t="inlineStr">
        <is>
          <t>-</t>
        </is>
      </c>
      <c r="F287" s="254" t="inlineStr">
        <is>
          <t>-</t>
        </is>
      </c>
      <c r="G287" s="254" t="inlineStr">
        <is>
          <t>DESFASE DE NÓMINA</t>
        </is>
      </c>
    </row>
    <row r="288" ht="20" customHeight="1" s="226">
      <c r="A288" s="254" t="inlineStr">
        <is>
          <t>10AV</t>
        </is>
      </c>
      <c r="B288" s="254" t="inlineStr">
        <is>
          <t>MENA FAJARDO KLEBER ALBINO</t>
        </is>
      </c>
      <c r="C288" s="254" t="inlineStr">
        <is>
          <t>(NÓMINA)</t>
        </is>
      </c>
      <c r="D288" s="254" t="inlineStr">
        <is>
          <t>-</t>
        </is>
      </c>
      <c r="E288" s="254" t="inlineStr">
        <is>
          <t>-</t>
        </is>
      </c>
      <c r="F288" s="254" t="inlineStr">
        <is>
          <t>-</t>
        </is>
      </c>
      <c r="G288" s="254" t="inlineStr">
        <is>
          <t>DESFASE DE NÓMINA</t>
        </is>
      </c>
    </row>
    <row r="289" ht="20" customHeight="1" s="226">
      <c r="A289" s="254" t="inlineStr">
        <is>
          <t>10AV</t>
        </is>
      </c>
      <c r="B289" s="254" t="inlineStr">
        <is>
          <t>MORA SIGUENZA HUGO ALEJANDRO</t>
        </is>
      </c>
      <c r="C289" s="254" t="inlineStr">
        <is>
          <t>(NÓMINA)</t>
        </is>
      </c>
      <c r="D289" s="254" t="inlineStr">
        <is>
          <t>-</t>
        </is>
      </c>
      <c r="E289" s="254" t="inlineStr">
        <is>
          <t>-</t>
        </is>
      </c>
      <c r="F289" s="254" t="inlineStr">
        <is>
          <t>-</t>
        </is>
      </c>
      <c r="G289" s="254" t="inlineStr">
        <is>
          <t>DESFASE DE NÓMINA</t>
        </is>
      </c>
    </row>
    <row r="290" ht="20" customHeight="1" s="226">
      <c r="A290" s="254" t="inlineStr">
        <is>
          <t>10AV</t>
        </is>
      </c>
      <c r="B290" s="254" t="inlineStr">
        <is>
          <t>MOROCHO PUCHA JOHNNY PATRICIO</t>
        </is>
      </c>
      <c r="C290" s="254" t="inlineStr">
        <is>
          <t>(NÓMINA)</t>
        </is>
      </c>
      <c r="D290" s="254" t="inlineStr">
        <is>
          <t>-</t>
        </is>
      </c>
      <c r="E290" s="254" t="inlineStr">
        <is>
          <t>-</t>
        </is>
      </c>
      <c r="F290" s="254" t="inlineStr">
        <is>
          <t>-</t>
        </is>
      </c>
      <c r="G290" s="254" t="inlineStr">
        <is>
          <t>DESFASE DE NÓMINA</t>
        </is>
      </c>
    </row>
    <row r="291" ht="20" customHeight="1" s="226">
      <c r="A291" s="254" t="inlineStr">
        <is>
          <t>10AV</t>
        </is>
      </c>
      <c r="B291" s="254" t="inlineStr">
        <is>
          <t>ORELLANA GUICHAY ALEXANDRA NICOL</t>
        </is>
      </c>
      <c r="C291" s="254" t="inlineStr">
        <is>
          <t>(NÓMINA)</t>
        </is>
      </c>
      <c r="D291" s="254" t="inlineStr">
        <is>
          <t>-</t>
        </is>
      </c>
      <c r="E291" s="254" t="inlineStr">
        <is>
          <t>-</t>
        </is>
      </c>
      <c r="F291" s="254" t="inlineStr">
        <is>
          <t>-</t>
        </is>
      </c>
      <c r="G291" s="254" t="inlineStr">
        <is>
          <t>DESFASE DE NÓMINA</t>
        </is>
      </c>
    </row>
    <row r="292" ht="20" customHeight="1" s="226">
      <c r="A292" s="254" t="inlineStr">
        <is>
          <t>10AV</t>
        </is>
      </c>
      <c r="B292" s="254" t="inlineStr">
        <is>
          <t>ORELLANA MENDEZ JOHN ALEXANDER</t>
        </is>
      </c>
      <c r="C292" s="254" t="inlineStr">
        <is>
          <t>(NÓMINA)</t>
        </is>
      </c>
      <c r="D292" s="254" t="inlineStr">
        <is>
          <t>-</t>
        </is>
      </c>
      <c r="E292" s="254" t="inlineStr">
        <is>
          <t>-</t>
        </is>
      </c>
      <c r="F292" s="254" t="inlineStr">
        <is>
          <t>-</t>
        </is>
      </c>
      <c r="G292" s="254" t="inlineStr">
        <is>
          <t>DESFASE DE NÓMINA</t>
        </is>
      </c>
    </row>
    <row r="293" ht="20" customHeight="1" s="226">
      <c r="A293" s="254" t="inlineStr">
        <is>
          <t>10AV</t>
        </is>
      </c>
      <c r="B293" s="254" t="inlineStr">
        <is>
          <t>PASATO UZHCA DENISSE PAOLA</t>
        </is>
      </c>
      <c r="C293" s="254" t="inlineStr">
        <is>
          <t>(NÓMINA)</t>
        </is>
      </c>
      <c r="D293" s="254" t="inlineStr">
        <is>
          <t>-</t>
        </is>
      </c>
      <c r="E293" s="254" t="inlineStr">
        <is>
          <t>-</t>
        </is>
      </c>
      <c r="F293" s="254" t="inlineStr">
        <is>
          <t>-</t>
        </is>
      </c>
      <c r="G293" s="254" t="inlineStr">
        <is>
          <t>DESFASE DE NÓMINA</t>
        </is>
      </c>
    </row>
    <row r="294" ht="20" customHeight="1" s="226">
      <c r="A294" s="254" t="inlineStr">
        <is>
          <t>10AV</t>
        </is>
      </c>
      <c r="B294" s="254" t="inlineStr">
        <is>
          <t>PERALTA LANDI JESSICA PATRICIA</t>
        </is>
      </c>
      <c r="C294" s="254" t="inlineStr">
        <is>
          <t>(NÓMINA)</t>
        </is>
      </c>
      <c r="D294" s="254" t="inlineStr">
        <is>
          <t>-</t>
        </is>
      </c>
      <c r="E294" s="254" t="inlineStr">
        <is>
          <t>-</t>
        </is>
      </c>
      <c r="F294" s="254" t="inlineStr">
        <is>
          <t>-</t>
        </is>
      </c>
      <c r="G294" s="254" t="inlineStr">
        <is>
          <t>DESFASE DE NÓMINA</t>
        </is>
      </c>
    </row>
    <row r="295" ht="20" customHeight="1" s="226">
      <c r="A295" s="253" t="inlineStr">
        <is>
          <t>10AV</t>
        </is>
      </c>
      <c r="B295" s="253" t="inlineStr">
        <is>
          <t>PERALTA LANDI JESSICA PATRICIA</t>
        </is>
      </c>
      <c r="C295" s="253" t="inlineStr">
        <is>
          <t>Educación Física</t>
        </is>
      </c>
      <c r="D295" s="253" t="n">
        <v>9.67</v>
      </c>
      <c r="E295" s="253" t="n">
        <v>9.640000000000001</v>
      </c>
      <c r="F295" s="253" t="n">
        <v>0.03</v>
      </c>
      <c r="G295" s="253" t="inlineStr">
        <is>
          <t>ERROR</t>
        </is>
      </c>
    </row>
    <row r="296" ht="20" customHeight="1" s="226">
      <c r="A296" s="254" t="inlineStr">
        <is>
          <t>10AV</t>
        </is>
      </c>
      <c r="B296" s="254" t="inlineStr">
        <is>
          <t>PEÑA CEDACERO SALOME GUADALUPE</t>
        </is>
      </c>
      <c r="C296" s="254" t="inlineStr">
        <is>
          <t>(NÓMINA)</t>
        </is>
      </c>
      <c r="D296" s="254" t="inlineStr">
        <is>
          <t>-</t>
        </is>
      </c>
      <c r="E296" s="254" t="inlineStr">
        <is>
          <t>-</t>
        </is>
      </c>
      <c r="F296" s="254" t="inlineStr">
        <is>
          <t>-</t>
        </is>
      </c>
      <c r="G296" s="254" t="inlineStr">
        <is>
          <t>DESFASE DE NÓMINA</t>
        </is>
      </c>
    </row>
    <row r="297" ht="20" customHeight="1" s="226">
      <c r="A297" s="254" t="inlineStr">
        <is>
          <t>10AV</t>
        </is>
      </c>
      <c r="B297" s="254" t="inlineStr">
        <is>
          <t>POZO ZHAÑAY JUAN DE DIOS</t>
        </is>
      </c>
      <c r="C297" s="254" t="inlineStr">
        <is>
          <t>(NÓMINA)</t>
        </is>
      </c>
      <c r="D297" s="254" t="inlineStr">
        <is>
          <t>-</t>
        </is>
      </c>
      <c r="E297" s="254" t="inlineStr">
        <is>
          <t>-</t>
        </is>
      </c>
      <c r="F297" s="254" t="inlineStr">
        <is>
          <t>-</t>
        </is>
      </c>
      <c r="G297" s="254" t="inlineStr">
        <is>
          <t>DESFASE DE NÓMINA</t>
        </is>
      </c>
    </row>
    <row r="298" ht="20" customHeight="1" s="226">
      <c r="A298" s="253" t="inlineStr">
        <is>
          <t>10AV</t>
        </is>
      </c>
      <c r="B298" s="253" t="inlineStr">
        <is>
          <t>POZO ZHAÑAY JUAN DE DIOS</t>
        </is>
      </c>
      <c r="C298" s="253" t="inlineStr">
        <is>
          <t>Promedio Final / P. General</t>
        </is>
      </c>
      <c r="D298" s="253" t="n">
        <v>2.58</v>
      </c>
      <c r="E298" s="253" t="n">
        <v>2.97</v>
      </c>
      <c r="F298" s="253" t="n">
        <v>0.39</v>
      </c>
      <c r="G298" s="253" t="inlineStr">
        <is>
          <t>ERROR</t>
        </is>
      </c>
    </row>
    <row r="299" ht="20" customHeight="1" s="226">
      <c r="A299" s="254" t="inlineStr">
        <is>
          <t>10AV</t>
        </is>
      </c>
      <c r="B299" s="254" t="inlineStr">
        <is>
          <t>SANCHEZ CHALCO ANAHI ALEXANDRA</t>
        </is>
      </c>
      <c r="C299" s="254" t="inlineStr">
        <is>
          <t>(NÓMINA)</t>
        </is>
      </c>
      <c r="D299" s="254" t="inlineStr">
        <is>
          <t>-</t>
        </is>
      </c>
      <c r="E299" s="254" t="inlineStr">
        <is>
          <t>-</t>
        </is>
      </c>
      <c r="F299" s="254" t="inlineStr">
        <is>
          <t>-</t>
        </is>
      </c>
      <c r="G299" s="254" t="inlineStr">
        <is>
          <t>DESFASE DE NÓMINA</t>
        </is>
      </c>
    </row>
    <row r="300" ht="20" customHeight="1" s="226">
      <c r="A300" s="254" t="inlineStr">
        <is>
          <t>10AV</t>
        </is>
      </c>
      <c r="B300" s="254" t="inlineStr">
        <is>
          <t>ZARUMA PAREDES MELANIE CAROLINA</t>
        </is>
      </c>
      <c r="C300" s="254" t="inlineStr">
        <is>
          <t>(NÓMINA)</t>
        </is>
      </c>
      <c r="D300" s="254" t="inlineStr">
        <is>
          <t>-</t>
        </is>
      </c>
      <c r="E300" s="254" t="inlineStr">
        <is>
          <t>-</t>
        </is>
      </c>
      <c r="F300" s="254" t="inlineStr">
        <is>
          <t>-</t>
        </is>
      </c>
      <c r="G300" s="254" t="inlineStr">
        <is>
          <t>DESFASE DE NÓMINA</t>
        </is>
      </c>
    </row>
    <row r="301" ht="20" customHeight="1" s="226">
      <c r="A301" s="254" t="inlineStr">
        <is>
          <t>10AV</t>
        </is>
      </c>
      <c r="B301" s="254" t="inlineStr">
        <is>
          <t>CARRASCO RODRIGUEZ SAMIR JEREMIAS</t>
        </is>
      </c>
      <c r="C301" s="254" t="inlineStr">
        <is>
          <t>SOLO EN SISTEMA</t>
        </is>
      </c>
      <c r="D301" s="254" t="inlineStr">
        <is>
          <t>-</t>
        </is>
      </c>
      <c r="E301" s="254" t="inlineStr">
        <is>
          <t>-</t>
        </is>
      </c>
      <c r="F301" s="254" t="inlineStr">
        <is>
          <t>-</t>
        </is>
      </c>
      <c r="G301" s="254" t="inlineStr">
        <is>
          <t>DESFASE DE NÓMINA</t>
        </is>
      </c>
    </row>
    <row r="302" ht="20" customHeight="1" s="226">
      <c r="A302" s="254" t="inlineStr">
        <is>
          <t>10AV</t>
        </is>
      </c>
      <c r="B302" s="254" t="inlineStr">
        <is>
          <t>CAÑA CASADIEGOS ASTRID SOLANGIE</t>
        </is>
      </c>
      <c r="C302" s="254" t="inlineStr">
        <is>
          <t>SOLO EN SISTEMA</t>
        </is>
      </c>
      <c r="D302" s="254" t="inlineStr">
        <is>
          <t>-</t>
        </is>
      </c>
      <c r="E302" s="254" t="inlineStr">
        <is>
          <t>-</t>
        </is>
      </c>
      <c r="F302" s="254" t="inlineStr">
        <is>
          <t>-</t>
        </is>
      </c>
      <c r="G302" s="254" t="inlineStr">
        <is>
          <t>DESFASE DE NÓMINA</t>
        </is>
      </c>
    </row>
    <row r="303" ht="20" customHeight="1" s="226">
      <c r="A303" s="253" t="inlineStr">
        <is>
          <t>10BV</t>
        </is>
      </c>
      <c r="B303" s="253" t="inlineStr">
        <is>
          <t>ANGAMARCA VILE ERICK JOEL</t>
        </is>
      </c>
      <c r="C303" s="253" t="inlineStr">
        <is>
          <t>Estudios Sociales</t>
        </is>
      </c>
      <c r="D303" s="253" t="n">
        <v>7.51</v>
      </c>
      <c r="E303" s="253" t="n">
        <v>7.6</v>
      </c>
      <c r="F303" s="253" t="n">
        <v>0.09</v>
      </c>
      <c r="G303" s="253" t="inlineStr">
        <is>
          <t>ERROR</t>
        </is>
      </c>
    </row>
    <row r="304" ht="20" customHeight="1" s="226">
      <c r="A304" s="253" t="inlineStr">
        <is>
          <t>10BV</t>
        </is>
      </c>
      <c r="B304" s="253" t="inlineStr">
        <is>
          <t>AREVALO CUZCO DYLAN SANTIAGO</t>
        </is>
      </c>
      <c r="C304" s="253" t="inlineStr">
        <is>
          <t>Estudios Sociales</t>
        </is>
      </c>
      <c r="D304" s="253" t="n">
        <v>8.119999999999999</v>
      </c>
      <c r="E304" s="253" t="n">
        <v>8.24</v>
      </c>
      <c r="F304" s="253" t="n">
        <v>0.12</v>
      </c>
      <c r="G304" s="253" t="inlineStr">
        <is>
          <t>ERROR</t>
        </is>
      </c>
    </row>
    <row r="305" ht="20" customHeight="1" s="226">
      <c r="A305" s="253" t="inlineStr">
        <is>
          <t>10BV</t>
        </is>
      </c>
      <c r="B305" s="253" t="inlineStr">
        <is>
          <t>CAGUANA LANDY JOHN MATEO</t>
        </is>
      </c>
      <c r="C305" s="253" t="inlineStr">
        <is>
          <t>Estudios Sociales</t>
        </is>
      </c>
      <c r="D305" s="253" t="n">
        <v>7.7</v>
      </c>
      <c r="E305" s="253" t="n">
        <v>7.8</v>
      </c>
      <c r="F305" s="253" t="n">
        <v>0.1</v>
      </c>
      <c r="G305" s="253" t="inlineStr">
        <is>
          <t>ERROR</t>
        </is>
      </c>
    </row>
    <row r="306" ht="20" customHeight="1" s="226">
      <c r="A306" s="253" t="inlineStr">
        <is>
          <t>10BV</t>
        </is>
      </c>
      <c r="B306" s="253" t="inlineStr">
        <is>
          <t>CARCHI ZHUNIO JOSTIN ALEXANDER</t>
        </is>
      </c>
      <c r="C306" s="253" t="inlineStr">
        <is>
          <t>Estudios Sociales</t>
        </is>
      </c>
      <c r="D306" s="253" t="n">
        <v>7.45</v>
      </c>
      <c r="E306" s="253" t="n">
        <v>7.95</v>
      </c>
      <c r="F306" s="253" t="n">
        <v>0.5</v>
      </c>
      <c r="G306" s="253" t="inlineStr">
        <is>
          <t>ERROR</t>
        </is>
      </c>
    </row>
    <row r="307" ht="20" customHeight="1" s="226">
      <c r="A307" s="253" t="inlineStr">
        <is>
          <t>10BV</t>
        </is>
      </c>
      <c r="B307" s="253" t="inlineStr">
        <is>
          <t>CARCHI ZHUNIO JOSTIN ALEXANDER</t>
        </is>
      </c>
      <c r="C307" s="253" t="inlineStr">
        <is>
          <t>Promedio Final / P. General</t>
        </is>
      </c>
      <c r="D307" s="253" t="n">
        <v>7.59</v>
      </c>
      <c r="E307" s="253" t="n">
        <v>7.66</v>
      </c>
      <c r="F307" s="253" t="n">
        <v>0.07000000000000001</v>
      </c>
      <c r="G307" s="253" t="inlineStr">
        <is>
          <t>ERROR</t>
        </is>
      </c>
    </row>
    <row r="308" ht="20" customHeight="1" s="226">
      <c r="A308" s="253" t="inlineStr">
        <is>
          <t>10BV</t>
        </is>
      </c>
      <c r="B308" s="253" t="inlineStr">
        <is>
          <t>CHACON GARZON ODALIS ANABEL</t>
        </is>
      </c>
      <c r="C308" s="253" t="inlineStr">
        <is>
          <t>Estudios Sociales</t>
        </is>
      </c>
      <c r="D308" s="253" t="n">
        <v>7.69</v>
      </c>
      <c r="E308" s="253" t="n">
        <v>8</v>
      </c>
      <c r="F308" s="253" t="n">
        <v>0.31</v>
      </c>
      <c r="G308" s="253" t="inlineStr">
        <is>
          <t>ERROR</t>
        </is>
      </c>
    </row>
    <row r="309" ht="20" customHeight="1" s="226">
      <c r="A309" s="253" t="inlineStr">
        <is>
          <t>10BV</t>
        </is>
      </c>
      <c r="B309" s="253" t="inlineStr">
        <is>
          <t>CHACON GARZON ODALIS ANABEL</t>
        </is>
      </c>
      <c r="C309" s="253" t="inlineStr">
        <is>
          <t>Promedio Final / P. General</t>
        </is>
      </c>
      <c r="D309" s="253" t="n">
        <v>7.49</v>
      </c>
      <c r="E309" s="253" t="n">
        <v>7.53</v>
      </c>
      <c r="F309" s="253" t="n">
        <v>0.04</v>
      </c>
      <c r="G309" s="253" t="inlineStr">
        <is>
          <t>ERROR</t>
        </is>
      </c>
    </row>
    <row r="310" ht="20" customHeight="1" s="226">
      <c r="A310" s="254" t="inlineStr">
        <is>
          <t>10BV</t>
        </is>
      </c>
      <c r="B310" s="254" t="inlineStr">
        <is>
          <t>CORONADO ZHUNIO LENIN SEBASTIAN</t>
        </is>
      </c>
      <c r="C310" s="254" t="inlineStr">
        <is>
          <t>(NÓMINA)</t>
        </is>
      </c>
      <c r="D310" s="254" t="inlineStr">
        <is>
          <t>-</t>
        </is>
      </c>
      <c r="E310" s="254" t="inlineStr">
        <is>
          <t>-</t>
        </is>
      </c>
      <c r="F310" s="254" t="inlineStr">
        <is>
          <t>-</t>
        </is>
      </c>
      <c r="G310" s="254" t="inlineStr">
        <is>
          <t>DESFASE DE NÓMINA</t>
        </is>
      </c>
    </row>
    <row r="311" ht="20" customHeight="1" s="226">
      <c r="A311" s="253" t="inlineStr">
        <is>
          <t>10BV</t>
        </is>
      </c>
      <c r="B311" s="253" t="inlineStr">
        <is>
          <t>CORONADO ZHUNIO LENIN SEBASTIAN</t>
        </is>
      </c>
      <c r="C311" s="253" t="inlineStr">
        <is>
          <t>Estudios Sociales</t>
        </is>
      </c>
      <c r="D311" s="253" t="n">
        <v>7.96</v>
      </c>
      <c r="E311" s="253" t="n">
        <v>7.89</v>
      </c>
      <c r="F311" s="253" t="n">
        <v>0.07000000000000001</v>
      </c>
      <c r="G311" s="253" t="inlineStr">
        <is>
          <t>ERROR</t>
        </is>
      </c>
    </row>
    <row r="312" ht="20" customHeight="1" s="226">
      <c r="A312" s="254" t="inlineStr">
        <is>
          <t>10BV</t>
        </is>
      </c>
      <c r="B312" s="254" t="inlineStr">
        <is>
          <t>CORONEL LOZADA BRENDA CAROLINA</t>
        </is>
      </c>
      <c r="C312" s="254" t="inlineStr">
        <is>
          <t>(NÓMINA)</t>
        </is>
      </c>
      <c r="D312" s="254" t="inlineStr">
        <is>
          <t>-</t>
        </is>
      </c>
      <c r="E312" s="254" t="inlineStr">
        <is>
          <t>-</t>
        </is>
      </c>
      <c r="F312" s="254" t="inlineStr">
        <is>
          <t>-</t>
        </is>
      </c>
      <c r="G312" s="254" t="inlineStr">
        <is>
          <t>DESFASE DE NÓMINA</t>
        </is>
      </c>
    </row>
    <row r="313" ht="20" customHeight="1" s="226">
      <c r="A313" s="253" t="inlineStr">
        <is>
          <t>10BV</t>
        </is>
      </c>
      <c r="B313" s="253" t="inlineStr">
        <is>
          <t>CORONEL LOZADA BRENDA CAROLINA</t>
        </is>
      </c>
      <c r="C313" s="253" t="inlineStr">
        <is>
          <t>Estudios Sociales</t>
        </is>
      </c>
      <c r="D313" s="253" t="n">
        <v>9.140000000000001</v>
      </c>
      <c r="E313" s="253" t="n">
        <v>9.6</v>
      </c>
      <c r="F313" s="253" t="n">
        <v>0.46</v>
      </c>
      <c r="G313" s="253" t="inlineStr">
        <is>
          <t>ERROR</t>
        </is>
      </c>
    </row>
    <row r="314" ht="20" customHeight="1" s="226">
      <c r="A314" s="253" t="inlineStr">
        <is>
          <t>10BV</t>
        </is>
      </c>
      <c r="B314" s="253" t="inlineStr">
        <is>
          <t>CORONEL LOZADA BRENDA CAROLINA</t>
        </is>
      </c>
      <c r="C314" s="253" t="inlineStr">
        <is>
          <t>Promedio Final / P. General</t>
        </is>
      </c>
      <c r="D314" s="253" t="n">
        <v>8.73</v>
      </c>
      <c r="E314" s="253" t="n">
        <v>8.789999999999999</v>
      </c>
      <c r="F314" s="253" t="n">
        <v>0.06</v>
      </c>
      <c r="G314" s="253" t="inlineStr">
        <is>
          <t>ERROR</t>
        </is>
      </c>
    </row>
    <row r="315" ht="20" customHeight="1" s="226">
      <c r="A315" s="254" t="inlineStr">
        <is>
          <t>10BV</t>
        </is>
      </c>
      <c r="B315" s="254" t="inlineStr">
        <is>
          <t>GOMEZ PERALTA MARIA VICTORIA</t>
        </is>
      </c>
      <c r="C315" s="254" t="inlineStr">
        <is>
          <t>(NÓMINA)</t>
        </is>
      </c>
      <c r="D315" s="254" t="inlineStr">
        <is>
          <t>-</t>
        </is>
      </c>
      <c r="E315" s="254" t="inlineStr">
        <is>
          <t>-</t>
        </is>
      </c>
      <c r="F315" s="254" t="inlineStr">
        <is>
          <t>-</t>
        </is>
      </c>
      <c r="G315" s="254" t="inlineStr">
        <is>
          <t>DESFASE DE NÓMINA</t>
        </is>
      </c>
    </row>
    <row r="316" ht="20" customHeight="1" s="226">
      <c r="A316" s="253" t="inlineStr">
        <is>
          <t>10BV</t>
        </is>
      </c>
      <c r="B316" s="253" t="inlineStr">
        <is>
          <t>GOMEZ PERALTA MARIA VICTORIA</t>
        </is>
      </c>
      <c r="C316" s="253" t="inlineStr">
        <is>
          <t>Estudios Sociales</t>
        </is>
      </c>
      <c r="D316" s="253" t="n">
        <v>9.33</v>
      </c>
      <c r="E316" s="253" t="n">
        <v>9.6</v>
      </c>
      <c r="F316" s="253" t="n">
        <v>0.27</v>
      </c>
      <c r="G316" s="253" t="inlineStr">
        <is>
          <t>ERROR</t>
        </is>
      </c>
    </row>
    <row r="317" ht="20" customHeight="1" s="226">
      <c r="A317" s="253" t="inlineStr">
        <is>
          <t>10BV</t>
        </is>
      </c>
      <c r="B317" s="253" t="inlineStr">
        <is>
          <t>GOMEZ PERALTA MARIA VICTORIA</t>
        </is>
      </c>
      <c r="C317" s="253" t="inlineStr">
        <is>
          <t>Promedio Final / P. General</t>
        </is>
      </c>
      <c r="D317" s="253" t="n">
        <v>8.69</v>
      </c>
      <c r="E317" s="253" t="n">
        <v>8.73</v>
      </c>
      <c r="F317" s="253" t="n">
        <v>0.04</v>
      </c>
      <c r="G317" s="253" t="inlineStr">
        <is>
          <t>ERROR</t>
        </is>
      </c>
    </row>
    <row r="318" ht="20" customHeight="1" s="226">
      <c r="A318" s="254" t="inlineStr">
        <is>
          <t>10BV</t>
        </is>
      </c>
      <c r="B318" s="254" t="inlineStr">
        <is>
          <t>JARA GONZALEZ BRAD LEANDRO</t>
        </is>
      </c>
      <c r="C318" s="254" t="inlineStr">
        <is>
          <t>(NÓMINA)</t>
        </is>
      </c>
      <c r="D318" s="254" t="inlineStr">
        <is>
          <t>-</t>
        </is>
      </c>
      <c r="E318" s="254" t="inlineStr">
        <is>
          <t>-</t>
        </is>
      </c>
      <c r="F318" s="254" t="inlineStr">
        <is>
          <t>-</t>
        </is>
      </c>
      <c r="G318" s="254" t="inlineStr">
        <is>
          <t>DESFASE DE NÓMINA</t>
        </is>
      </c>
    </row>
    <row r="319" ht="20" customHeight="1" s="226">
      <c r="A319" s="253" t="inlineStr">
        <is>
          <t>10BV</t>
        </is>
      </c>
      <c r="B319" s="253" t="inlineStr">
        <is>
          <t>JARA GONZALEZ BRAD LEANDRO</t>
        </is>
      </c>
      <c r="C319" s="253" t="inlineStr">
        <is>
          <t>Estudios Sociales</t>
        </is>
      </c>
      <c r="D319" s="253" t="n">
        <v>7.87</v>
      </c>
      <c r="E319" s="253" t="n">
        <v>8.27</v>
      </c>
      <c r="F319" s="253" t="n">
        <v>0.4</v>
      </c>
      <c r="G319" s="253" t="inlineStr">
        <is>
          <t>ERROR</t>
        </is>
      </c>
    </row>
    <row r="320" ht="20" customHeight="1" s="226">
      <c r="A320" s="253" t="inlineStr">
        <is>
          <t>10BV</t>
        </is>
      </c>
      <c r="B320" s="253" t="inlineStr">
        <is>
          <t>JARA GONZALEZ BRAD LEANDRO</t>
        </is>
      </c>
      <c r="C320" s="253" t="inlineStr">
        <is>
          <t>Promedio Final / P. General</t>
        </is>
      </c>
      <c r="D320" s="253" t="n">
        <v>7.55</v>
      </c>
      <c r="E320" s="253" t="n">
        <v>7.61</v>
      </c>
      <c r="F320" s="253" t="n">
        <v>0.06</v>
      </c>
      <c r="G320" s="253" t="inlineStr">
        <is>
          <t>ERROR</t>
        </is>
      </c>
    </row>
    <row r="321" ht="20" customHeight="1" s="226">
      <c r="A321" s="254" t="inlineStr">
        <is>
          <t>10BV</t>
        </is>
      </c>
      <c r="B321" s="254" t="inlineStr">
        <is>
          <t>LEON SIAVICHAY DIEGO ESTALIN</t>
        </is>
      </c>
      <c r="C321" s="254" t="inlineStr">
        <is>
          <t>(NÓMINA)</t>
        </is>
      </c>
      <c r="D321" s="254" t="inlineStr">
        <is>
          <t>-</t>
        </is>
      </c>
      <c r="E321" s="254" t="inlineStr">
        <is>
          <t>-</t>
        </is>
      </c>
      <c r="F321" s="254" t="inlineStr">
        <is>
          <t>-</t>
        </is>
      </c>
      <c r="G321" s="254" t="inlineStr">
        <is>
          <t>DESFASE DE NÓMINA</t>
        </is>
      </c>
    </row>
    <row r="322" ht="20" customHeight="1" s="226">
      <c r="A322" s="253" t="inlineStr">
        <is>
          <t>10BV</t>
        </is>
      </c>
      <c r="B322" s="253" t="inlineStr">
        <is>
          <t>LEON SIAVICHAY DIEGO ESTALIN</t>
        </is>
      </c>
      <c r="C322" s="253" t="inlineStr">
        <is>
          <t>Estudios Sociales</t>
        </is>
      </c>
      <c r="D322" s="253" t="n">
        <v>8.44</v>
      </c>
      <c r="E322" s="253" t="n">
        <v>8.539999999999999</v>
      </c>
      <c r="F322" s="253" t="n">
        <v>0.1</v>
      </c>
      <c r="G322" s="253" t="inlineStr">
        <is>
          <t>ERROR</t>
        </is>
      </c>
    </row>
    <row r="323" ht="20" customHeight="1" s="226">
      <c r="A323" s="254" t="inlineStr">
        <is>
          <t>10BV</t>
        </is>
      </c>
      <c r="B323" s="254" t="inlineStr">
        <is>
          <t>LOPEZ PERALTA PABLO ANDRES</t>
        </is>
      </c>
      <c r="C323" s="254" t="inlineStr">
        <is>
          <t>(NÓMINA)</t>
        </is>
      </c>
      <c r="D323" s="254" t="inlineStr">
        <is>
          <t>-</t>
        </is>
      </c>
      <c r="E323" s="254" t="inlineStr">
        <is>
          <t>-</t>
        </is>
      </c>
      <c r="F323" s="254" t="inlineStr">
        <is>
          <t>-</t>
        </is>
      </c>
      <c r="G323" s="254" t="inlineStr">
        <is>
          <t>DESFASE DE NÓMINA</t>
        </is>
      </c>
    </row>
    <row r="324" ht="20" customHeight="1" s="226">
      <c r="A324" s="253" t="inlineStr">
        <is>
          <t>10BV</t>
        </is>
      </c>
      <c r="B324" s="253" t="inlineStr">
        <is>
          <t>LOPEZ PERALTA PABLO ANDRES</t>
        </is>
      </c>
      <c r="C324" s="253" t="inlineStr">
        <is>
          <t>Ciencias Naturales</t>
        </is>
      </c>
      <c r="D324" s="253" t="n">
        <v>7.02</v>
      </c>
      <c r="E324" s="253" t="n">
        <v>7.2</v>
      </c>
      <c r="F324" s="253" t="n">
        <v>0.18</v>
      </c>
      <c r="G324" s="253" t="inlineStr">
        <is>
          <t>ERROR</t>
        </is>
      </c>
    </row>
    <row r="325" ht="20" customHeight="1" s="226">
      <c r="A325" s="253" t="inlineStr">
        <is>
          <t>10BV</t>
        </is>
      </c>
      <c r="B325" s="253" t="inlineStr">
        <is>
          <t>LOPEZ PERALTA PABLO ANDRES</t>
        </is>
      </c>
      <c r="C325" s="253" t="inlineStr">
        <is>
          <t>Estudios Sociales</t>
        </is>
      </c>
      <c r="D325" s="253" t="n">
        <v>7.27</v>
      </c>
      <c r="E325" s="253" t="n">
        <v>7.46</v>
      </c>
      <c r="F325" s="253" t="n">
        <v>0.19</v>
      </c>
      <c r="G325" s="253" t="inlineStr">
        <is>
          <t>ERROR</t>
        </is>
      </c>
    </row>
    <row r="326" ht="20" customHeight="1" s="226">
      <c r="A326" s="253" t="inlineStr">
        <is>
          <t>10BV</t>
        </is>
      </c>
      <c r="B326" s="253" t="inlineStr">
        <is>
          <t>LOPEZ PERALTA PABLO ANDRES</t>
        </is>
      </c>
      <c r="C326" s="253" t="inlineStr">
        <is>
          <t>Promedio Final / P. General</t>
        </is>
      </c>
      <c r="D326" s="253" t="n">
        <v>7.32</v>
      </c>
      <c r="E326" s="253" t="n">
        <v>7.38</v>
      </c>
      <c r="F326" s="253" t="n">
        <v>0.06</v>
      </c>
      <c r="G326" s="253" t="inlineStr">
        <is>
          <t>ERROR</t>
        </is>
      </c>
    </row>
    <row r="327" ht="20" customHeight="1" s="226">
      <c r="A327" s="254" t="inlineStr">
        <is>
          <t>10BV</t>
        </is>
      </c>
      <c r="B327" s="254" t="inlineStr">
        <is>
          <t>MAYANCELA ROMERO ANGELES CAMILA</t>
        </is>
      </c>
      <c r="C327" s="254" t="inlineStr">
        <is>
          <t>(NÓMINA)</t>
        </is>
      </c>
      <c r="D327" s="254" t="inlineStr">
        <is>
          <t>-</t>
        </is>
      </c>
      <c r="E327" s="254" t="inlineStr">
        <is>
          <t>-</t>
        </is>
      </c>
      <c r="F327" s="254" t="inlineStr">
        <is>
          <t>-</t>
        </is>
      </c>
      <c r="G327" s="254" t="inlineStr">
        <is>
          <t>DESFASE DE NÓMINA</t>
        </is>
      </c>
    </row>
    <row r="328" ht="20" customHeight="1" s="226">
      <c r="A328" s="253" t="inlineStr">
        <is>
          <t>10BV</t>
        </is>
      </c>
      <c r="B328" s="253" t="inlineStr">
        <is>
          <t>MAYANCELA ROMERO ANGELES CAMILA</t>
        </is>
      </c>
      <c r="C328" s="253" t="inlineStr">
        <is>
          <t>Estudios Sociales</t>
        </is>
      </c>
      <c r="D328" s="253" t="n">
        <v>7.79</v>
      </c>
      <c r="E328" s="253" t="n">
        <v>8.039999999999999</v>
      </c>
      <c r="F328" s="253" t="n">
        <v>0.25</v>
      </c>
      <c r="G328" s="253" t="inlineStr">
        <is>
          <t>ERROR</t>
        </is>
      </c>
    </row>
    <row r="329" ht="20" customHeight="1" s="226">
      <c r="A329" s="253" t="inlineStr">
        <is>
          <t>10BV</t>
        </is>
      </c>
      <c r="B329" s="253" t="inlineStr">
        <is>
          <t>MAYANCELA ROMERO ANGELES CAMILA</t>
        </is>
      </c>
      <c r="C329" s="253" t="inlineStr">
        <is>
          <t>Promedio Final / P. General</t>
        </is>
      </c>
      <c r="D329" s="253" t="n">
        <v>7.78</v>
      </c>
      <c r="E329" s="253" t="n">
        <v>7.81</v>
      </c>
      <c r="F329" s="253" t="n">
        <v>0.03</v>
      </c>
      <c r="G329" s="253" t="inlineStr">
        <is>
          <t>ERROR</t>
        </is>
      </c>
    </row>
    <row r="330" ht="20" customHeight="1" s="226">
      <c r="A330" s="254" t="inlineStr">
        <is>
          <t>10BV</t>
        </is>
      </c>
      <c r="B330" s="254" t="inlineStr">
        <is>
          <t>MENDEZ LANDI EMILY DOMENICA</t>
        </is>
      </c>
      <c r="C330" s="254" t="inlineStr">
        <is>
          <t>(NÓMINA)</t>
        </is>
      </c>
      <c r="D330" s="254" t="inlineStr">
        <is>
          <t>-</t>
        </is>
      </c>
      <c r="E330" s="254" t="inlineStr">
        <is>
          <t>-</t>
        </is>
      </c>
      <c r="F330" s="254" t="inlineStr">
        <is>
          <t>-</t>
        </is>
      </c>
      <c r="G330" s="254" t="inlineStr">
        <is>
          <t>DESFASE DE NÓMINA</t>
        </is>
      </c>
    </row>
    <row r="331" ht="20" customHeight="1" s="226">
      <c r="A331" s="253" t="inlineStr">
        <is>
          <t>10BV</t>
        </is>
      </c>
      <c r="B331" s="253" t="inlineStr">
        <is>
          <t>MENDEZ LANDI EMILY DOMENICA</t>
        </is>
      </c>
      <c r="C331" s="253" t="inlineStr">
        <is>
          <t>Estudios Sociales</t>
        </is>
      </c>
      <c r="D331" s="253" t="n">
        <v>9.59</v>
      </c>
      <c r="E331" s="253" t="n">
        <v>9.76</v>
      </c>
      <c r="F331" s="253" t="n">
        <v>0.17</v>
      </c>
      <c r="G331" s="253" t="inlineStr">
        <is>
          <t>ERROR</t>
        </is>
      </c>
    </row>
    <row r="332" ht="20" customHeight="1" s="226">
      <c r="A332" s="254" t="inlineStr">
        <is>
          <t>10BV</t>
        </is>
      </c>
      <c r="B332" s="254" t="inlineStr">
        <is>
          <t>MOROCHO URGILES BRIANA ANELY</t>
        </is>
      </c>
      <c r="C332" s="254" t="inlineStr">
        <is>
          <t>(NÓMINA)</t>
        </is>
      </c>
      <c r="D332" s="254" t="inlineStr">
        <is>
          <t>-</t>
        </is>
      </c>
      <c r="E332" s="254" t="inlineStr">
        <is>
          <t>-</t>
        </is>
      </c>
      <c r="F332" s="254" t="inlineStr">
        <is>
          <t>-</t>
        </is>
      </c>
      <c r="G332" s="254" t="inlineStr">
        <is>
          <t>DESFASE DE NÓMINA</t>
        </is>
      </c>
    </row>
    <row r="333" ht="20" customHeight="1" s="226">
      <c r="A333" s="253" t="inlineStr">
        <is>
          <t>10BV</t>
        </is>
      </c>
      <c r="B333" s="253" t="inlineStr">
        <is>
          <t>MOROCHO URGILES BRIANA ANELY</t>
        </is>
      </c>
      <c r="C333" s="253" t="inlineStr">
        <is>
          <t>Estudios Sociales</t>
        </is>
      </c>
      <c r="D333" s="253" t="n">
        <v>8.25</v>
      </c>
      <c r="E333" s="253" t="n">
        <v>8.44</v>
      </c>
      <c r="F333" s="253" t="n">
        <v>0.19</v>
      </c>
      <c r="G333" s="253" t="inlineStr">
        <is>
          <t>ERROR</t>
        </is>
      </c>
    </row>
    <row r="334" ht="20" customHeight="1" s="226">
      <c r="A334" s="253" t="inlineStr">
        <is>
          <t>10BV</t>
        </is>
      </c>
      <c r="B334" s="253" t="inlineStr">
        <is>
          <t>MOROCHO URGILES BRIANA ANELY</t>
        </is>
      </c>
      <c r="C334" s="253" t="inlineStr">
        <is>
          <t>Promedio Final / P. General</t>
        </is>
      </c>
      <c r="D334" s="253" t="n">
        <v>7.41</v>
      </c>
      <c r="E334" s="253" t="n">
        <v>7.44</v>
      </c>
      <c r="F334" s="253" t="n">
        <v>0.03</v>
      </c>
      <c r="G334" s="253" t="inlineStr">
        <is>
          <t>ERROR</t>
        </is>
      </c>
    </row>
    <row r="335" ht="20" customHeight="1" s="226">
      <c r="A335" s="254" t="inlineStr">
        <is>
          <t>10BV</t>
        </is>
      </c>
      <c r="B335" s="254" t="inlineStr">
        <is>
          <t>NACIPUCHA LEMA DANNY ANDRES</t>
        </is>
      </c>
      <c r="C335" s="254" t="inlineStr">
        <is>
          <t>(NÓMINA)</t>
        </is>
      </c>
      <c r="D335" s="254" t="inlineStr">
        <is>
          <t>-</t>
        </is>
      </c>
      <c r="E335" s="254" t="inlineStr">
        <is>
          <t>-</t>
        </is>
      </c>
      <c r="F335" s="254" t="inlineStr">
        <is>
          <t>-</t>
        </is>
      </c>
      <c r="G335" s="254" t="inlineStr">
        <is>
          <t>DESFASE DE NÓMINA</t>
        </is>
      </c>
    </row>
    <row r="336" ht="20" customHeight="1" s="226">
      <c r="A336" s="254" t="inlineStr">
        <is>
          <t>10BV</t>
        </is>
      </c>
      <c r="B336" s="254" t="inlineStr">
        <is>
          <t>NAULA QUIZHPE ALAN JOSUE</t>
        </is>
      </c>
      <c r="C336" s="254" t="inlineStr">
        <is>
          <t>(NÓMINA)</t>
        </is>
      </c>
      <c r="D336" s="254" t="inlineStr">
        <is>
          <t>-</t>
        </is>
      </c>
      <c r="E336" s="254" t="inlineStr">
        <is>
          <t>-</t>
        </is>
      </c>
      <c r="F336" s="254" t="inlineStr">
        <is>
          <t>-</t>
        </is>
      </c>
      <c r="G336" s="254" t="inlineStr">
        <is>
          <t>DESFASE DE NÓMINA</t>
        </is>
      </c>
    </row>
    <row r="337" ht="20" customHeight="1" s="226">
      <c r="A337" s="253" t="inlineStr">
        <is>
          <t>10BV</t>
        </is>
      </c>
      <c r="B337" s="253" t="inlineStr">
        <is>
          <t>NAULA QUIZHPE ALAN JOSUE</t>
        </is>
      </c>
      <c r="C337" s="253" t="inlineStr">
        <is>
          <t>Estudios Sociales</t>
        </is>
      </c>
      <c r="D337" s="253" t="n">
        <v>9.73</v>
      </c>
      <c r="E337" s="253" t="n">
        <v>9.92</v>
      </c>
      <c r="F337" s="253" t="n">
        <v>0.19</v>
      </c>
      <c r="G337" s="253" t="inlineStr">
        <is>
          <t>ERROR</t>
        </is>
      </c>
    </row>
    <row r="338" ht="20" customHeight="1" s="226">
      <c r="A338" s="253" t="inlineStr">
        <is>
          <t>10BV</t>
        </is>
      </c>
      <c r="B338" s="253" t="inlineStr">
        <is>
          <t>NAULA QUIZHPE ALAN JOSUE</t>
        </is>
      </c>
      <c r="C338" s="253" t="inlineStr">
        <is>
          <t>Promedio Final / P. General</t>
        </is>
      </c>
      <c r="D338" s="253" t="n">
        <v>9.57</v>
      </c>
      <c r="E338" s="253" t="n">
        <v>9.6</v>
      </c>
      <c r="F338" s="253" t="n">
        <v>0.03</v>
      </c>
      <c r="G338" s="253" t="inlineStr">
        <is>
          <t>ERROR</t>
        </is>
      </c>
    </row>
    <row r="339" ht="20" customHeight="1" s="226">
      <c r="A339" s="254" t="inlineStr">
        <is>
          <t>10BV</t>
        </is>
      </c>
      <c r="B339" s="254" t="inlineStr">
        <is>
          <t>NIVELO ORTIZ AMANDA VICTORIA</t>
        </is>
      </c>
      <c r="C339" s="254" t="inlineStr">
        <is>
          <t>(NÓMINA)</t>
        </is>
      </c>
      <c r="D339" s="254" t="inlineStr">
        <is>
          <t>-</t>
        </is>
      </c>
      <c r="E339" s="254" t="inlineStr">
        <is>
          <t>-</t>
        </is>
      </c>
      <c r="F339" s="254" t="inlineStr">
        <is>
          <t>-</t>
        </is>
      </c>
      <c r="G339" s="254" t="inlineStr">
        <is>
          <t>DESFASE DE NÓMINA</t>
        </is>
      </c>
    </row>
    <row r="340" ht="20" customHeight="1" s="226">
      <c r="A340" s="253" t="inlineStr">
        <is>
          <t>10BV</t>
        </is>
      </c>
      <c r="B340" s="253" t="inlineStr">
        <is>
          <t>NIVELO ORTIZ AMANDA VICTORIA</t>
        </is>
      </c>
      <c r="C340" s="253" t="inlineStr">
        <is>
          <t>Estudios Sociales</t>
        </is>
      </c>
      <c r="D340" s="253" t="n">
        <v>9.140000000000001</v>
      </c>
      <c r="E340" s="253" t="n">
        <v>9.66</v>
      </c>
      <c r="F340" s="253" t="n">
        <v>0.52</v>
      </c>
      <c r="G340" s="253" t="inlineStr">
        <is>
          <t>ERROR</t>
        </is>
      </c>
    </row>
    <row r="341" ht="20" customHeight="1" s="226">
      <c r="A341" s="253" t="inlineStr">
        <is>
          <t>10BV</t>
        </is>
      </c>
      <c r="B341" s="253" t="inlineStr">
        <is>
          <t>NIVELO ORTIZ AMANDA VICTORIA</t>
        </is>
      </c>
      <c r="C341" s="253" t="inlineStr">
        <is>
          <t>Promedio Final / P. General</t>
        </is>
      </c>
      <c r="D341" s="253" t="n">
        <v>9.5</v>
      </c>
      <c r="E341" s="253" t="n">
        <v>9.57</v>
      </c>
      <c r="F341" s="253" t="n">
        <v>0.07000000000000001</v>
      </c>
      <c r="G341" s="253" t="inlineStr">
        <is>
          <t>ERROR</t>
        </is>
      </c>
    </row>
    <row r="342" ht="20" customHeight="1" s="226">
      <c r="A342" s="254" t="inlineStr">
        <is>
          <t>10BV</t>
        </is>
      </c>
      <c r="B342" s="254" t="inlineStr">
        <is>
          <t>PACHAR PIZARRO JESSICA ESTEFANIA</t>
        </is>
      </c>
      <c r="C342" s="254" t="inlineStr">
        <is>
          <t>(NÓMINA)</t>
        </is>
      </c>
      <c r="D342" s="254" t="inlineStr">
        <is>
          <t>-</t>
        </is>
      </c>
      <c r="E342" s="254" t="inlineStr">
        <is>
          <t>-</t>
        </is>
      </c>
      <c r="F342" s="254" t="inlineStr">
        <is>
          <t>-</t>
        </is>
      </c>
      <c r="G342" s="254" t="inlineStr">
        <is>
          <t>DESFASE DE NÓMINA</t>
        </is>
      </c>
    </row>
    <row r="343" ht="20" customHeight="1" s="226">
      <c r="A343" s="253" t="inlineStr">
        <is>
          <t>10BV</t>
        </is>
      </c>
      <c r="B343" s="253" t="inlineStr">
        <is>
          <t>PACHAR PIZARRO JESSICA ESTEFANIA</t>
        </is>
      </c>
      <c r="C343" s="253" t="inlineStr">
        <is>
          <t>Estudios Sociales</t>
        </is>
      </c>
      <c r="D343" s="253" t="n">
        <v>9.380000000000001</v>
      </c>
      <c r="E343" s="253" t="n">
        <v>9.51</v>
      </c>
      <c r="F343" s="253" t="n">
        <v>0.13</v>
      </c>
      <c r="G343" s="253" t="inlineStr">
        <is>
          <t>ERROR</t>
        </is>
      </c>
    </row>
    <row r="344" ht="20" customHeight="1" s="226">
      <c r="A344" s="253" t="inlineStr">
        <is>
          <t>10BV</t>
        </is>
      </c>
      <c r="B344" s="253" t="inlineStr">
        <is>
          <t>PACHAR PIZARRO JESSICA ESTEFANIA</t>
        </is>
      </c>
      <c r="C344" s="253" t="inlineStr">
        <is>
          <t>Educación Cultural y Artística</t>
        </is>
      </c>
      <c r="D344" s="253" t="n">
        <v>9.779999999999999</v>
      </c>
      <c r="E344" s="253" t="n">
        <v>9.41</v>
      </c>
      <c r="F344" s="253" t="n">
        <v>0.37</v>
      </c>
      <c r="G344" s="253" t="inlineStr">
        <is>
          <t>ERROR</t>
        </is>
      </c>
    </row>
    <row r="345" ht="20" customHeight="1" s="226">
      <c r="A345" s="253" t="inlineStr">
        <is>
          <t>10BV</t>
        </is>
      </c>
      <c r="B345" s="253" t="inlineStr">
        <is>
          <t>PACHAR PIZARRO JESSICA ESTEFANIA</t>
        </is>
      </c>
      <c r="C345" s="253" t="inlineStr">
        <is>
          <t>Promedio Final / P. General</t>
        </is>
      </c>
      <c r="D345" s="253" t="n">
        <v>9.039999999999999</v>
      </c>
      <c r="E345" s="253" t="n">
        <v>9.01</v>
      </c>
      <c r="F345" s="253" t="n">
        <v>0.03</v>
      </c>
      <c r="G345" s="253" t="inlineStr">
        <is>
          <t>ERROR</t>
        </is>
      </c>
    </row>
    <row r="346" ht="20" customHeight="1" s="226">
      <c r="A346" s="254" t="inlineStr">
        <is>
          <t>10BV</t>
        </is>
      </c>
      <c r="B346" s="254" t="inlineStr">
        <is>
          <t>PALACIOS GUTIERREZ MARIA BELEN</t>
        </is>
      </c>
      <c r="C346" s="254" t="inlineStr">
        <is>
          <t>(NÓMINA)</t>
        </is>
      </c>
      <c r="D346" s="254" t="inlineStr">
        <is>
          <t>-</t>
        </is>
      </c>
      <c r="E346" s="254" t="inlineStr">
        <is>
          <t>-</t>
        </is>
      </c>
      <c r="F346" s="254" t="inlineStr">
        <is>
          <t>-</t>
        </is>
      </c>
      <c r="G346" s="254" t="inlineStr">
        <is>
          <t>DESFASE DE NÓMINA</t>
        </is>
      </c>
    </row>
    <row r="347" ht="20" customHeight="1" s="226">
      <c r="A347" s="253" t="inlineStr">
        <is>
          <t>10BV</t>
        </is>
      </c>
      <c r="B347" s="253" t="inlineStr">
        <is>
          <t>PALACIOS GUTIERREZ MARIA BELEN</t>
        </is>
      </c>
      <c r="C347" s="253" t="inlineStr">
        <is>
          <t>Estudios Sociales</t>
        </is>
      </c>
      <c r="D347" s="253" t="n">
        <v>8.699999999999999</v>
      </c>
      <c r="E347" s="253" t="n">
        <v>8.27</v>
      </c>
      <c r="F347" s="253" t="n">
        <v>0.43</v>
      </c>
      <c r="G347" s="253" t="inlineStr">
        <is>
          <t>ERROR</t>
        </is>
      </c>
    </row>
    <row r="348" ht="20" customHeight="1" s="226">
      <c r="A348" s="253" t="inlineStr">
        <is>
          <t>10BV</t>
        </is>
      </c>
      <c r="B348" s="253" t="inlineStr">
        <is>
          <t>PALACIOS GUTIERREZ MARIA BELEN</t>
        </is>
      </c>
      <c r="C348" s="253" t="inlineStr">
        <is>
          <t>Promedio Final / P. General</t>
        </is>
      </c>
      <c r="D348" s="253" t="n">
        <v>8.32</v>
      </c>
      <c r="E348" s="253" t="n">
        <v>8.26</v>
      </c>
      <c r="F348" s="253" t="n">
        <v>0.06</v>
      </c>
      <c r="G348" s="253" t="inlineStr">
        <is>
          <t>ERROR</t>
        </is>
      </c>
    </row>
    <row r="349" ht="20" customHeight="1" s="226">
      <c r="A349" s="254" t="inlineStr">
        <is>
          <t>10BV</t>
        </is>
      </c>
      <c r="B349" s="254" t="inlineStr">
        <is>
          <t>PIZARRO IDROVO JHONATAN XAVIER</t>
        </is>
      </c>
      <c r="C349" s="254" t="inlineStr">
        <is>
          <t>(NÓMINA)</t>
        </is>
      </c>
      <c r="D349" s="254" t="inlineStr">
        <is>
          <t>-</t>
        </is>
      </c>
      <c r="E349" s="254" t="inlineStr">
        <is>
          <t>-</t>
        </is>
      </c>
      <c r="F349" s="254" t="inlineStr">
        <is>
          <t>-</t>
        </is>
      </c>
      <c r="G349" s="254" t="inlineStr">
        <is>
          <t>DESFASE DE NÓMINA</t>
        </is>
      </c>
    </row>
    <row r="350" ht="20" customHeight="1" s="226">
      <c r="A350" s="253" t="inlineStr">
        <is>
          <t>10BV</t>
        </is>
      </c>
      <c r="B350" s="253" t="inlineStr">
        <is>
          <t>PIZARRO IDROVO JHONATAN XAVIER</t>
        </is>
      </c>
      <c r="C350" s="253" t="inlineStr">
        <is>
          <t>Estudios Sociales</t>
        </is>
      </c>
      <c r="D350" s="253" t="n">
        <v>9.15</v>
      </c>
      <c r="E350" s="253" t="n">
        <v>9.92</v>
      </c>
      <c r="F350" s="253" t="n">
        <v>0.77</v>
      </c>
      <c r="G350" s="253" t="inlineStr">
        <is>
          <t>ERROR</t>
        </is>
      </c>
    </row>
    <row r="351" ht="20" customHeight="1" s="226">
      <c r="A351" s="253" t="inlineStr">
        <is>
          <t>10BV</t>
        </is>
      </c>
      <c r="B351" s="253" t="inlineStr">
        <is>
          <t>PIZARRO IDROVO JHONATAN XAVIER</t>
        </is>
      </c>
      <c r="C351" s="253" t="inlineStr">
        <is>
          <t>Promedio Final / P. General</t>
        </is>
      </c>
      <c r="D351" s="253" t="n">
        <v>8.91</v>
      </c>
      <c r="E351" s="253" t="n">
        <v>9.02</v>
      </c>
      <c r="F351" s="253" t="n">
        <v>0.11</v>
      </c>
      <c r="G351" s="253" t="inlineStr">
        <is>
          <t>ERROR</t>
        </is>
      </c>
    </row>
    <row r="352" ht="20" customHeight="1" s="226">
      <c r="A352" s="254" t="inlineStr">
        <is>
          <t>10BV</t>
        </is>
      </c>
      <c r="B352" s="254" t="inlineStr">
        <is>
          <t>PUETATE PLASENCIA PATRICIA NAYELI</t>
        </is>
      </c>
      <c r="C352" s="254" t="inlineStr">
        <is>
          <t>(NÓMINA)</t>
        </is>
      </c>
      <c r="D352" s="254" t="inlineStr">
        <is>
          <t>-</t>
        </is>
      </c>
      <c r="E352" s="254" t="inlineStr">
        <is>
          <t>-</t>
        </is>
      </c>
      <c r="F352" s="254" t="inlineStr">
        <is>
          <t>-</t>
        </is>
      </c>
      <c r="G352" s="254" t="inlineStr">
        <is>
          <t>DESFASE DE NÓMINA</t>
        </is>
      </c>
    </row>
    <row r="353" ht="20" customHeight="1" s="226">
      <c r="A353" s="254" t="inlineStr">
        <is>
          <t>10BV</t>
        </is>
      </c>
      <c r="B353" s="254" t="inlineStr">
        <is>
          <t>PUMA RAMON JHOSTIN ADRIAN</t>
        </is>
      </c>
      <c r="C353" s="254" t="inlineStr">
        <is>
          <t>(NÓMINA)</t>
        </is>
      </c>
      <c r="D353" s="254" t="inlineStr">
        <is>
          <t>-</t>
        </is>
      </c>
      <c r="E353" s="254" t="inlineStr">
        <is>
          <t>-</t>
        </is>
      </c>
      <c r="F353" s="254" t="inlineStr">
        <is>
          <t>-</t>
        </is>
      </c>
      <c r="G353" s="254" t="inlineStr">
        <is>
          <t>DESFASE DE NÓMINA</t>
        </is>
      </c>
    </row>
    <row r="354" ht="20" customHeight="1" s="226">
      <c r="A354" s="253" t="inlineStr">
        <is>
          <t>10BV</t>
        </is>
      </c>
      <c r="B354" s="253" t="inlineStr">
        <is>
          <t>PUMA RAMON JHOSTIN ADRIAN</t>
        </is>
      </c>
      <c r="C354" s="253" t="inlineStr">
        <is>
          <t>Estudios Sociales</t>
        </is>
      </c>
      <c r="D354" s="253" t="n">
        <v>7.86</v>
      </c>
      <c r="E354" s="253" t="n">
        <v>8.02</v>
      </c>
      <c r="F354" s="253" t="n">
        <v>0.16</v>
      </c>
      <c r="G354" s="253" t="inlineStr">
        <is>
          <t>ERROR</t>
        </is>
      </c>
    </row>
    <row r="355" ht="20" customHeight="1" s="226">
      <c r="A355" s="254" t="inlineStr">
        <is>
          <t>10BV</t>
        </is>
      </c>
      <c r="B355" s="254" t="inlineStr">
        <is>
          <t>QUIZHPI MOROCHO JOSUE MATIAS</t>
        </is>
      </c>
      <c r="C355" s="254" t="inlineStr">
        <is>
          <t>(NÓMINA)</t>
        </is>
      </c>
      <c r="D355" s="254" t="inlineStr">
        <is>
          <t>-</t>
        </is>
      </c>
      <c r="E355" s="254" t="inlineStr">
        <is>
          <t>-</t>
        </is>
      </c>
      <c r="F355" s="254" t="inlineStr">
        <is>
          <t>-</t>
        </is>
      </c>
      <c r="G355" s="254" t="inlineStr">
        <is>
          <t>DESFASE DE NÓMINA</t>
        </is>
      </c>
    </row>
    <row r="356" ht="20" customHeight="1" s="226">
      <c r="A356" s="254" t="inlineStr">
        <is>
          <t>10BV</t>
        </is>
      </c>
      <c r="B356" s="254" t="inlineStr">
        <is>
          <t>RAMIREZ JEREZ JOSKARY SARAI</t>
        </is>
      </c>
      <c r="C356" s="254" t="inlineStr">
        <is>
          <t>(NÓMINA)</t>
        </is>
      </c>
      <c r="D356" s="254" t="inlineStr">
        <is>
          <t>-</t>
        </is>
      </c>
      <c r="E356" s="254" t="inlineStr">
        <is>
          <t>-</t>
        </is>
      </c>
      <c r="F356" s="254" t="inlineStr">
        <is>
          <t>-</t>
        </is>
      </c>
      <c r="G356" s="254" t="inlineStr">
        <is>
          <t>DESFASE DE NÓMINA</t>
        </is>
      </c>
    </row>
    <row r="357" ht="20" customHeight="1" s="226">
      <c r="A357" s="254" t="inlineStr">
        <is>
          <t>10BV</t>
        </is>
      </c>
      <c r="B357" s="254" t="inlineStr">
        <is>
          <t>ROMERO RAMON KENNYN GABRIEL</t>
        </is>
      </c>
      <c r="C357" s="254" t="inlineStr">
        <is>
          <t>(NÓMINA)</t>
        </is>
      </c>
      <c r="D357" s="254" t="inlineStr">
        <is>
          <t>-</t>
        </is>
      </c>
      <c r="E357" s="254" t="inlineStr">
        <is>
          <t>-</t>
        </is>
      </c>
      <c r="F357" s="254" t="inlineStr">
        <is>
          <t>-</t>
        </is>
      </c>
      <c r="G357" s="254" t="inlineStr">
        <is>
          <t>DESFASE DE NÓMINA</t>
        </is>
      </c>
    </row>
    <row r="358" ht="20" customHeight="1" s="226">
      <c r="A358" s="253" t="inlineStr">
        <is>
          <t>10BV</t>
        </is>
      </c>
      <c r="B358" s="253" t="inlineStr">
        <is>
          <t>ROMERO RAMON KENNYN GABRIEL</t>
        </is>
      </c>
      <c r="C358" s="253" t="inlineStr">
        <is>
          <t>Estudios Sociales</t>
        </is>
      </c>
      <c r="D358" s="253" t="n">
        <v>9.140000000000001</v>
      </c>
      <c r="E358" s="253" t="n">
        <v>9.07</v>
      </c>
      <c r="F358" s="253" t="n">
        <v>0.07000000000000001</v>
      </c>
      <c r="G358" s="253" t="inlineStr">
        <is>
          <t>ERROR</t>
        </is>
      </c>
    </row>
    <row r="359" ht="20" customHeight="1" s="226">
      <c r="A359" s="254" t="inlineStr">
        <is>
          <t>10BV</t>
        </is>
      </c>
      <c r="B359" s="254" t="inlineStr">
        <is>
          <t>SANTANDER SIGUENCIA DAYANA PATRICIA</t>
        </is>
      </c>
      <c r="C359" s="254" t="inlineStr">
        <is>
          <t>(NÓMINA)</t>
        </is>
      </c>
      <c r="D359" s="254" t="inlineStr">
        <is>
          <t>-</t>
        </is>
      </c>
      <c r="E359" s="254" t="inlineStr">
        <is>
          <t>-</t>
        </is>
      </c>
      <c r="F359" s="254" t="inlineStr">
        <is>
          <t>-</t>
        </is>
      </c>
      <c r="G359" s="254" t="inlineStr">
        <is>
          <t>DESFASE DE NÓMINA</t>
        </is>
      </c>
    </row>
    <row r="360" ht="20" customHeight="1" s="226">
      <c r="A360" s="253" t="inlineStr">
        <is>
          <t>10BV</t>
        </is>
      </c>
      <c r="B360" s="253" t="inlineStr">
        <is>
          <t>SANTANDER SIGUENCIA DAYANA PATRICIA</t>
        </is>
      </c>
      <c r="C360" s="253" t="inlineStr">
        <is>
          <t>Estudios Sociales</t>
        </is>
      </c>
      <c r="D360" s="253" t="n">
        <v>9.57</v>
      </c>
      <c r="E360" s="253" t="n">
        <v>9.77</v>
      </c>
      <c r="F360" s="253" t="n">
        <v>0.2</v>
      </c>
      <c r="G360" s="253" t="inlineStr">
        <is>
          <t>ERROR</t>
        </is>
      </c>
    </row>
    <row r="361" ht="20" customHeight="1" s="226">
      <c r="A361" s="253" t="inlineStr">
        <is>
          <t>10BV</t>
        </is>
      </c>
      <c r="B361" s="253" t="inlineStr">
        <is>
          <t>SANTANDER SIGUENCIA DAYANA PATRICIA</t>
        </is>
      </c>
      <c r="C361" s="253" t="inlineStr">
        <is>
          <t>Promedio Final / P. General</t>
        </is>
      </c>
      <c r="D361" s="253" t="n">
        <v>9.130000000000001</v>
      </c>
      <c r="E361" s="253" t="n">
        <v>9.16</v>
      </c>
      <c r="F361" s="253" t="n">
        <v>0.03</v>
      </c>
      <c r="G361" s="253" t="inlineStr">
        <is>
          <t>ERROR</t>
        </is>
      </c>
    </row>
    <row r="362" ht="20" customHeight="1" s="226">
      <c r="A362" s="254" t="inlineStr">
        <is>
          <t>10BV</t>
        </is>
      </c>
      <c r="B362" s="254" t="inlineStr">
        <is>
          <t>SIBRI CHIQUI ANTOLINI JAVIER</t>
        </is>
      </c>
      <c r="C362" s="254" t="inlineStr">
        <is>
          <t>(NÓMINA)</t>
        </is>
      </c>
      <c r="D362" s="254" t="inlineStr">
        <is>
          <t>-</t>
        </is>
      </c>
      <c r="E362" s="254" t="inlineStr">
        <is>
          <t>-</t>
        </is>
      </c>
      <c r="F362" s="254" t="inlineStr">
        <is>
          <t>-</t>
        </is>
      </c>
      <c r="G362" s="254" t="inlineStr">
        <is>
          <t>DESFASE DE NÓMINA</t>
        </is>
      </c>
    </row>
    <row r="363" ht="20" customHeight="1" s="226">
      <c r="A363" s="253" t="inlineStr">
        <is>
          <t>10BV</t>
        </is>
      </c>
      <c r="B363" s="253" t="inlineStr">
        <is>
          <t>SIBRI CHIQUI ANTOLINI JAVIER</t>
        </is>
      </c>
      <c r="C363" s="253" t="inlineStr">
        <is>
          <t>Estudios Sociales</t>
        </is>
      </c>
      <c r="D363" s="253" t="n">
        <v>8.449999999999999</v>
      </c>
      <c r="E363" s="253" t="n">
        <v>9.15</v>
      </c>
      <c r="F363" s="253" t="n">
        <v>0.7</v>
      </c>
      <c r="G363" s="253" t="inlineStr">
        <is>
          <t>ERROR</t>
        </is>
      </c>
    </row>
    <row r="364" ht="20" customHeight="1" s="226">
      <c r="A364" s="253" t="inlineStr">
        <is>
          <t>10BV</t>
        </is>
      </c>
      <c r="B364" s="253" t="inlineStr">
        <is>
          <t>SIBRI CHIQUI ANTOLINI JAVIER</t>
        </is>
      </c>
      <c r="C364" s="253" t="inlineStr">
        <is>
          <t>Promedio Final / P. General</t>
        </is>
      </c>
      <c r="D364" s="253" t="n">
        <v>7.93</v>
      </c>
      <c r="E364" s="253" t="n">
        <v>8.029999999999999</v>
      </c>
      <c r="F364" s="253" t="n">
        <v>0.1</v>
      </c>
      <c r="G364" s="253" t="inlineStr">
        <is>
          <t>ERROR</t>
        </is>
      </c>
    </row>
    <row r="365" ht="20" customHeight="1" s="226">
      <c r="A365" s="254" t="inlineStr">
        <is>
          <t>10BV</t>
        </is>
      </c>
      <c r="B365" s="254" t="inlineStr">
        <is>
          <t>TENESACA GUAMAN DIANA ESTEFANIA</t>
        </is>
      </c>
      <c r="C365" s="254" t="inlineStr">
        <is>
          <t>(NÓMINA)</t>
        </is>
      </c>
      <c r="D365" s="254" t="inlineStr">
        <is>
          <t>-</t>
        </is>
      </c>
      <c r="E365" s="254" t="inlineStr">
        <is>
          <t>-</t>
        </is>
      </c>
      <c r="F365" s="254" t="inlineStr">
        <is>
          <t>-</t>
        </is>
      </c>
      <c r="G365" s="254" t="inlineStr">
        <is>
          <t>DESFASE DE NÓMINA</t>
        </is>
      </c>
    </row>
    <row r="366" ht="20" customHeight="1" s="226">
      <c r="A366" s="253" t="inlineStr">
        <is>
          <t>10BV</t>
        </is>
      </c>
      <c r="B366" s="253" t="inlineStr">
        <is>
          <t>TENESACA GUAMAN DIANA ESTEFANIA</t>
        </is>
      </c>
      <c r="C366" s="253" t="inlineStr">
        <is>
          <t>Estudios Sociales</t>
        </is>
      </c>
      <c r="D366" s="253" t="n">
        <v>7.93</v>
      </c>
      <c r="E366" s="253" t="n">
        <v>8.16</v>
      </c>
      <c r="F366" s="253" t="n">
        <v>0.23</v>
      </c>
      <c r="G366" s="253" t="inlineStr">
        <is>
          <t>ERROR</t>
        </is>
      </c>
    </row>
    <row r="367" ht="20" customHeight="1" s="226">
      <c r="A367" s="253" t="inlineStr">
        <is>
          <t>10BV</t>
        </is>
      </c>
      <c r="B367" s="253" t="inlineStr">
        <is>
          <t>TENESACA GUAMAN DIANA ESTEFANIA</t>
        </is>
      </c>
      <c r="C367" s="253" t="inlineStr">
        <is>
          <t>Promedio Final / P. General</t>
        </is>
      </c>
      <c r="D367" s="253" t="n">
        <v>8.130000000000001</v>
      </c>
      <c r="E367" s="253" t="n">
        <v>8.16</v>
      </c>
      <c r="F367" s="253" t="n">
        <v>0.03</v>
      </c>
      <c r="G367" s="253" t="inlineStr">
        <is>
          <t>ERROR</t>
        </is>
      </c>
    </row>
    <row r="368" ht="20" customHeight="1" s="226">
      <c r="A368" s="254" t="inlineStr">
        <is>
          <t>10BV</t>
        </is>
      </c>
      <c r="B368" s="254" t="inlineStr">
        <is>
          <t>VASQUEZ ASMAL ANGEL RAFAEL</t>
        </is>
      </c>
      <c r="C368" s="254" t="inlineStr">
        <is>
          <t>(NÓMINA)</t>
        </is>
      </c>
      <c r="D368" s="254" t="inlineStr">
        <is>
          <t>-</t>
        </is>
      </c>
      <c r="E368" s="254" t="inlineStr">
        <is>
          <t>-</t>
        </is>
      </c>
      <c r="F368" s="254" t="inlineStr">
        <is>
          <t>-</t>
        </is>
      </c>
      <c r="G368" s="254" t="inlineStr">
        <is>
          <t>DESFASE DE NÓMINA</t>
        </is>
      </c>
    </row>
    <row r="369" ht="20" customHeight="1" s="226">
      <c r="A369" s="254" t="inlineStr">
        <is>
          <t>10BV</t>
        </is>
      </c>
      <c r="B369" s="254" t="inlineStr">
        <is>
          <t>VASQUEZ MATUTE JOHN JAIRO</t>
        </is>
      </c>
      <c r="C369" s="254" t="inlineStr">
        <is>
          <t>(NÓMINA)</t>
        </is>
      </c>
      <c r="D369" s="254" t="inlineStr">
        <is>
          <t>-</t>
        </is>
      </c>
      <c r="E369" s="254" t="inlineStr">
        <is>
          <t>-</t>
        </is>
      </c>
      <c r="F369" s="254" t="inlineStr">
        <is>
          <t>-</t>
        </is>
      </c>
      <c r="G369" s="254" t="inlineStr">
        <is>
          <t>DESFASE DE NÓMINA</t>
        </is>
      </c>
    </row>
    <row r="370" ht="20" customHeight="1" s="226">
      <c r="A370" s="253" t="inlineStr">
        <is>
          <t>10BV</t>
        </is>
      </c>
      <c r="B370" s="253" t="inlineStr">
        <is>
          <t>VASQUEZ MATUTE JOHN JAIRO</t>
        </is>
      </c>
      <c r="C370" s="253" t="inlineStr">
        <is>
          <t>Estudios Sociales</t>
        </is>
      </c>
      <c r="D370" s="253" t="n">
        <v>9.109999999999999</v>
      </c>
      <c r="E370" s="253" t="n">
        <v>8.92</v>
      </c>
      <c r="F370" s="253" t="n">
        <v>0.19</v>
      </c>
      <c r="G370" s="253" t="inlineStr">
        <is>
          <t>ERROR</t>
        </is>
      </c>
    </row>
    <row r="371" ht="20" customHeight="1" s="226">
      <c r="A371" s="253" t="inlineStr">
        <is>
          <t>10BV</t>
        </is>
      </c>
      <c r="B371" s="253" t="inlineStr">
        <is>
          <t>VASQUEZ MATUTE JOHN JAIRO</t>
        </is>
      </c>
      <c r="C371" s="253" t="inlineStr">
        <is>
          <t>Promedio Final / P. General</t>
        </is>
      </c>
      <c r="D371" s="253" t="n">
        <v>8.25</v>
      </c>
      <c r="E371" s="253" t="n">
        <v>8.220000000000001</v>
      </c>
      <c r="F371" s="253" t="n">
        <v>0.03</v>
      </c>
      <c r="G371" s="253" t="inlineStr">
        <is>
          <t>ERROR</t>
        </is>
      </c>
    </row>
    <row r="372" ht="20" customHeight="1" s="226">
      <c r="A372" s="254" t="inlineStr">
        <is>
          <t>10BV</t>
        </is>
      </c>
      <c r="B372" s="254" t="inlineStr">
        <is>
          <t>VIZHÑAY CEDACERO GISSELIE ANABEL</t>
        </is>
      </c>
      <c r="C372" s="254" t="inlineStr">
        <is>
          <t>(NÓMINA)</t>
        </is>
      </c>
      <c r="D372" s="254" t="inlineStr">
        <is>
          <t>-</t>
        </is>
      </c>
      <c r="E372" s="254" t="inlineStr">
        <is>
          <t>-</t>
        </is>
      </c>
      <c r="F372" s="254" t="inlineStr">
        <is>
          <t>-</t>
        </is>
      </c>
      <c r="G372" s="254" t="inlineStr">
        <is>
          <t>DESFASE DE NÓMINA</t>
        </is>
      </c>
    </row>
    <row r="373" ht="20" customHeight="1" s="226">
      <c r="A373" s="253" t="inlineStr">
        <is>
          <t>10BV</t>
        </is>
      </c>
      <c r="B373" s="253" t="inlineStr">
        <is>
          <t>VIZHÑAY CEDACERO GISSELIE ANABEL</t>
        </is>
      </c>
      <c r="C373" s="253" t="inlineStr">
        <is>
          <t>Estudios Sociales</t>
        </is>
      </c>
      <c r="D373" s="253" t="n">
        <v>8.16</v>
      </c>
      <c r="E373" s="253" t="n">
        <v>8.44</v>
      </c>
      <c r="F373" s="253" t="n">
        <v>0.28</v>
      </c>
      <c r="G373" s="253" t="inlineStr">
        <is>
          <t>ERROR</t>
        </is>
      </c>
    </row>
    <row r="374" ht="20" customHeight="1" s="226">
      <c r="A374" s="253" t="inlineStr">
        <is>
          <t>10BV</t>
        </is>
      </c>
      <c r="B374" s="253" t="inlineStr">
        <is>
          <t>VIZHÑAY CEDACERO GISSELIE ANABEL</t>
        </is>
      </c>
      <c r="C374" s="253" t="inlineStr">
        <is>
          <t>Promedio Final / P. General</t>
        </is>
      </c>
      <c r="D374" s="253" t="n">
        <v>8.25</v>
      </c>
      <c r="E374" s="253" t="n">
        <v>8.289999999999999</v>
      </c>
      <c r="F374" s="253" t="n">
        <v>0.04</v>
      </c>
      <c r="G374" s="253" t="inlineStr">
        <is>
          <t>ERROR</t>
        </is>
      </c>
    </row>
    <row r="375" ht="20" customHeight="1" s="226">
      <c r="A375" s="254" t="inlineStr">
        <is>
          <t>10BV</t>
        </is>
      </c>
      <c r="B375" s="254" t="inlineStr">
        <is>
          <t>WAMPASH ATARIGUANA MICHAEL ANDERSON</t>
        </is>
      </c>
      <c r="C375" s="254" t="inlineStr">
        <is>
          <t>(NÓMINA)</t>
        </is>
      </c>
      <c r="D375" s="254" t="inlineStr">
        <is>
          <t>-</t>
        </is>
      </c>
      <c r="E375" s="254" t="inlineStr">
        <is>
          <t>-</t>
        </is>
      </c>
      <c r="F375" s="254" t="inlineStr">
        <is>
          <t>-</t>
        </is>
      </c>
      <c r="G375" s="254" t="inlineStr">
        <is>
          <t>DESFASE DE NÓMINA</t>
        </is>
      </c>
    </row>
    <row r="376" ht="20" customHeight="1" s="226">
      <c r="A376" s="253" t="inlineStr">
        <is>
          <t>10BV</t>
        </is>
      </c>
      <c r="B376" s="253" t="inlineStr">
        <is>
          <t>WAMPASH ATARIGUANA MICHAEL ANDERSON</t>
        </is>
      </c>
      <c r="C376" s="253" t="inlineStr">
        <is>
          <t>Estudios Sociales</t>
        </is>
      </c>
      <c r="D376" s="253" t="n">
        <v>8.16</v>
      </c>
      <c r="E376" s="253" t="n">
        <v>8.039999999999999</v>
      </c>
      <c r="F376" s="253" t="n">
        <v>0.12</v>
      </c>
      <c r="G376" s="253" t="inlineStr">
        <is>
          <t>ERROR</t>
        </is>
      </c>
    </row>
    <row r="377" ht="20" customHeight="1" s="226">
      <c r="A377" s="254" t="inlineStr">
        <is>
          <t>10BV</t>
        </is>
      </c>
      <c r="B377" s="254" t="inlineStr">
        <is>
          <t>ZHINDON MENDEZ KAREN SOFIA</t>
        </is>
      </c>
      <c r="C377" s="254" t="inlineStr">
        <is>
          <t>(NÓMINA)</t>
        </is>
      </c>
      <c r="D377" s="254" t="inlineStr">
        <is>
          <t>-</t>
        </is>
      </c>
      <c r="E377" s="254" t="inlineStr">
        <is>
          <t>-</t>
        </is>
      </c>
      <c r="F377" s="254" t="inlineStr">
        <is>
          <t>-</t>
        </is>
      </c>
      <c r="G377" s="254" t="inlineStr">
        <is>
          <t>DESFASE DE NÓMINA</t>
        </is>
      </c>
    </row>
    <row r="378" ht="20" customHeight="1" s="226">
      <c r="A378" s="253" t="inlineStr">
        <is>
          <t>10BV</t>
        </is>
      </c>
      <c r="B378" s="253" t="inlineStr">
        <is>
          <t>ZHINDON MENDEZ KAREN SOFIA</t>
        </is>
      </c>
      <c r="C378" s="253" t="inlineStr">
        <is>
          <t>Estudios Sociales</t>
        </is>
      </c>
      <c r="D378" s="253" t="n">
        <v>9.199999999999999</v>
      </c>
      <c r="E378" s="253" t="n">
        <v>9.279999999999999</v>
      </c>
      <c r="F378" s="253" t="n">
        <v>0.08</v>
      </c>
      <c r="G378" s="253" t="inlineStr">
        <is>
          <t>ERROR</t>
        </is>
      </c>
    </row>
    <row r="379" ht="20" customHeight="1" s="226">
      <c r="A379" s="254" t="inlineStr">
        <is>
          <t>10BV</t>
        </is>
      </c>
      <c r="B379" s="254" t="inlineStr">
        <is>
          <t>ZHININ CORAYZACA ADRIANA DAMARIS</t>
        </is>
      </c>
      <c r="C379" s="254" t="inlineStr">
        <is>
          <t>(NÓMINA)</t>
        </is>
      </c>
      <c r="D379" s="254" t="inlineStr">
        <is>
          <t>-</t>
        </is>
      </c>
      <c r="E379" s="254" t="inlineStr">
        <is>
          <t>-</t>
        </is>
      </c>
      <c r="F379" s="254" t="inlineStr">
        <is>
          <t>-</t>
        </is>
      </c>
      <c r="G379" s="254" t="inlineStr">
        <is>
          <t>DESFASE DE NÓMINA</t>
        </is>
      </c>
    </row>
    <row r="380" ht="20" customHeight="1" s="226">
      <c r="A380" s="253" t="inlineStr">
        <is>
          <t>10BV</t>
        </is>
      </c>
      <c r="B380" s="253" t="inlineStr">
        <is>
          <t>ZHININ CORAYZACA ADRIANA DAMARIS</t>
        </is>
      </c>
      <c r="C380" s="253" t="inlineStr">
        <is>
          <t>Matemática</t>
        </is>
      </c>
      <c r="D380" s="253" t="n">
        <v>7.78</v>
      </c>
      <c r="E380" s="253" t="n">
        <v>7.69</v>
      </c>
      <c r="F380" s="253" t="n">
        <v>0.09</v>
      </c>
      <c r="G380" s="253" t="inlineStr">
        <is>
          <t>ERROR</t>
        </is>
      </c>
    </row>
    <row r="381" ht="20" customHeight="1" s="226">
      <c r="A381" s="253" t="inlineStr">
        <is>
          <t>10BV</t>
        </is>
      </c>
      <c r="B381" s="253" t="inlineStr">
        <is>
          <t>ZHININ CORAYZACA ADRIANA DAMARIS</t>
        </is>
      </c>
      <c r="C381" s="253" t="inlineStr">
        <is>
          <t>Estudios Sociales</t>
        </is>
      </c>
      <c r="D381" s="253" t="n">
        <v>8.06</v>
      </c>
      <c r="E381" s="253" t="n">
        <v>7.71</v>
      </c>
      <c r="F381" s="253" t="n">
        <v>0.35</v>
      </c>
      <c r="G381" s="253" t="inlineStr">
        <is>
          <t>ERROR</t>
        </is>
      </c>
    </row>
    <row r="382" ht="20" customHeight="1" s="226">
      <c r="A382" s="253" t="inlineStr">
        <is>
          <t>10BV</t>
        </is>
      </c>
      <c r="B382" s="253" t="inlineStr">
        <is>
          <t>ZHININ CORAYZACA ADRIANA DAMARIS</t>
        </is>
      </c>
      <c r="C382" s="253" t="inlineStr">
        <is>
          <t>Promedio Final / P. General</t>
        </is>
      </c>
      <c r="D382" s="253" t="n">
        <v>8.24</v>
      </c>
      <c r="E382" s="253" t="n">
        <v>8.17</v>
      </c>
      <c r="F382" s="253" t="n">
        <v>0.07000000000000001</v>
      </c>
      <c r="G382" s="253" t="inlineStr">
        <is>
          <t>ERROR</t>
        </is>
      </c>
    </row>
    <row r="383" ht="20" customHeight="1" s="226">
      <c r="A383" s="254" t="inlineStr">
        <is>
          <t>10BV</t>
        </is>
      </c>
      <c r="B383" s="254" t="inlineStr">
        <is>
          <t>ZUMBA CAGUANA NATHALY GISELLA</t>
        </is>
      </c>
      <c r="C383" s="254" t="inlineStr">
        <is>
          <t>(NÓMINA)</t>
        </is>
      </c>
      <c r="D383" s="254" t="inlineStr">
        <is>
          <t>-</t>
        </is>
      </c>
      <c r="E383" s="254" t="inlineStr">
        <is>
          <t>-</t>
        </is>
      </c>
      <c r="F383" s="254" t="inlineStr">
        <is>
          <t>-</t>
        </is>
      </c>
      <c r="G383" s="254" t="inlineStr">
        <is>
          <t>DESFASE DE NÓMINA</t>
        </is>
      </c>
    </row>
    <row r="384" ht="20" customHeight="1" s="226">
      <c r="A384" s="253" t="inlineStr">
        <is>
          <t>10BV</t>
        </is>
      </c>
      <c r="B384" s="253" t="inlineStr">
        <is>
          <t>ZUMBA CAGUANA NATHALY GISELLA</t>
        </is>
      </c>
      <c r="C384" s="253" t="inlineStr">
        <is>
          <t>Estudios Sociales</t>
        </is>
      </c>
      <c r="D384" s="253" t="n">
        <v>9.77</v>
      </c>
      <c r="E384" s="253" t="n">
        <v>9.82</v>
      </c>
      <c r="F384" s="253" t="n">
        <v>0.05</v>
      </c>
      <c r="G384" s="253" t="inlineStr">
        <is>
          <t>ERROR</t>
        </is>
      </c>
    </row>
    <row r="385" ht="20" customHeight="1" s="226">
      <c r="A385" s="254" t="inlineStr">
        <is>
          <t>10BV</t>
        </is>
      </c>
      <c r="B385" s="254" t="inlineStr">
        <is>
          <t>ZUMBA CHABLAY ANTONY ISMAEL</t>
        </is>
      </c>
      <c r="C385" s="254" t="inlineStr">
        <is>
          <t>(NÓMINA)</t>
        </is>
      </c>
      <c r="D385" s="254" t="inlineStr">
        <is>
          <t>-</t>
        </is>
      </c>
      <c r="E385" s="254" t="inlineStr">
        <is>
          <t>-</t>
        </is>
      </c>
      <c r="F385" s="254" t="inlineStr">
        <is>
          <t>-</t>
        </is>
      </c>
      <c r="G385" s="254" t="inlineStr">
        <is>
          <t>DESFASE DE NÓMINA</t>
        </is>
      </c>
    </row>
    <row r="386" ht="20" customHeight="1" s="226">
      <c r="A386" s="253" t="inlineStr">
        <is>
          <t>10BV</t>
        </is>
      </c>
      <c r="B386" s="253" t="inlineStr">
        <is>
          <t>ZUMBA CHABLAY ANTONY ISMAEL</t>
        </is>
      </c>
      <c r="C386" s="253" t="inlineStr">
        <is>
          <t>Estudios Sociales</t>
        </is>
      </c>
      <c r="D386" s="253" t="n">
        <v>8.69</v>
      </c>
      <c r="E386" s="253" t="n">
        <v>8.73</v>
      </c>
      <c r="F386" s="253" t="n">
        <v>0.04</v>
      </c>
      <c r="G386" s="253" t="inlineStr">
        <is>
          <t>ERROR</t>
        </is>
      </c>
    </row>
    <row r="387" ht="20" customHeight="1" s="226">
      <c r="A387" s="254" t="inlineStr">
        <is>
          <t>10BV</t>
        </is>
      </c>
      <c r="B387" s="254" t="inlineStr">
        <is>
          <t>CORDERO RONQUILLO TATIANA BRIGGITTE</t>
        </is>
      </c>
      <c r="C387" s="254" t="inlineStr">
        <is>
          <t>SOLO EN SISTEMA</t>
        </is>
      </c>
      <c r="D387" s="254" t="inlineStr">
        <is>
          <t>-</t>
        </is>
      </c>
      <c r="E387" s="254" t="inlineStr">
        <is>
          <t>-</t>
        </is>
      </c>
      <c r="F387" s="254" t="inlineStr">
        <is>
          <t>-</t>
        </is>
      </c>
      <c r="G387" s="254" t="inlineStr">
        <is>
          <t>DESFASE DE NÓMINA</t>
        </is>
      </c>
    </row>
    <row r="388" ht="20" customHeight="1" s="226">
      <c r="A388" s="254" t="inlineStr">
        <is>
          <t>10BV</t>
        </is>
      </c>
      <c r="B388" s="254" t="inlineStr">
        <is>
          <t>GOMEZ VASQUEZ LUIS ANTONIO</t>
        </is>
      </c>
      <c r="C388" s="254" t="inlineStr">
        <is>
          <t>SOLO EN SISTEMA</t>
        </is>
      </c>
      <c r="D388" s="254" t="inlineStr">
        <is>
          <t>-</t>
        </is>
      </c>
      <c r="E388" s="254" t="inlineStr">
        <is>
          <t>-</t>
        </is>
      </c>
      <c r="F388" s="254" t="inlineStr">
        <is>
          <t>-</t>
        </is>
      </c>
      <c r="G388" s="254" t="inlineStr">
        <is>
          <t>DESFASE DE NÓMINA</t>
        </is>
      </c>
    </row>
    <row r="389" ht="20" customHeight="1" s="226">
      <c r="A389" s="254" t="inlineStr">
        <is>
          <t>10BV</t>
        </is>
      </c>
      <c r="B389" s="254" t="inlineStr">
        <is>
          <t>MAZA AVILA ANGELES PAULINA</t>
        </is>
      </c>
      <c r="C389" s="254" t="inlineStr">
        <is>
          <t>SOLO EN SISTEMA</t>
        </is>
      </c>
      <c r="D389" s="254" t="inlineStr">
        <is>
          <t>-</t>
        </is>
      </c>
      <c r="E389" s="254" t="inlineStr">
        <is>
          <t>-</t>
        </is>
      </c>
      <c r="F389" s="254" t="inlineStr">
        <is>
          <t>-</t>
        </is>
      </c>
      <c r="G389" s="254" t="inlineStr">
        <is>
          <t>DESFASE DE NÓMINA</t>
        </is>
      </c>
    </row>
    <row r="390" ht="20" customHeight="1" s="226">
      <c r="A390" s="254" t="inlineStr">
        <is>
          <t>10BV</t>
        </is>
      </c>
      <c r="B390" s="254" t="inlineStr">
        <is>
          <t>NIVICELA ESPINOZA LEIDY SULI</t>
        </is>
      </c>
      <c r="C390" s="254" t="inlineStr">
        <is>
          <t>SOLO EN SISTEMA</t>
        </is>
      </c>
      <c r="D390" s="254" t="inlineStr">
        <is>
          <t>-</t>
        </is>
      </c>
      <c r="E390" s="254" t="inlineStr">
        <is>
          <t>-</t>
        </is>
      </c>
      <c r="F390" s="254" t="inlineStr">
        <is>
          <t>-</t>
        </is>
      </c>
      <c r="G390" s="254" t="inlineStr">
        <is>
          <t>DESFASE DE NÓMINA</t>
        </is>
      </c>
    </row>
  </sheetData>
  <autoFilter ref="A1:G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ColWidth="14.43" defaultRowHeight="15" customHeight="1"/>
  <cols>
    <col width="4.86" customWidth="1" style="226" min="1" max="1"/>
    <col width="38" customWidth="1" style="226" min="2" max="2"/>
    <col width="6.29" customWidth="1" style="226" min="3" max="12"/>
    <col width="8.140000000000001" customWidth="1" style="226" min="13" max="13"/>
    <col width="7.57" customWidth="1" style="226" min="14" max="14"/>
    <col width="18.71" customWidth="1" style="226" min="15" max="15"/>
    <col width="10.71" customWidth="1" style="226" min="16" max="20"/>
    <col width="14" customWidth="1" style="226" min="21" max="25"/>
  </cols>
  <sheetData>
    <row r="1" ht="72.75" customHeight="1" s="226">
      <c r="A1" s="1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>DOCENTE:           Mgs. Katherine Nugra</t>
        </is>
      </c>
      <c r="C3" s="7" t="n"/>
      <c r="D3" s="7" t="n"/>
      <c r="E3" s="9" t="n"/>
      <c r="F3" s="9" t="n"/>
      <c r="G3" s="9" t="n"/>
      <c r="H3" s="10" t="inlineStr">
        <is>
          <t xml:space="preserve">JORNADA: </t>
        </is>
      </c>
      <c r="J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3" t="inlineStr">
        <is>
          <t xml:space="preserve">Octavo </t>
        </is>
      </c>
      <c r="D4" s="9" t="inlineStr">
        <is>
          <t>A</t>
        </is>
      </c>
      <c r="E4" s="9" t="n"/>
      <c r="F4" s="9" t="n"/>
      <c r="G4" s="9" t="n"/>
      <c r="H4" s="10" t="inlineStr">
        <is>
          <t>TRIMESTRE:</t>
        </is>
      </c>
      <c r="J4" s="15" t="inlineStr">
        <is>
          <t>PRIMERO, SEGUNDO, TERCERO</t>
        </is>
      </c>
      <c r="L4" s="9" t="n"/>
    </row>
    <row r="5" ht="6" customHeight="1" s="226">
      <c r="B5" s="16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T5" s="17" t="n"/>
    </row>
    <row r="6" ht="157.5" customHeight="1" s="226">
      <c r="A6" s="19" t="inlineStr">
        <is>
          <t>No</t>
        </is>
      </c>
      <c r="B6" s="20" t="inlineStr">
        <is>
          <t>NOMINA</t>
        </is>
      </c>
      <c r="C6" s="23" t="inlineStr">
        <is>
          <t>LENGUA Y LITERATURA</t>
        </is>
      </c>
      <c r="D6" s="25" t="inlineStr">
        <is>
          <t>MATEMÁTICA</t>
        </is>
      </c>
      <c r="E6" s="27" t="inlineStr">
        <is>
          <t>CIENCIAS NATURALES</t>
        </is>
      </c>
      <c r="F6" s="29" t="inlineStr">
        <is>
          <t>ESTUDIOS SOCIALES</t>
        </is>
      </c>
      <c r="G6" s="31" t="inlineStr">
        <is>
          <t>INGLÉS</t>
        </is>
      </c>
      <c r="H6" s="32" t="inlineStr">
        <is>
          <t xml:space="preserve">EDUCACIÓN CULTURAL Y ARTISTICA </t>
        </is>
      </c>
      <c r="I6" s="34" t="inlineStr">
        <is>
          <t>EDUCACIÓN FÍSICA</t>
        </is>
      </c>
      <c r="J6" s="36" t="inlineStr">
        <is>
          <t>ANIMACION A LA LECTURA</t>
        </is>
      </c>
      <c r="K6" s="38" t="inlineStr">
        <is>
          <t>ACOMPAÑAMIENTO INTEGRAL EN EL AULA</t>
        </is>
      </c>
      <c r="L6" s="28" t="inlineStr">
        <is>
          <t>ORIENTACIÓN VOCACIONAL</t>
        </is>
      </c>
      <c r="M6" s="40" t="inlineStr">
        <is>
          <t>PROMEDIO FINAL</t>
        </is>
      </c>
      <c r="N6" s="42" t="inlineStr">
        <is>
          <t>CCOMPORTAMIENTO</t>
        </is>
      </c>
      <c r="O6" s="44" t="inlineStr">
        <is>
          <t>OBSERVACIONES</t>
        </is>
      </c>
      <c r="T6" s="15" t="inlineStr">
        <is>
          <t>-</t>
        </is>
      </c>
    </row>
    <row r="7" ht="14.25" customHeight="1" s="226">
      <c r="A7" s="47" t="n">
        <v>1</v>
      </c>
      <c r="B7" s="49" t="inlineStr">
        <is>
          <t>ALOMIA PRADO DOMINICK DARNEL</t>
        </is>
      </c>
      <c r="C7" s="52" t="n">
        <v>7.03</v>
      </c>
      <c r="D7" s="55" t="n">
        <v>7</v>
      </c>
      <c r="E7" s="57" t="n">
        <v>7</v>
      </c>
      <c r="F7" s="60" t="n">
        <v>7.48</v>
      </c>
      <c r="G7" s="63" t="n">
        <v>7</v>
      </c>
      <c r="H7" s="65" t="n">
        <v>8.23</v>
      </c>
      <c r="I7" s="67" t="n">
        <v>7.57</v>
      </c>
      <c r="J7" s="69" t="inlineStr">
        <is>
          <t>B+</t>
        </is>
      </c>
      <c r="K7" s="72" t="inlineStr">
        <is>
          <t>A-</t>
        </is>
      </c>
      <c r="L7" s="75" t="inlineStr">
        <is>
          <t>B+</t>
        </is>
      </c>
      <c r="M7" s="84">
        <f>TRUNC(AVERAGE(C7:I7),2)</f>
        <v/>
      </c>
      <c r="N7" s="86" t="inlineStr">
        <is>
          <t>S</t>
        </is>
      </c>
      <c r="O7" s="87" t="inlineStr">
        <is>
          <t>PROMOVIDO</t>
        </is>
      </c>
      <c r="P7" s="92">
        <f>max(M7:M43)</f>
        <v/>
      </c>
      <c r="Q7" s="94" t="inlineStr">
        <is>
          <t>ARIAS MARIBEL</t>
        </is>
      </c>
    </row>
    <row r="8" ht="15" customHeight="1" s="226">
      <c r="A8" s="47" t="n">
        <v>2</v>
      </c>
      <c r="B8" s="49" t="inlineStr">
        <is>
          <t>ALTAMIRANO CARANGUI LEONARDO DAVID</t>
        </is>
      </c>
      <c r="C8" s="52" t="n">
        <v>7.33</v>
      </c>
      <c r="D8" s="96" t="n">
        <v>7</v>
      </c>
      <c r="E8" s="98" t="n">
        <v>7</v>
      </c>
      <c r="F8" s="60" t="n">
        <v>8.029999999999999</v>
      </c>
      <c r="G8" s="63" t="n">
        <v>7</v>
      </c>
      <c r="H8" s="101" t="n">
        <v>8.59</v>
      </c>
      <c r="I8" s="67" t="n">
        <v>8.16</v>
      </c>
      <c r="J8" s="69" t="inlineStr">
        <is>
          <t>B+</t>
        </is>
      </c>
      <c r="K8" s="100" t="inlineStr">
        <is>
          <t>B+</t>
        </is>
      </c>
      <c r="L8" s="75" t="inlineStr">
        <is>
          <t>B+</t>
        </is>
      </c>
      <c r="M8" s="84">
        <f>TRUNC(AVERAGE(C8:I8),2)</f>
        <v/>
      </c>
      <c r="N8" s="86" t="inlineStr">
        <is>
          <t>S</t>
        </is>
      </c>
      <c r="O8" s="87" t="inlineStr">
        <is>
          <t>PROMOVIDO</t>
        </is>
      </c>
      <c r="P8" s="94" t="n">
        <v>8.92</v>
      </c>
      <c r="Q8" s="94" t="inlineStr">
        <is>
          <t>ANGUETA JHONATAN</t>
        </is>
      </c>
    </row>
    <row r="9" ht="15" customHeight="1" s="226">
      <c r="A9" s="47" t="n">
        <v>3</v>
      </c>
      <c r="B9" s="49" t="inlineStr">
        <is>
          <t>ANGUETA LOZADO JONATHAN ALEXIS</t>
        </is>
      </c>
      <c r="C9" s="52" t="n">
        <v>9.02</v>
      </c>
      <c r="D9" s="96" t="n">
        <v>9.029999999999999</v>
      </c>
      <c r="E9" s="104" t="n">
        <v>8.77</v>
      </c>
      <c r="F9" s="60" t="n">
        <v>8.630000000000001</v>
      </c>
      <c r="G9" s="105" t="n">
        <v>8.890000000000001</v>
      </c>
      <c r="H9" s="101" t="n">
        <v>8.92</v>
      </c>
      <c r="I9" s="67" t="n">
        <v>9.220000000000001</v>
      </c>
      <c r="J9" s="69" t="inlineStr">
        <is>
          <t>A-</t>
        </is>
      </c>
      <c r="K9" s="100" t="inlineStr">
        <is>
          <t>A+</t>
        </is>
      </c>
      <c r="L9" s="75" t="inlineStr">
        <is>
          <t>B+</t>
        </is>
      </c>
      <c r="M9" s="84">
        <f>TRUNC(AVERAGE(C9:I9),2)</f>
        <v/>
      </c>
      <c r="N9" s="86" t="inlineStr">
        <is>
          <t>S</t>
        </is>
      </c>
      <c r="O9" s="87" t="inlineStr">
        <is>
          <t>PROMOVIDO</t>
        </is>
      </c>
      <c r="P9" s="94" t="n">
        <v>8.859999999999999</v>
      </c>
      <c r="Q9" s="94" t="inlineStr">
        <is>
          <t>CAGUANA CARLA</t>
        </is>
      </c>
    </row>
    <row r="10" ht="15" customHeight="1" s="226">
      <c r="A10" s="47" t="n">
        <v>4</v>
      </c>
      <c r="B10" s="227" t="inlineStr">
        <is>
          <t>ARIAS PACHECO MARIBEL FATIMA</t>
        </is>
      </c>
      <c r="C10" s="52" t="n">
        <v>9.539999999999999</v>
      </c>
      <c r="D10" s="96" t="n">
        <v>8.92</v>
      </c>
      <c r="E10" s="110" t="n">
        <v>9.029999999999999</v>
      </c>
      <c r="F10" s="228" t="n">
        <v>8.82</v>
      </c>
      <c r="G10" s="105" t="n">
        <v>8.470000000000001</v>
      </c>
      <c r="H10" s="101" t="n">
        <v>8.619999999999999</v>
      </c>
      <c r="I10" s="67" t="n">
        <v>9.27</v>
      </c>
      <c r="J10" s="69" t="inlineStr">
        <is>
          <t>A-</t>
        </is>
      </c>
      <c r="K10" s="107" t="inlineStr">
        <is>
          <t>A+</t>
        </is>
      </c>
      <c r="L10" s="75" t="inlineStr">
        <is>
          <t>B+</t>
        </is>
      </c>
      <c r="M10" s="228">
        <f>TRUNC(AVERAGE(C10:I10),2)</f>
        <v/>
      </c>
      <c r="N10" s="86" t="inlineStr">
        <is>
          <t>S</t>
        </is>
      </c>
      <c r="O10" s="87" t="inlineStr">
        <is>
          <t>PROMOVIDO</t>
        </is>
      </c>
    </row>
    <row r="11" ht="15" customHeight="1" s="226">
      <c r="A11" s="47" t="n">
        <v>5</v>
      </c>
      <c r="B11" s="227" t="inlineStr">
        <is>
          <t>CAGUANA CHIRIBOGA CARLA NICOLLE</t>
        </is>
      </c>
      <c r="C11" s="52" t="n">
        <v>8.98</v>
      </c>
      <c r="D11" s="96" t="n">
        <v>9.07</v>
      </c>
      <c r="E11" s="104" t="inlineStr">
        <is>
          <t>8.25</t>
        </is>
      </c>
      <c r="F11" s="60" t="n">
        <v>9.369999999999999</v>
      </c>
      <c r="G11" s="105" t="n">
        <v>8.85</v>
      </c>
      <c r="H11" s="101" t="n">
        <v>8.859999999999999</v>
      </c>
      <c r="I11" s="67" t="n">
        <v>8.699999999999999</v>
      </c>
      <c r="J11" s="69" t="inlineStr">
        <is>
          <t>A-</t>
        </is>
      </c>
      <c r="K11" s="100" t="inlineStr">
        <is>
          <t>A+</t>
        </is>
      </c>
      <c r="L11" s="75" t="inlineStr">
        <is>
          <t>B+</t>
        </is>
      </c>
      <c r="M11" s="228">
        <f>TRUNC(AVERAGE(C11:I11),2)</f>
        <v/>
      </c>
      <c r="N11" s="86" t="inlineStr">
        <is>
          <t>S</t>
        </is>
      </c>
      <c r="O11" s="87" t="inlineStr">
        <is>
          <t>PROMOVIDO</t>
        </is>
      </c>
    </row>
    <row r="12" ht="15" customHeight="1" s="226">
      <c r="A12" s="47" t="n">
        <v>6</v>
      </c>
      <c r="B12" s="227" t="inlineStr">
        <is>
          <t>CAMPOVERDE VALDEZ DAYANNA BELEN</t>
        </is>
      </c>
      <c r="C12" s="52" t="n">
        <v>8.57</v>
      </c>
      <c r="D12" s="112" t="n">
        <v>8.050000000000001</v>
      </c>
      <c r="E12" s="104" t="n">
        <v>7.51</v>
      </c>
      <c r="F12" s="228" t="n">
        <v>8.640000000000001</v>
      </c>
      <c r="G12" s="105" t="n">
        <v>8.140000000000001</v>
      </c>
      <c r="H12" s="101" t="n">
        <v>8.77</v>
      </c>
      <c r="I12" s="67" t="n">
        <v>8.69</v>
      </c>
      <c r="J12" s="69" t="inlineStr">
        <is>
          <t>A-</t>
        </is>
      </c>
      <c r="K12" s="107" t="inlineStr">
        <is>
          <t>A+</t>
        </is>
      </c>
      <c r="L12" s="75" t="inlineStr">
        <is>
          <t>B+</t>
        </is>
      </c>
      <c r="M12" s="228">
        <f>TRUNC(AVERAGE(C12:I12),2)</f>
        <v/>
      </c>
      <c r="N12" s="86" t="inlineStr">
        <is>
          <t>S</t>
        </is>
      </c>
      <c r="O12" s="87" t="inlineStr">
        <is>
          <t>PROMOVIDO</t>
        </is>
      </c>
    </row>
    <row r="13" ht="15" customHeight="1" s="226">
      <c r="A13" s="47" t="n">
        <v>7</v>
      </c>
      <c r="B13" s="49" t="inlineStr">
        <is>
          <t>CORONEL CARRASCO BAYOLET BELEN</t>
        </is>
      </c>
      <c r="C13" s="52" t="n">
        <v>7.85</v>
      </c>
      <c r="D13" s="96" t="n">
        <v>7.51</v>
      </c>
      <c r="E13" s="104" t="n">
        <v>7.39</v>
      </c>
      <c r="F13" s="60" t="n">
        <v>8.199999999999999</v>
      </c>
      <c r="G13" s="105" t="n">
        <v>7.61</v>
      </c>
      <c r="H13" s="101" t="n">
        <v>8.539999999999999</v>
      </c>
      <c r="I13" s="67" t="n">
        <v>8.220000000000001</v>
      </c>
      <c r="J13" s="69" t="inlineStr">
        <is>
          <t>A-</t>
        </is>
      </c>
      <c r="K13" s="107" t="inlineStr">
        <is>
          <t>A+</t>
        </is>
      </c>
      <c r="L13" s="75" t="inlineStr">
        <is>
          <t>B+</t>
        </is>
      </c>
      <c r="M13" s="84">
        <f>TRUNC(AVERAGE(C13:I13),2)</f>
        <v/>
      </c>
      <c r="N13" s="86" t="inlineStr">
        <is>
          <t>S</t>
        </is>
      </c>
      <c r="O13" s="87" t="inlineStr">
        <is>
          <t>PROMOVIDO</t>
        </is>
      </c>
    </row>
    <row r="14" ht="15" customHeight="1" s="226">
      <c r="A14" s="47" t="n">
        <v>8</v>
      </c>
      <c r="B14" s="49" t="inlineStr">
        <is>
          <t>CRIOLLO LEON NAYELI NICOLE</t>
        </is>
      </c>
      <c r="C14" s="52" t="n">
        <v>7.88</v>
      </c>
      <c r="D14" s="96" t="n">
        <v>7.75</v>
      </c>
      <c r="E14" s="110" t="n">
        <v>7.45</v>
      </c>
      <c r="F14" s="60" t="n">
        <v>8.48</v>
      </c>
      <c r="G14" s="105" t="n">
        <v>8.26</v>
      </c>
      <c r="H14" s="101" t="n">
        <v>8.27</v>
      </c>
      <c r="I14" s="67" t="n">
        <v>9.029999999999999</v>
      </c>
      <c r="J14" s="69" t="inlineStr">
        <is>
          <t>A-</t>
        </is>
      </c>
      <c r="K14" s="107" t="inlineStr">
        <is>
          <t>A+</t>
        </is>
      </c>
      <c r="L14" s="75" t="inlineStr">
        <is>
          <t>B+</t>
        </is>
      </c>
      <c r="M14" s="84">
        <f>TRUNC(AVERAGE(C14:I14),2)</f>
        <v/>
      </c>
      <c r="N14" s="86" t="inlineStr">
        <is>
          <t>S</t>
        </is>
      </c>
      <c r="O14" s="87" t="inlineStr">
        <is>
          <t>PROMOVIDO</t>
        </is>
      </c>
      <c r="T14" s="15" t="n"/>
    </row>
    <row r="15" ht="15" customHeight="1" s="226">
      <c r="A15" s="47" t="n">
        <v>9</v>
      </c>
      <c r="B15" s="227" t="inlineStr">
        <is>
          <t>CUMBE JIMENEZ CAMILA PATRICIA</t>
        </is>
      </c>
      <c r="C15" s="52" t="n">
        <v>7.44</v>
      </c>
      <c r="D15" s="115" t="inlineStr">
        <is>
          <t>NP</t>
        </is>
      </c>
      <c r="E15" s="116" t="n">
        <v>6.23</v>
      </c>
      <c r="F15" s="60" t="n">
        <v>7.75</v>
      </c>
      <c r="G15" s="105" t="n">
        <v>7.37</v>
      </c>
      <c r="H15" s="101" t="n">
        <v>8.539999999999999</v>
      </c>
      <c r="I15" s="67" t="n">
        <v>7.97</v>
      </c>
      <c r="J15" s="69" t="inlineStr">
        <is>
          <t>B-</t>
        </is>
      </c>
      <c r="K15" s="107" t="inlineStr">
        <is>
          <t>A+</t>
        </is>
      </c>
      <c r="L15" s="75" t="inlineStr">
        <is>
          <t>B+</t>
        </is>
      </c>
      <c r="M15" s="228">
        <f>TRUNC(AVERAGE(C15:I15),2)</f>
        <v/>
      </c>
      <c r="N15" s="86" t="inlineStr">
        <is>
          <t>S</t>
        </is>
      </c>
      <c r="O15" s="117" t="inlineStr">
        <is>
          <t>NO PROMOVIDO</t>
        </is>
      </c>
    </row>
    <row r="16" ht="15" customHeight="1" s="226">
      <c r="A16" s="47" t="n">
        <v>10</v>
      </c>
      <c r="B16" s="227" t="inlineStr">
        <is>
          <t>ESPINOSA GUAZHA SANTIAGO EFRAIN</t>
        </is>
      </c>
      <c r="C16" s="52" t="n">
        <v>8.59</v>
      </c>
      <c r="D16" s="96" t="n">
        <v>8.800000000000001</v>
      </c>
      <c r="E16" s="104" t="n">
        <v>7.8</v>
      </c>
      <c r="F16" s="228" t="n">
        <v>8.81</v>
      </c>
      <c r="G16" s="105" t="n">
        <v>8.23</v>
      </c>
      <c r="H16" s="101" t="n">
        <v>8.720000000000001</v>
      </c>
      <c r="I16" s="67" t="n">
        <v>9.300000000000001</v>
      </c>
      <c r="J16" s="69" t="inlineStr">
        <is>
          <t>B+</t>
        </is>
      </c>
      <c r="K16" s="107" t="inlineStr">
        <is>
          <t>A+</t>
        </is>
      </c>
      <c r="L16" s="75" t="inlineStr">
        <is>
          <t>B+</t>
        </is>
      </c>
      <c r="M16" s="84">
        <f>TRUNC(AVERAGE(C16:I16),2)</f>
        <v/>
      </c>
      <c r="N16" s="86" t="inlineStr">
        <is>
          <t>S</t>
        </is>
      </c>
      <c r="O16" s="87" t="inlineStr">
        <is>
          <t>PROMOVIDO</t>
        </is>
      </c>
    </row>
    <row r="17" ht="15" customHeight="1" s="226">
      <c r="A17" s="47" t="n">
        <v>11</v>
      </c>
      <c r="B17" s="227" t="inlineStr">
        <is>
          <t>ESPINOZA POMA DOMENICA DEL CISNE</t>
        </is>
      </c>
      <c r="C17" s="52" t="n">
        <v>9.15</v>
      </c>
      <c r="D17" s="96" t="n">
        <v>8.84</v>
      </c>
      <c r="E17" s="104" t="n">
        <v>8.32</v>
      </c>
      <c r="F17" s="228" t="n">
        <v>8.76</v>
      </c>
      <c r="G17" s="105" t="n">
        <v>8.630000000000001</v>
      </c>
      <c r="H17" s="101" t="n">
        <v>8.84</v>
      </c>
      <c r="I17" s="67" t="n">
        <v>9.380000000000001</v>
      </c>
      <c r="J17" s="69" t="inlineStr">
        <is>
          <t>A-</t>
        </is>
      </c>
      <c r="K17" s="107" t="inlineStr">
        <is>
          <t>A+</t>
        </is>
      </c>
      <c r="L17" s="75" t="inlineStr">
        <is>
          <t>B+</t>
        </is>
      </c>
      <c r="M17" s="228">
        <f>TRUNC(AVERAGE(C17:I17),2)</f>
        <v/>
      </c>
      <c r="N17" s="86" t="inlineStr">
        <is>
          <t>S</t>
        </is>
      </c>
      <c r="O17" s="87" t="inlineStr">
        <is>
          <t>PROMOVIDO</t>
        </is>
      </c>
    </row>
    <row r="18" ht="15" customHeight="1" s="226">
      <c r="A18" s="47" t="n">
        <v>12</v>
      </c>
      <c r="B18" s="227" t="inlineStr">
        <is>
          <t>GUAMAN SHIRAP DASHA ABIGAIL</t>
        </is>
      </c>
      <c r="C18" s="52" t="n">
        <v>7.53</v>
      </c>
      <c r="D18" s="115" t="inlineStr">
        <is>
          <t>NP</t>
        </is>
      </c>
      <c r="E18" s="115" t="inlineStr">
        <is>
          <t>6.86</t>
        </is>
      </c>
      <c r="F18" s="228" t="n">
        <v>7.9</v>
      </c>
      <c r="G18" s="105" t="n">
        <v>7.6</v>
      </c>
      <c r="H18" s="101" t="n">
        <v>8.66</v>
      </c>
      <c r="I18" s="67" t="n">
        <v>7.56</v>
      </c>
      <c r="J18" s="69" t="inlineStr">
        <is>
          <t>B-</t>
        </is>
      </c>
      <c r="K18" s="107" t="inlineStr">
        <is>
          <t>B+</t>
        </is>
      </c>
      <c r="L18" s="75" t="inlineStr">
        <is>
          <t>B+</t>
        </is>
      </c>
      <c r="M18" s="228">
        <f>TRUNC(AVERAGE(C18:I18),2)</f>
        <v/>
      </c>
      <c r="N18" s="86" t="inlineStr">
        <is>
          <t>S</t>
        </is>
      </c>
      <c r="O18" s="117" t="inlineStr">
        <is>
          <t>NO PROMOVIDO</t>
        </is>
      </c>
    </row>
    <row r="19" ht="15" customHeight="1" s="226">
      <c r="A19" s="47" t="n">
        <v>13</v>
      </c>
      <c r="B19" s="227" t="inlineStr">
        <is>
          <t>JARAMILLO LOAIZA RUTH NOEMI</t>
        </is>
      </c>
      <c r="C19" s="52" t="n">
        <v>8.210000000000001</v>
      </c>
      <c r="D19" s="96" t="n">
        <v>7.84</v>
      </c>
      <c r="E19" s="104" t="n">
        <v>8.43</v>
      </c>
      <c r="F19" s="228" t="n">
        <v>8.56</v>
      </c>
      <c r="G19" s="105" t="n">
        <v>8.619999999999999</v>
      </c>
      <c r="H19" s="101" t="n">
        <v>8.609999999999999</v>
      </c>
      <c r="I19" s="67" t="n">
        <v>8.460000000000001</v>
      </c>
      <c r="J19" s="69" t="inlineStr">
        <is>
          <t>A-</t>
        </is>
      </c>
      <c r="K19" s="107" t="inlineStr">
        <is>
          <t>A+</t>
        </is>
      </c>
      <c r="L19" s="75" t="inlineStr">
        <is>
          <t>B+</t>
        </is>
      </c>
      <c r="M19" s="228">
        <f>TRUNC(AVERAGE(C19:I19),2)</f>
        <v/>
      </c>
      <c r="N19" s="86" t="inlineStr">
        <is>
          <t>S</t>
        </is>
      </c>
      <c r="O19" s="87" t="inlineStr">
        <is>
          <t>PROMOVIDO</t>
        </is>
      </c>
    </row>
    <row r="20" ht="15" customHeight="1" s="226">
      <c r="A20" s="47" t="n">
        <v>14</v>
      </c>
      <c r="B20" s="227" t="inlineStr">
        <is>
          <t>LLATAS MALLA KAREN JHINET</t>
        </is>
      </c>
      <c r="C20" s="52" t="n">
        <v>9</v>
      </c>
      <c r="D20" s="96" t="n">
        <v>8.43</v>
      </c>
      <c r="E20" s="104" t="n">
        <v>7.88</v>
      </c>
      <c r="F20" s="228" t="n">
        <v>7.98</v>
      </c>
      <c r="G20" s="105" t="n">
        <v>7.73</v>
      </c>
      <c r="H20" s="101" t="n">
        <v>8.550000000000001</v>
      </c>
      <c r="I20" s="67" t="n">
        <v>8.390000000000001</v>
      </c>
      <c r="J20" s="69" t="inlineStr">
        <is>
          <t>B+</t>
        </is>
      </c>
      <c r="K20" s="107" t="inlineStr">
        <is>
          <t>A-</t>
        </is>
      </c>
      <c r="L20" s="75" t="inlineStr">
        <is>
          <t>B+</t>
        </is>
      </c>
      <c r="M20" s="84">
        <f>TRUNC(AVERAGE(C20:I20),2)</f>
        <v/>
      </c>
      <c r="N20" s="86" t="inlineStr">
        <is>
          <t>S</t>
        </is>
      </c>
      <c r="O20" s="87" t="inlineStr">
        <is>
          <t>PROMOVIDO</t>
        </is>
      </c>
    </row>
    <row r="21" ht="15" customHeight="1" s="226">
      <c r="A21" s="47" t="n">
        <v>15</v>
      </c>
      <c r="B21" s="227" t="inlineStr">
        <is>
          <t>MARCA PULGARIN ANTONY MATEO</t>
        </is>
      </c>
      <c r="C21" s="52" t="n">
        <v>7.53</v>
      </c>
      <c r="D21" s="96" t="n">
        <v>7.24</v>
      </c>
      <c r="E21" s="110" t="n">
        <v>7</v>
      </c>
      <c r="F21" s="228" t="n">
        <v>8.33</v>
      </c>
      <c r="G21" s="105" t="n">
        <v>7.58</v>
      </c>
      <c r="H21" s="101" t="n">
        <v>8.74</v>
      </c>
      <c r="I21" s="67" t="n">
        <v>7.66</v>
      </c>
      <c r="J21" s="69" t="inlineStr">
        <is>
          <t>B+</t>
        </is>
      </c>
      <c r="K21" s="107" t="inlineStr">
        <is>
          <t>B+</t>
        </is>
      </c>
      <c r="L21" s="75" t="inlineStr">
        <is>
          <t>B+</t>
        </is>
      </c>
      <c r="M21" s="228">
        <f>TRUNC(AVERAGE(C21:I21),2)</f>
        <v/>
      </c>
      <c r="N21" s="86" t="inlineStr">
        <is>
          <t>S</t>
        </is>
      </c>
      <c r="O21" s="87" t="inlineStr">
        <is>
          <t>PROMOVIDO</t>
        </is>
      </c>
    </row>
    <row r="22" ht="15" customHeight="1" s="226">
      <c r="A22" s="47" t="n">
        <v>16</v>
      </c>
      <c r="B22" s="227" t="inlineStr">
        <is>
          <t>MENDEZ AVILA DAYANA LIZBETH</t>
        </is>
      </c>
      <c r="C22" s="52" t="n">
        <v>7.98</v>
      </c>
      <c r="D22" s="96" t="n">
        <v>7.66</v>
      </c>
      <c r="E22" s="110" t="n">
        <v>7.46</v>
      </c>
      <c r="F22" s="228" t="n">
        <v>8.800000000000001</v>
      </c>
      <c r="G22" s="105" t="n">
        <v>8.49</v>
      </c>
      <c r="H22" s="101" t="n">
        <v>9.029999999999999</v>
      </c>
      <c r="I22" s="67" t="n">
        <v>8.73</v>
      </c>
      <c r="J22" s="69" t="inlineStr">
        <is>
          <t>A-</t>
        </is>
      </c>
      <c r="K22" s="107" t="inlineStr">
        <is>
          <t>A-</t>
        </is>
      </c>
      <c r="L22" s="75" t="inlineStr">
        <is>
          <t>B+</t>
        </is>
      </c>
      <c r="M22" s="228">
        <f>TRUNC(AVERAGE(C22:I22),2)</f>
        <v/>
      </c>
      <c r="N22" s="86" t="inlineStr">
        <is>
          <t>S</t>
        </is>
      </c>
      <c r="O22" s="87" t="inlineStr">
        <is>
          <t>PROMOVIDO</t>
        </is>
      </c>
    </row>
    <row r="23" ht="15" customHeight="1" s="226">
      <c r="A23" s="47" t="n">
        <v>17</v>
      </c>
      <c r="B23" s="227" t="inlineStr">
        <is>
          <t>MIZHQUIRI CABRERA MIA ANALIA</t>
        </is>
      </c>
      <c r="C23" s="52" t="n">
        <v>8.710000000000001</v>
      </c>
      <c r="D23" s="96" t="n">
        <v>7.8</v>
      </c>
      <c r="E23" s="110" t="n">
        <v>7.83</v>
      </c>
      <c r="F23" s="228" t="n">
        <v>8.83</v>
      </c>
      <c r="G23" s="105" t="n">
        <v>7.55</v>
      </c>
      <c r="H23" s="101" t="n">
        <v>8.83</v>
      </c>
      <c r="I23" s="67" t="n">
        <v>8.73</v>
      </c>
      <c r="J23" s="69" t="inlineStr">
        <is>
          <t>A-</t>
        </is>
      </c>
      <c r="K23" s="107" t="inlineStr">
        <is>
          <t>B+</t>
        </is>
      </c>
      <c r="L23" s="75" t="inlineStr">
        <is>
          <t>B+</t>
        </is>
      </c>
      <c r="M23" s="84">
        <f>TRUNC(AVERAGE(C23:I23),2)</f>
        <v/>
      </c>
      <c r="N23" s="86" t="inlineStr">
        <is>
          <t>S</t>
        </is>
      </c>
      <c r="O23" s="87" t="inlineStr">
        <is>
          <t>PROMOVIDO</t>
        </is>
      </c>
    </row>
    <row r="24" ht="15" customHeight="1" s="226">
      <c r="A24" s="47" t="n">
        <v>18</v>
      </c>
      <c r="B24" s="49" t="inlineStr">
        <is>
          <t>MONTECE NARVAEZ YHULEXI PRICILA</t>
        </is>
      </c>
      <c r="C24" s="52" t="n">
        <v>7.54</v>
      </c>
      <c r="D24" s="112" t="n">
        <v>7.06</v>
      </c>
      <c r="E24" s="110" t="n">
        <v>7.11</v>
      </c>
      <c r="F24" s="60" t="n">
        <v>7.62</v>
      </c>
      <c r="G24" s="105" t="n">
        <v>7.05</v>
      </c>
      <c r="H24" s="101" t="n">
        <v>8.44</v>
      </c>
      <c r="I24" s="67" t="n">
        <v>7.54</v>
      </c>
      <c r="J24" s="69" t="inlineStr">
        <is>
          <t>B+</t>
        </is>
      </c>
      <c r="K24" s="107" t="inlineStr">
        <is>
          <t>A-</t>
        </is>
      </c>
      <c r="L24" s="75" t="inlineStr">
        <is>
          <t>B+</t>
        </is>
      </c>
      <c r="M24" s="84">
        <f>TRUNC(AVERAGE(C24:I24),2)</f>
        <v/>
      </c>
      <c r="N24" s="86" t="inlineStr">
        <is>
          <t>S</t>
        </is>
      </c>
      <c r="O24" s="87" t="inlineStr">
        <is>
          <t>PROMOVIDO</t>
        </is>
      </c>
    </row>
    <row r="25" ht="15" customHeight="1" s="226">
      <c r="A25" s="47" t="n">
        <v>19</v>
      </c>
      <c r="B25" s="49" t="inlineStr">
        <is>
          <t>MORA SIGUENZA MARTHA GUADALUPE</t>
        </is>
      </c>
      <c r="C25" s="52" t="n">
        <v>7.96</v>
      </c>
      <c r="D25" s="96" t="n">
        <v>7.45</v>
      </c>
      <c r="E25" s="110" t="n">
        <v>7.03</v>
      </c>
      <c r="F25" s="60" t="n">
        <v>7.04</v>
      </c>
      <c r="G25" s="105" t="n">
        <v>7.15</v>
      </c>
      <c r="H25" s="101" t="n">
        <v>8.279999999999999</v>
      </c>
      <c r="I25" s="67" t="n">
        <v>7.73</v>
      </c>
      <c r="J25" s="69" t="inlineStr">
        <is>
          <t>B-</t>
        </is>
      </c>
      <c r="K25" s="107" t="inlineStr">
        <is>
          <t>A-</t>
        </is>
      </c>
      <c r="L25" s="75" t="inlineStr">
        <is>
          <t>B+</t>
        </is>
      </c>
      <c r="M25" s="84">
        <f>TRUNC(AVERAGE(C25:I25),2)</f>
        <v/>
      </c>
      <c r="N25" s="86" t="inlineStr">
        <is>
          <t>S</t>
        </is>
      </c>
      <c r="O25" s="87" t="inlineStr">
        <is>
          <t>PROMOVIDO</t>
        </is>
      </c>
    </row>
    <row r="26" ht="15" customHeight="1" s="226">
      <c r="A26" s="47" t="n">
        <v>20</v>
      </c>
      <c r="B26" s="49" t="inlineStr">
        <is>
          <t>MORALES LOZANO MATEO ARIEL</t>
        </is>
      </c>
      <c r="C26" s="52" t="n">
        <v>7.7</v>
      </c>
      <c r="D26" s="96" t="n">
        <v>7.96</v>
      </c>
      <c r="E26" s="104" t="n">
        <v>7.14</v>
      </c>
      <c r="F26" s="60" t="n">
        <v>8.01</v>
      </c>
      <c r="G26" s="105" t="n">
        <v>7.66</v>
      </c>
      <c r="H26" s="101" t="n">
        <v>8.619999999999999</v>
      </c>
      <c r="I26" s="67" t="n">
        <v>8.65</v>
      </c>
      <c r="J26" s="69" t="inlineStr">
        <is>
          <t>B+</t>
        </is>
      </c>
      <c r="K26" s="107" t="inlineStr">
        <is>
          <t>A-</t>
        </is>
      </c>
      <c r="L26" s="75" t="inlineStr">
        <is>
          <t>B+</t>
        </is>
      </c>
      <c r="M26" s="84">
        <f>TRUNC(AVERAGE(C26:I26),2)</f>
        <v/>
      </c>
      <c r="N26" s="86" t="inlineStr">
        <is>
          <t>S</t>
        </is>
      </c>
      <c r="O26" s="87" t="inlineStr">
        <is>
          <t>PROMOVIDO</t>
        </is>
      </c>
    </row>
    <row r="27" ht="18" customHeight="1" s="226">
      <c r="A27" s="47" t="n">
        <v>21</v>
      </c>
      <c r="B27" s="227" t="inlineStr">
        <is>
          <t>MUÑOZ ORELLANA NUBE NICOLE</t>
        </is>
      </c>
      <c r="C27" s="52" t="n">
        <v>9.24</v>
      </c>
      <c r="D27" s="96" t="n">
        <v>9.18</v>
      </c>
      <c r="E27" s="104" t="n">
        <v>8.550000000000001</v>
      </c>
      <c r="F27" s="228" t="n">
        <v>9.02</v>
      </c>
      <c r="G27" s="105" t="n">
        <v>8.07</v>
      </c>
      <c r="H27" s="101" t="n">
        <v>8.81</v>
      </c>
      <c r="I27" s="67" t="n">
        <v>9.08</v>
      </c>
      <c r="J27" s="69" t="inlineStr">
        <is>
          <t>A-</t>
        </is>
      </c>
      <c r="K27" s="107" t="inlineStr">
        <is>
          <t>A+</t>
        </is>
      </c>
      <c r="L27" s="75" t="inlineStr">
        <is>
          <t>B+</t>
        </is>
      </c>
      <c r="M27" s="228">
        <f>TRUNC(AVERAGE(C27:I27),2)</f>
        <v/>
      </c>
      <c r="N27" s="86" t="inlineStr">
        <is>
          <t>S</t>
        </is>
      </c>
      <c r="O27" s="87" t="inlineStr">
        <is>
          <t>PROMOVIDO</t>
        </is>
      </c>
    </row>
    <row r="28" ht="15" customHeight="1" s="226">
      <c r="A28" s="47" t="n">
        <v>22</v>
      </c>
      <c r="B28" s="227" t="inlineStr">
        <is>
          <t>MUÑOZ VIÑANZACA ESCARLEN GUADALUPE</t>
        </is>
      </c>
      <c r="C28" s="52" t="n">
        <v>8.67</v>
      </c>
      <c r="D28" s="96" t="n">
        <v>8.539999999999999</v>
      </c>
      <c r="E28" s="104" t="n">
        <v>7.8</v>
      </c>
      <c r="F28" s="228" t="n">
        <v>8.199999999999999</v>
      </c>
      <c r="G28" s="105" t="n">
        <v>7.52</v>
      </c>
      <c r="H28" s="101" t="n">
        <v>8.699999999999999</v>
      </c>
      <c r="I28" s="67" t="n">
        <v>7.73</v>
      </c>
      <c r="J28" s="69" t="inlineStr">
        <is>
          <t>A-</t>
        </is>
      </c>
      <c r="K28" s="107" t="inlineStr">
        <is>
          <t>B+</t>
        </is>
      </c>
      <c r="L28" s="75" t="inlineStr">
        <is>
          <t>B+</t>
        </is>
      </c>
      <c r="M28" s="228">
        <f>TRUNC(AVERAGE(C28:I28),2)</f>
        <v/>
      </c>
      <c r="N28" s="86" t="inlineStr">
        <is>
          <t>S</t>
        </is>
      </c>
      <c r="O28" s="87" t="inlineStr">
        <is>
          <t>PROMOVIDO</t>
        </is>
      </c>
    </row>
    <row r="29" ht="18" customHeight="1" s="226">
      <c r="A29" s="47" t="n">
        <v>23</v>
      </c>
      <c r="B29" s="227" t="inlineStr">
        <is>
          <t>OCHOA CALLE CAMILA ESTHEFANIA</t>
        </is>
      </c>
      <c r="C29" s="52" t="n">
        <v>7.86</v>
      </c>
      <c r="D29" s="96" t="n">
        <v>8.130000000000001</v>
      </c>
      <c r="E29" s="110" t="n">
        <v>7.28</v>
      </c>
      <c r="F29" s="228" t="n">
        <v>8.48</v>
      </c>
      <c r="G29" s="105" t="n">
        <v>8.18</v>
      </c>
      <c r="H29" s="101" t="n">
        <v>8.99</v>
      </c>
      <c r="I29" s="67" t="n">
        <v>8.9</v>
      </c>
      <c r="J29" s="69" t="inlineStr">
        <is>
          <t>B+</t>
        </is>
      </c>
      <c r="K29" s="107" t="inlineStr">
        <is>
          <t>A-</t>
        </is>
      </c>
      <c r="L29" s="75" t="inlineStr">
        <is>
          <t>B+</t>
        </is>
      </c>
      <c r="M29" s="228">
        <f>TRUNC(AVERAGE(C29:I29),2)</f>
        <v/>
      </c>
      <c r="N29" s="86" t="inlineStr">
        <is>
          <t>S</t>
        </is>
      </c>
      <c r="O29" s="87" t="inlineStr">
        <is>
          <t>PROMOVIDO</t>
        </is>
      </c>
    </row>
    <row r="30" ht="15" customHeight="1" s="226">
      <c r="A30" s="47" t="n">
        <v>24</v>
      </c>
      <c r="B30" s="227" t="inlineStr">
        <is>
          <t>ORTIZ JIMENEZ CRISTHOFER LEONARDO</t>
        </is>
      </c>
      <c r="C30" s="52" t="n">
        <v>8.210000000000001</v>
      </c>
      <c r="D30" s="96" t="n">
        <v>8.58</v>
      </c>
      <c r="E30" s="104" t="n">
        <v>7.99</v>
      </c>
      <c r="F30" s="228" t="n">
        <v>7.94</v>
      </c>
      <c r="G30" s="105" t="n">
        <v>8.19</v>
      </c>
      <c r="H30" s="101" t="n">
        <v>8.609999999999999</v>
      </c>
      <c r="I30" s="67" t="n">
        <v>8.699999999999999</v>
      </c>
      <c r="J30" s="69" t="inlineStr">
        <is>
          <t>B+</t>
        </is>
      </c>
      <c r="K30" s="107" t="inlineStr">
        <is>
          <t>A+</t>
        </is>
      </c>
      <c r="L30" s="75" t="inlineStr">
        <is>
          <t>B+</t>
        </is>
      </c>
      <c r="M30" s="84">
        <f>TRUNC(AVERAGE(C30:I30),2)</f>
        <v/>
      </c>
      <c r="N30" s="86" t="inlineStr">
        <is>
          <t>S</t>
        </is>
      </c>
      <c r="O30" s="87" t="inlineStr">
        <is>
          <t>PROMOVIDO</t>
        </is>
      </c>
    </row>
    <row r="31" ht="15" customHeight="1" s="226">
      <c r="A31" s="47" t="n">
        <v>25</v>
      </c>
      <c r="B31" s="227" t="inlineStr">
        <is>
          <t>PANDO CARVAJAL JUAN JOSE</t>
        </is>
      </c>
      <c r="C31" s="52" t="n">
        <v>7.05</v>
      </c>
      <c r="D31" s="112" t="n">
        <v>7.37</v>
      </c>
      <c r="E31" s="110" t="n">
        <v>7.13</v>
      </c>
      <c r="F31" s="228" t="n">
        <v>7.76</v>
      </c>
      <c r="G31" s="105" t="n">
        <v>7.54</v>
      </c>
      <c r="H31" s="101" t="n">
        <v>8.970000000000001</v>
      </c>
      <c r="I31" s="67" t="n">
        <v>7.98</v>
      </c>
      <c r="J31" s="69" t="inlineStr">
        <is>
          <t>B+</t>
        </is>
      </c>
      <c r="K31" s="107" t="inlineStr">
        <is>
          <t>A-</t>
        </is>
      </c>
      <c r="L31" s="75" t="inlineStr">
        <is>
          <t>B+</t>
        </is>
      </c>
      <c r="M31" s="228">
        <f>TRUNC(AVERAGE(C31:I31),2)</f>
        <v/>
      </c>
      <c r="N31" s="86" t="inlineStr">
        <is>
          <t>S</t>
        </is>
      </c>
      <c r="O31" s="87" t="inlineStr">
        <is>
          <t>PROMOVIDO</t>
        </is>
      </c>
    </row>
    <row r="32" ht="15" customHeight="1" s="226">
      <c r="A32" s="47" t="n">
        <v>26</v>
      </c>
      <c r="B32" s="227" t="inlineStr">
        <is>
          <t>PARRA AGUILAR DEIVID ALEXANDER</t>
        </is>
      </c>
      <c r="C32" s="52" t="n">
        <v>8.09</v>
      </c>
      <c r="D32" s="96" t="n">
        <v>8.19</v>
      </c>
      <c r="E32" s="104" t="n">
        <v>8.59</v>
      </c>
      <c r="F32" s="228" t="n">
        <v>7.96</v>
      </c>
      <c r="G32" s="105" t="n">
        <v>7.69</v>
      </c>
      <c r="H32" s="101" t="n">
        <v>8.960000000000001</v>
      </c>
      <c r="I32" s="67" t="n">
        <v>8.91</v>
      </c>
      <c r="J32" s="69" t="inlineStr">
        <is>
          <t>A-</t>
        </is>
      </c>
      <c r="K32" s="107" t="inlineStr">
        <is>
          <t>B+</t>
        </is>
      </c>
      <c r="L32" s="75" t="inlineStr">
        <is>
          <t>B+</t>
        </is>
      </c>
      <c r="M32" s="228">
        <f>TRUNC(AVERAGE(C32:I32),2)</f>
        <v/>
      </c>
      <c r="N32" s="86" t="inlineStr">
        <is>
          <t>S</t>
        </is>
      </c>
      <c r="O32" s="87" t="inlineStr">
        <is>
          <t>PROMOVIDO</t>
        </is>
      </c>
    </row>
    <row r="33" ht="15" customHeight="1" s="226">
      <c r="A33" s="47" t="n">
        <v>27</v>
      </c>
      <c r="B33" s="227" t="inlineStr">
        <is>
          <t>PATIÑO MINCHALA VALENTINA GALILEA</t>
        </is>
      </c>
      <c r="C33" s="52" t="n">
        <v>9.32</v>
      </c>
      <c r="D33" s="96" t="n">
        <v>9.140000000000001</v>
      </c>
      <c r="E33" s="104" t="n">
        <v>8.56</v>
      </c>
      <c r="F33" s="228" t="n">
        <v>9.15</v>
      </c>
      <c r="G33" s="105" t="n">
        <v>8.6</v>
      </c>
      <c r="H33" s="101" t="n">
        <v>8.34</v>
      </c>
      <c r="I33" s="67" t="n">
        <v>8.83</v>
      </c>
      <c r="J33" s="69" t="inlineStr">
        <is>
          <t>A-</t>
        </is>
      </c>
      <c r="K33" s="107" t="inlineStr">
        <is>
          <t>A+</t>
        </is>
      </c>
      <c r="L33" s="75" t="inlineStr">
        <is>
          <t>B+</t>
        </is>
      </c>
      <c r="M33" s="84">
        <f>TRUNC(AVERAGE(C33:I33),2)</f>
        <v/>
      </c>
      <c r="N33" s="86" t="inlineStr">
        <is>
          <t>S</t>
        </is>
      </c>
      <c r="O33" s="87" t="inlineStr">
        <is>
          <t>PROMOVIDO</t>
        </is>
      </c>
    </row>
    <row r="34" ht="15" customHeight="1" s="226">
      <c r="A34" s="47" t="n">
        <v>28</v>
      </c>
      <c r="B34" s="227" t="inlineStr">
        <is>
          <t>QUINDE SARMIENTO BRITTANY NICOLE</t>
        </is>
      </c>
      <c r="C34" s="52" t="n">
        <v>7.54</v>
      </c>
      <c r="D34" s="112" t="n">
        <v>7</v>
      </c>
      <c r="E34" s="110" t="n">
        <v>7.1</v>
      </c>
      <c r="F34" s="228" t="n">
        <v>8.18</v>
      </c>
      <c r="G34" s="105" t="n">
        <v>7.81</v>
      </c>
      <c r="H34" s="101" t="n">
        <v>8.720000000000001</v>
      </c>
      <c r="I34" s="67" t="n">
        <v>8.470000000000001</v>
      </c>
      <c r="J34" s="69" t="inlineStr">
        <is>
          <t>B+</t>
        </is>
      </c>
      <c r="K34" s="107" t="inlineStr">
        <is>
          <t>B+</t>
        </is>
      </c>
      <c r="L34" s="75" t="inlineStr">
        <is>
          <t>B+</t>
        </is>
      </c>
      <c r="M34" s="228">
        <f>TRUNC(AVERAGE(C34:I34),2)</f>
        <v/>
      </c>
      <c r="N34" s="86" t="inlineStr">
        <is>
          <t>S</t>
        </is>
      </c>
      <c r="O34" s="87" t="inlineStr">
        <is>
          <t>PROMOVIDO</t>
        </is>
      </c>
    </row>
    <row r="35" ht="15" customHeight="1" s="226">
      <c r="A35" s="47" t="n">
        <v>29</v>
      </c>
      <c r="B35" s="227" t="inlineStr">
        <is>
          <t>ROMERO MIRANDA BIANCA MAYERLI</t>
        </is>
      </c>
      <c r="C35" s="52" t="n">
        <v>9.289999999999999</v>
      </c>
      <c r="D35" s="96" t="n">
        <v>8.5</v>
      </c>
      <c r="E35" s="110" t="n">
        <v>8.94</v>
      </c>
      <c r="F35" s="228" t="n">
        <v>8.77</v>
      </c>
      <c r="G35" s="105" t="n">
        <v>8.49</v>
      </c>
      <c r="H35" s="101" t="n">
        <v>8.69</v>
      </c>
      <c r="I35" s="67" t="n">
        <v>9.279999999999999</v>
      </c>
      <c r="J35" s="69" t="inlineStr">
        <is>
          <t>A-</t>
        </is>
      </c>
      <c r="K35" s="107" t="inlineStr">
        <is>
          <t>A+</t>
        </is>
      </c>
      <c r="L35" s="75" t="inlineStr">
        <is>
          <t>B+</t>
        </is>
      </c>
      <c r="M35" s="228">
        <f>TRUNC(AVERAGE(C35:I35),2)</f>
        <v/>
      </c>
      <c r="N35" s="86" t="inlineStr">
        <is>
          <t>S</t>
        </is>
      </c>
      <c r="O35" s="87" t="inlineStr">
        <is>
          <t>PROMOVIDO</t>
        </is>
      </c>
    </row>
    <row r="36" ht="15" customHeight="1" s="226">
      <c r="A36" s="47" t="n">
        <v>30</v>
      </c>
      <c r="B36" s="227" t="inlineStr">
        <is>
          <t>SANCHEZ URGILES KEVIN ALEXANDER</t>
        </is>
      </c>
      <c r="C36" s="52" t="n">
        <v>7.64</v>
      </c>
      <c r="D36" s="96" t="n">
        <v>7</v>
      </c>
      <c r="E36" s="104" t="n">
        <v>7</v>
      </c>
      <c r="F36" s="228" t="n">
        <v>7.49</v>
      </c>
      <c r="G36" s="105" t="n">
        <v>7</v>
      </c>
      <c r="H36" s="101" t="n">
        <v>8.34</v>
      </c>
      <c r="I36" s="67" t="n">
        <v>8.01</v>
      </c>
      <c r="J36" s="69" t="inlineStr">
        <is>
          <t>A-</t>
        </is>
      </c>
      <c r="K36" s="107" t="inlineStr">
        <is>
          <t>B+</t>
        </is>
      </c>
      <c r="L36" s="75" t="inlineStr">
        <is>
          <t>B+</t>
        </is>
      </c>
      <c r="M36" s="84">
        <f>TRUNC(AVERAGE(C36:I36),2)</f>
        <v/>
      </c>
      <c r="N36" s="86" t="inlineStr">
        <is>
          <t>S</t>
        </is>
      </c>
      <c r="O36" s="87" t="inlineStr">
        <is>
          <t>PROMOVIDO</t>
        </is>
      </c>
    </row>
    <row r="37" ht="15" customHeight="1" s="226">
      <c r="A37" s="47" t="n">
        <v>31</v>
      </c>
      <c r="B37" s="227" t="inlineStr">
        <is>
          <t>SAUCE PEREZ MICHAEL ALEXANDER</t>
        </is>
      </c>
      <c r="C37" s="52" t="n">
        <v>9.01</v>
      </c>
      <c r="D37" s="112" t="n">
        <v>8.43</v>
      </c>
      <c r="E37" s="104" t="n">
        <v>8.24</v>
      </c>
      <c r="F37" s="228" t="n">
        <v>8.140000000000001</v>
      </c>
      <c r="G37" s="105" t="n">
        <v>8.609999999999999</v>
      </c>
      <c r="H37" s="101" t="n">
        <v>8.69</v>
      </c>
      <c r="I37" s="67" t="n">
        <v>8.82</v>
      </c>
      <c r="J37" s="69" t="inlineStr">
        <is>
          <t>B+</t>
        </is>
      </c>
      <c r="K37" s="107" t="inlineStr">
        <is>
          <t>A+</t>
        </is>
      </c>
      <c r="L37" s="75" t="inlineStr">
        <is>
          <t>B+</t>
        </is>
      </c>
      <c r="M37" s="84">
        <f>TRUNC(AVERAGE(C37:I37),2)</f>
        <v/>
      </c>
      <c r="N37" s="86" t="inlineStr">
        <is>
          <t>S</t>
        </is>
      </c>
      <c r="O37" s="87" t="inlineStr">
        <is>
          <t>PROMOVIDO</t>
        </is>
      </c>
    </row>
    <row r="38" ht="15" customHeight="1" s="226">
      <c r="A38" s="47" t="n">
        <v>32</v>
      </c>
      <c r="B38" s="227" t="inlineStr">
        <is>
          <t>SIMBAÑA CABRERA NICOLE VALENTINA</t>
        </is>
      </c>
      <c r="C38" s="52" t="n">
        <v>7.54</v>
      </c>
      <c r="D38" s="112" t="n">
        <v>7.76</v>
      </c>
      <c r="E38" s="104" t="n">
        <v>7.27</v>
      </c>
      <c r="F38" s="228" t="n">
        <v>8.779999999999999</v>
      </c>
      <c r="G38" s="105" t="n">
        <v>8</v>
      </c>
      <c r="H38" s="101" t="n">
        <v>8.720000000000001</v>
      </c>
      <c r="I38" s="67" t="n">
        <v>8.82</v>
      </c>
      <c r="J38" s="69" t="inlineStr">
        <is>
          <t>B+</t>
        </is>
      </c>
      <c r="K38" s="107" t="inlineStr">
        <is>
          <t>A+</t>
        </is>
      </c>
      <c r="L38" s="75" t="inlineStr">
        <is>
          <t>B+</t>
        </is>
      </c>
      <c r="M38" s="84">
        <f>TRUNC(AVERAGE(C38:I38),2)</f>
        <v/>
      </c>
      <c r="N38" s="86" t="inlineStr">
        <is>
          <t>S</t>
        </is>
      </c>
      <c r="O38" s="87" t="inlineStr">
        <is>
          <t>PROMOVIDO</t>
        </is>
      </c>
    </row>
    <row r="39" ht="14.25" customHeight="1" s="226">
      <c r="A39" s="47" t="n">
        <v>33</v>
      </c>
      <c r="B39" s="49" t="inlineStr">
        <is>
          <t>SINCHI CRIOLLO JEREMY ANDRES</t>
        </is>
      </c>
      <c r="C39" s="52" t="n">
        <v>7.83</v>
      </c>
      <c r="D39" s="96" t="n">
        <v>7.07</v>
      </c>
      <c r="E39" s="110" t="n">
        <v>7.07</v>
      </c>
      <c r="F39" s="60" t="n">
        <v>7.29</v>
      </c>
      <c r="G39" s="105" t="n">
        <v>7.25</v>
      </c>
      <c r="H39" s="101" t="n">
        <v>8.68</v>
      </c>
      <c r="I39" s="67" t="n">
        <v>8.640000000000001</v>
      </c>
      <c r="J39" s="69" t="inlineStr">
        <is>
          <t>B+</t>
        </is>
      </c>
      <c r="K39" s="107" t="inlineStr">
        <is>
          <t>B+</t>
        </is>
      </c>
      <c r="L39" s="75" t="inlineStr">
        <is>
          <t>B+</t>
        </is>
      </c>
      <c r="M39" s="84">
        <f>TRUNC(AVERAGE(C39:I39),2)</f>
        <v/>
      </c>
      <c r="N39" s="86" t="inlineStr">
        <is>
          <t>S</t>
        </is>
      </c>
      <c r="O39" s="87" t="inlineStr">
        <is>
          <t>PROMOVIDO</t>
        </is>
      </c>
    </row>
    <row r="40" ht="14.25" customHeight="1" s="226">
      <c r="A40" s="47" t="n">
        <v>34</v>
      </c>
      <c r="B40" s="49" t="inlineStr">
        <is>
          <t>TAPIA YANZA DANIELA ALEXANDRA</t>
        </is>
      </c>
      <c r="C40" s="52" t="n">
        <v>9.27</v>
      </c>
      <c r="D40" s="96" t="n">
        <v>8.699999999999999</v>
      </c>
      <c r="E40" s="104" t="n">
        <v>9.140000000000001</v>
      </c>
      <c r="F40" s="60" t="n">
        <v>9.18</v>
      </c>
      <c r="G40" s="105" t="n">
        <v>8.75</v>
      </c>
      <c r="H40" s="101" t="n">
        <v>8.74</v>
      </c>
      <c r="I40" s="67" t="n">
        <v>9.18</v>
      </c>
      <c r="J40" s="69" t="inlineStr">
        <is>
          <t>A-</t>
        </is>
      </c>
      <c r="K40" s="107" t="inlineStr">
        <is>
          <t>A+</t>
        </is>
      </c>
      <c r="L40" s="75" t="inlineStr">
        <is>
          <t>B+</t>
        </is>
      </c>
      <c r="M40" s="84">
        <f>TRUNC(AVERAGE(C40:I40),2)</f>
        <v/>
      </c>
      <c r="N40" s="86" t="inlineStr">
        <is>
          <t>S</t>
        </is>
      </c>
      <c r="O40" s="87" t="inlineStr">
        <is>
          <t>PROMOVIDO</t>
        </is>
      </c>
    </row>
    <row r="41" ht="14.25" customHeight="1" s="226">
      <c r="A41" s="47" t="n">
        <v>35</v>
      </c>
      <c r="B41" s="49" t="inlineStr">
        <is>
          <t>TROYA CUEVA MARIO FABIAN</t>
        </is>
      </c>
      <c r="C41" s="52" t="n">
        <v>7.66</v>
      </c>
      <c r="D41" s="96" t="n">
        <v>7.66</v>
      </c>
      <c r="E41" s="104" t="n">
        <v>7.16</v>
      </c>
      <c r="F41" s="60" t="n">
        <v>8.26</v>
      </c>
      <c r="G41" s="105" t="n">
        <v>7.8</v>
      </c>
      <c r="H41" s="101" t="n">
        <v>9.06</v>
      </c>
      <c r="I41" s="67" t="n">
        <v>7.68</v>
      </c>
      <c r="J41" s="69" t="inlineStr">
        <is>
          <t>B+</t>
        </is>
      </c>
      <c r="K41" s="107" t="inlineStr">
        <is>
          <t>A-</t>
        </is>
      </c>
      <c r="L41" s="75" t="inlineStr">
        <is>
          <t>B+</t>
        </is>
      </c>
      <c r="M41" s="84">
        <f>TRUNC(AVERAGE(C41:I41),2)</f>
        <v/>
      </c>
      <c r="N41" s="86" t="inlineStr">
        <is>
          <t>S</t>
        </is>
      </c>
      <c r="O41" s="87" t="inlineStr">
        <is>
          <t>PROMOVIDO</t>
        </is>
      </c>
    </row>
    <row r="42" ht="15" customHeight="1" s="226">
      <c r="A42" s="47" t="n">
        <v>36</v>
      </c>
      <c r="B42" s="227" t="inlineStr">
        <is>
          <t>ZHINGRI AREVALO KAREN LISSBET</t>
        </is>
      </c>
      <c r="C42" s="52" t="n">
        <v>7.1</v>
      </c>
      <c r="D42" s="149" t="inlineStr">
        <is>
          <t>NP</t>
        </is>
      </c>
      <c r="E42" s="104" t="n">
        <v>7</v>
      </c>
      <c r="F42" s="60" t="n">
        <v>7.44</v>
      </c>
      <c r="G42" s="105" t="n">
        <v>7</v>
      </c>
      <c r="H42" s="101" t="n">
        <v>8.81</v>
      </c>
      <c r="I42" s="67" t="n">
        <v>8.18</v>
      </c>
      <c r="J42" s="69" t="inlineStr">
        <is>
          <t>B-</t>
        </is>
      </c>
      <c r="K42" s="107" t="inlineStr">
        <is>
          <t>A-</t>
        </is>
      </c>
      <c r="L42" s="75" t="inlineStr">
        <is>
          <t>B+</t>
        </is>
      </c>
      <c r="M42" s="228">
        <f>TRUNC(AVERAGE(C42:I42),2)</f>
        <v/>
      </c>
      <c r="N42" s="86" t="inlineStr">
        <is>
          <t>S</t>
        </is>
      </c>
      <c r="O42" s="117" t="inlineStr">
        <is>
          <t>NO PROMOVIDO</t>
        </is>
      </c>
    </row>
    <row r="43" ht="15" customHeight="1" s="226">
      <c r="A43" s="47" t="n">
        <v>37</v>
      </c>
      <c r="B43" s="49" t="inlineStr">
        <is>
          <t>ZHININ CORAYZACA ALISON VALENTINA</t>
        </is>
      </c>
      <c r="C43" s="52" t="n">
        <v>8.43</v>
      </c>
      <c r="D43" s="112" t="n">
        <v>7.77</v>
      </c>
      <c r="E43" s="104" t="n">
        <v>8.56</v>
      </c>
      <c r="F43" s="60" t="n">
        <v>7.43</v>
      </c>
      <c r="G43" s="105" t="n">
        <v>7.38</v>
      </c>
      <c r="H43" s="101" t="n">
        <v>8.56</v>
      </c>
      <c r="I43" s="67" t="n">
        <v>8.369999999999999</v>
      </c>
      <c r="J43" s="69" t="inlineStr">
        <is>
          <t>A-</t>
        </is>
      </c>
      <c r="K43" s="100" t="inlineStr">
        <is>
          <t>A+</t>
        </is>
      </c>
      <c r="L43" s="75" t="inlineStr">
        <is>
          <t>B+</t>
        </is>
      </c>
      <c r="M43" s="84">
        <f>TRUNC(AVERAGE(C43:I43),2)</f>
        <v/>
      </c>
      <c r="N43" s="86" t="inlineStr">
        <is>
          <t>S</t>
        </is>
      </c>
      <c r="O43" s="87" t="inlineStr">
        <is>
          <t>PROMOVIDO</t>
        </is>
      </c>
    </row>
    <row r="44" ht="14.25" customHeight="1" s="226">
      <c r="B44" s="13" t="inlineStr">
        <is>
          <t>Promedio</t>
        </is>
      </c>
      <c r="C44" s="150" t="n"/>
      <c r="D44" s="131">
        <f>AVERAGE(D6:D43)</f>
        <v/>
      </c>
      <c r="E44" s="153">
        <f>AVERAGE(E6:E43)</f>
        <v/>
      </c>
      <c r="F44" s="155">
        <f>AVERAGE(F6:F43)</f>
        <v/>
      </c>
      <c r="G44" s="211">
        <f>AVERAGE(G6:G43)</f>
        <v/>
      </c>
      <c r="H44" s="101" t="n">
        <v>9</v>
      </c>
      <c r="I44" s="157">
        <f>AVERAGE(I6:I43)</f>
        <v/>
      </c>
      <c r="J44" s="154" t="n"/>
      <c r="K44" s="154" t="n"/>
      <c r="L44" s="154" t="n"/>
      <c r="M44" s="83">
        <f>AVERAGE(M6:M43)</f>
        <v/>
      </c>
      <c r="N44" s="154" t="n"/>
      <c r="O44" s="15" t="n"/>
    </row>
    <row r="45" ht="14.25" customHeight="1" s="226"/>
    <row r="46" ht="14.25" customHeight="1" s="226"/>
    <row r="47" ht="14.25" customHeight="1" s="226">
      <c r="B47" s="229" t="inlineStr">
        <is>
          <t xml:space="preserve">Ing. Sonia Chicaiza Mgtr. </t>
        </is>
      </c>
      <c r="D47" s="230" t="inlineStr">
        <is>
          <t xml:space="preserve">Lcda. Lucia Uzhca Mgtr. </t>
        </is>
      </c>
      <c r="E47" s="231" t="n"/>
      <c r="F47" s="231" t="n"/>
      <c r="G47" s="232" t="n"/>
      <c r="H47" s="147" t="n"/>
      <c r="K47" s="230" t="inlineStr">
        <is>
          <t>Lic. Katherine Nugra Mgtr.</t>
        </is>
      </c>
      <c r="L47" s="231" t="n"/>
      <c r="M47" s="231" t="n"/>
      <c r="N47" s="231" t="n"/>
      <c r="O47" s="232" t="n"/>
    </row>
    <row r="48" ht="14.25" customHeight="1" s="226">
      <c r="B48" s="229" t="inlineStr">
        <is>
          <t>Rectora (e)</t>
        </is>
      </c>
      <c r="D48" s="230" t="inlineStr">
        <is>
          <t>Vicerrectora (e) Vespertina</t>
        </is>
      </c>
      <c r="E48" s="231" t="n"/>
      <c r="F48" s="231" t="n"/>
      <c r="G48" s="231" t="n"/>
      <c r="H48" s="232" t="n"/>
      <c r="K48" s="230" t="inlineStr">
        <is>
          <t>Docente Tutor</t>
        </is>
      </c>
      <c r="L48" s="231" t="n"/>
      <c r="M48" s="231" t="n"/>
      <c r="N48" s="232" t="n"/>
      <c r="O48" s="13" t="n"/>
    </row>
    <row r="49" ht="14.25" customHeight="1" s="226"/>
    <row r="50" ht="14.25" customHeight="1" s="226"/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4.25" customHeight="1" s="226"/>
    <row r="242" ht="14.25" customHeight="1" s="226"/>
    <row r="243" ht="14.25" customHeight="1" s="226"/>
    <row r="244" ht="15.75" customHeight="1" s="226"/>
    <row r="245" ht="15.7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</sheetData>
  <mergeCells count="11">
    <mergeCell ref="B47:C47"/>
    <mergeCell ref="B48:C48"/>
    <mergeCell ref="K48:N48"/>
    <mergeCell ref="J3:M3"/>
    <mergeCell ref="B2:O2"/>
    <mergeCell ref="D47:G47"/>
    <mergeCell ref="K47:O47"/>
    <mergeCell ref="A1:O1"/>
    <mergeCell ref="H4:I4"/>
    <mergeCell ref="D48:H48"/>
    <mergeCell ref="H3:I3"/>
  </mergeCells>
  <conditionalFormatting sqref="C7:I43">
    <cfRule type="containsBlanks" priority="1" dxfId="3">
      <formula>LEN(TRIM(C7))=0</formula>
    </cfRule>
  </conditionalFormatting>
  <conditionalFormatting sqref="H6">
    <cfRule type="cellIs" priority="2" operator="lessThan" dxfId="0">
      <formula>7</formula>
    </cfRule>
    <cfRule type="cellIs" priority="3" operator="lessThan" dxfId="0">
      <formula>6.29</formula>
    </cfRule>
  </conditionalFormatting>
  <conditionalFormatting sqref="M7:M43">
    <cfRule type="cellIs" priority="4" operator="lessThan" dxfId="4">
      <formula>7</formula>
    </cfRule>
  </conditionalFormatting>
  <conditionalFormatting sqref="E1:E991">
    <cfRule type="notContainsBlanks" priority="5" dxfId="5">
      <formula>LEN(TRIM(E1))&gt;0</formula>
    </cfRule>
  </conditionalFormatting>
  <dataValidations count="1">
    <dataValidation sqref="J3" showDropDown="0" showInputMessage="0" showErrorMessage="1" allowBlank="1" type="list">
      <formula1>"MATUTINA,VESPERTINA"</formula1>
    </dataValidation>
  </dataValidations>
  <pageMargins left="0.1968503937007874" right="0.1968503937007874" top="0.3937007874015748" bottom="0.3937007874015748" header="0" footer="0"/>
  <pageSetup orientation="portrait" paperSize="9" scale="7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4.86" customWidth="1" style="226" min="1" max="1"/>
    <col width="20.43" customWidth="1" style="226" min="2" max="2"/>
    <col width="21.57" customWidth="1" style="226" min="3" max="3"/>
    <col width="6.29" customWidth="1" style="226" min="4" max="4"/>
    <col width="8.140000000000001" customWidth="1" style="226" min="14" max="14"/>
    <col width="7.57" customWidth="1" style="226" min="15" max="15"/>
    <col width="18.71" customWidth="1" style="226" min="16" max="16"/>
    <col width="10.71" customWidth="1" style="226" min="17" max="17"/>
    <col width="14" customWidth="1" style="226" min="18" max="18"/>
  </cols>
  <sheetData>
    <row r="1" ht="72.75" customHeight="1" s="226">
      <c r="A1" s="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 xml:space="preserve">DOCENTE:             </t>
        </is>
      </c>
      <c r="C3" s="7" t="inlineStr">
        <is>
          <t>LIC. DORA ARGUDO</t>
        </is>
      </c>
      <c r="F3" s="9" t="n"/>
      <c r="G3" s="9" t="n"/>
      <c r="H3" s="9" t="n"/>
      <c r="I3" s="10" t="inlineStr">
        <is>
          <t xml:space="preserve">JORNADA: </t>
        </is>
      </c>
      <c r="K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4" t="inlineStr">
        <is>
          <t>OCTAVO B</t>
        </is>
      </c>
      <c r="E4" s="9" t="n"/>
      <c r="F4" s="9" t="n"/>
      <c r="G4" s="9" t="n"/>
      <c r="H4" s="9" t="n"/>
      <c r="I4" s="10" t="inlineStr">
        <is>
          <t>TRIMESTRE:</t>
        </is>
      </c>
      <c r="K4" s="15" t="inlineStr">
        <is>
          <t>PRIMERO, SEGUNDO, TERCERO</t>
        </is>
      </c>
      <c r="M4" s="9" t="n"/>
    </row>
    <row r="5" ht="6" customHeight="1" s="226">
      <c r="B5" s="16" t="n"/>
      <c r="C5" s="16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47.75" customHeight="1" s="226">
      <c r="A6" s="18" t="inlineStr">
        <is>
          <t>No</t>
        </is>
      </c>
      <c r="B6" s="20" t="inlineStr">
        <is>
          <t>NOMINA</t>
        </is>
      </c>
      <c r="C6" s="22" t="n"/>
      <c r="D6" s="23" t="inlineStr">
        <is>
          <t>LENGUA Y LITERATURA</t>
        </is>
      </c>
      <c r="E6" s="25" t="inlineStr">
        <is>
          <t>MATEMÁTICA</t>
        </is>
      </c>
      <c r="F6" s="27" t="inlineStr">
        <is>
          <t>CIENCIAS NATURALES</t>
        </is>
      </c>
      <c r="G6" s="29" t="inlineStr">
        <is>
          <t>ESTUDIOS SOCIALES</t>
        </is>
      </c>
      <c r="H6" s="31" t="inlineStr">
        <is>
          <t>INGLÉS</t>
        </is>
      </c>
      <c r="I6" s="37" t="inlineStr">
        <is>
          <t>EDUCACIÓN CULTURAL Y ARTISTICA</t>
        </is>
      </c>
      <c r="J6" s="34" t="inlineStr">
        <is>
          <t>EDUCACIÓN FÍSICA</t>
        </is>
      </c>
      <c r="K6" s="39" t="inlineStr">
        <is>
          <t>ANIMACIÓN A LA LECTURA</t>
        </is>
      </c>
      <c r="L6" s="38" t="inlineStr">
        <is>
          <t>ACOMPAÑAMIENTO INTEGRAL EN EL AULA</t>
        </is>
      </c>
      <c r="M6" s="28" t="inlineStr">
        <is>
          <t>ORIENTACIÓN VOCACIONAL</t>
        </is>
      </c>
      <c r="N6" s="43" t="inlineStr">
        <is>
          <t>PROMEDIO FINAL</t>
        </is>
      </c>
      <c r="O6" s="45" t="inlineStr">
        <is>
          <t>CCOMPORTAMIENTO</t>
        </is>
      </c>
      <c r="P6" s="46" t="inlineStr">
        <is>
          <t>OBSERVACIONES</t>
        </is>
      </c>
    </row>
    <row r="7" ht="14.25" customHeight="1" s="226">
      <c r="A7" s="48" t="n">
        <v>1</v>
      </c>
      <c r="B7" s="237" t="inlineStr">
        <is>
          <t>BERNAL JARA MATIUS NICOLAS</t>
        </is>
      </c>
      <c r="C7" s="50" t="n"/>
      <c r="D7" s="75" t="n">
        <v>9.220000000000001</v>
      </c>
      <c r="E7" s="131" t="n">
        <v>9.52</v>
      </c>
      <c r="F7" s="79" t="n">
        <v>8.199999999999999</v>
      </c>
      <c r="G7" s="238" t="n">
        <v>8.460000000000001</v>
      </c>
      <c r="H7" s="81" t="n">
        <v>8.84</v>
      </c>
      <c r="I7" s="82" t="n">
        <v>9.130000000000001</v>
      </c>
      <c r="J7" s="68" t="n">
        <v>9.58</v>
      </c>
      <c r="K7" s="70" t="inlineStr">
        <is>
          <t>A-</t>
        </is>
      </c>
      <c r="L7" s="72" t="inlineStr">
        <is>
          <t>A-</t>
        </is>
      </c>
      <c r="M7" s="75" t="inlineStr">
        <is>
          <t>A-</t>
        </is>
      </c>
      <c r="N7" s="238">
        <f>TRUNC(AVERAGE(D7:J7),2)</f>
        <v/>
      </c>
      <c r="O7" s="85" t="inlineStr">
        <is>
          <t>S</t>
        </is>
      </c>
      <c r="P7" s="93" t="inlineStr">
        <is>
          <t>PROMOVIDO</t>
        </is>
      </c>
    </row>
    <row r="8" ht="15" customHeight="1" s="226">
      <c r="A8" s="48" t="n">
        <v>2</v>
      </c>
      <c r="B8" s="237" t="inlineStr">
        <is>
          <t>BUENO GUALLPA MARÍA FERNANDA</t>
        </is>
      </c>
      <c r="C8" s="50" t="n"/>
      <c r="D8" s="95" t="n">
        <v>8.08</v>
      </c>
      <c r="E8" s="131" t="n">
        <v>8.210000000000001</v>
      </c>
      <c r="F8" s="97" t="n">
        <v>7.08</v>
      </c>
      <c r="G8" s="238" t="n">
        <v>8.890000000000001</v>
      </c>
      <c r="H8" s="81" t="n">
        <v>7.74</v>
      </c>
      <c r="I8" s="82" t="n">
        <v>8.98</v>
      </c>
      <c r="J8" s="68" t="n">
        <v>8.369999999999999</v>
      </c>
      <c r="K8" s="70" t="inlineStr">
        <is>
          <t>B+</t>
        </is>
      </c>
      <c r="L8" s="100" t="inlineStr">
        <is>
          <t>A-</t>
        </is>
      </c>
      <c r="M8" s="75" t="inlineStr">
        <is>
          <t>A-</t>
        </is>
      </c>
      <c r="N8" s="238">
        <f>TRUNC(AVERAGE(D8:J8),2)</f>
        <v/>
      </c>
      <c r="O8" s="85" t="inlineStr">
        <is>
          <t>S</t>
        </is>
      </c>
      <c r="P8" s="93" t="inlineStr">
        <is>
          <t>PROMOVIDO</t>
        </is>
      </c>
    </row>
    <row r="9" ht="15" customHeight="1" s="226">
      <c r="A9" s="48" t="n">
        <v>3</v>
      </c>
      <c r="B9" s="237" t="inlineStr">
        <is>
          <t>CALLE HEREDIA JHANDY ROBERTO</t>
        </is>
      </c>
      <c r="C9" s="50" t="n"/>
      <c r="D9" s="95" t="n">
        <v>8.199999999999999</v>
      </c>
      <c r="E9" s="131" t="n">
        <v>7.96</v>
      </c>
      <c r="F9" s="97" t="n">
        <v>7.34</v>
      </c>
      <c r="G9" s="238" t="n">
        <v>8.41</v>
      </c>
      <c r="H9" s="81" t="n">
        <v>7.72</v>
      </c>
      <c r="I9" s="82" t="n">
        <v>9.16</v>
      </c>
      <c r="J9" s="103" t="n">
        <v>9.06</v>
      </c>
      <c r="K9" s="70" t="inlineStr">
        <is>
          <t>A-</t>
        </is>
      </c>
      <c r="L9" s="100" t="inlineStr">
        <is>
          <t>A+</t>
        </is>
      </c>
      <c r="M9" s="75" t="inlineStr">
        <is>
          <t>A-</t>
        </is>
      </c>
      <c r="N9" s="238">
        <f>TRUNC(AVERAGE(D9:J9),2)</f>
        <v/>
      </c>
      <c r="O9" s="85" t="inlineStr">
        <is>
          <t>S</t>
        </is>
      </c>
      <c r="P9" s="93" t="inlineStr">
        <is>
          <t>PROMOVIDO</t>
        </is>
      </c>
      <c r="Q9" s="94" t="inlineStr">
        <is>
          <t>MEJOR PUNTUADOS</t>
        </is>
      </c>
    </row>
    <row r="10" ht="15" customHeight="1" s="226">
      <c r="A10" s="48" t="n">
        <v>4</v>
      </c>
      <c r="B10" s="237" t="inlineStr">
        <is>
          <t>CAMPOS PANDO FRANCISCO ANDRES</t>
        </is>
      </c>
      <c r="C10" s="50" t="n"/>
      <c r="D10" s="95" t="n">
        <v>9.699999999999999</v>
      </c>
      <c r="E10" s="131" t="n">
        <v>9.970000000000001</v>
      </c>
      <c r="F10" s="106" t="n">
        <v>9.869999999999999</v>
      </c>
      <c r="G10" s="238" t="n">
        <v>10</v>
      </c>
      <c r="H10" s="81" t="n">
        <v>9.9</v>
      </c>
      <c r="I10" s="108" t="n">
        <v>9.52</v>
      </c>
      <c r="J10" s="68" t="n">
        <v>10</v>
      </c>
      <c r="K10" s="70" t="inlineStr">
        <is>
          <t>A+</t>
        </is>
      </c>
      <c r="L10" s="107" t="inlineStr">
        <is>
          <t>A+</t>
        </is>
      </c>
      <c r="M10" s="75" t="inlineStr">
        <is>
          <t>A-</t>
        </is>
      </c>
      <c r="N10" s="83">
        <f>TRUNC(AVERAGE(D10:J10),2)</f>
        <v/>
      </c>
      <c r="O10" s="85" t="inlineStr">
        <is>
          <t>S</t>
        </is>
      </c>
      <c r="P10" s="93" t="inlineStr">
        <is>
          <t>PROMOVIDO</t>
        </is>
      </c>
    </row>
    <row r="11" ht="15" customHeight="1" s="226">
      <c r="A11" s="48" t="n">
        <v>5</v>
      </c>
      <c r="B11" s="237" t="inlineStr">
        <is>
          <t>CANDELARIO CARRERA JONATHAN JOSUE</t>
        </is>
      </c>
      <c r="C11" s="50" t="n"/>
      <c r="D11" s="95" t="n">
        <v>9.06</v>
      </c>
      <c r="E11" s="131" t="n">
        <v>8.58</v>
      </c>
      <c r="F11" s="106" t="n">
        <v>8.67</v>
      </c>
      <c r="G11" s="238" t="n">
        <v>8.609999999999999</v>
      </c>
      <c r="H11" s="81" t="n">
        <v>8.75</v>
      </c>
      <c r="I11" s="111" t="n">
        <v>8.69</v>
      </c>
      <c r="J11" s="68" t="n">
        <v>9.19</v>
      </c>
      <c r="K11" s="70" t="inlineStr">
        <is>
          <t>A+</t>
        </is>
      </c>
      <c r="L11" s="100" t="inlineStr">
        <is>
          <t>A+</t>
        </is>
      </c>
      <c r="M11" s="75" t="inlineStr">
        <is>
          <t>A-</t>
        </is>
      </c>
      <c r="N11" s="238">
        <f>TRUNC(AVERAGE(D11:J11),2)</f>
        <v/>
      </c>
      <c r="O11" s="85" t="inlineStr">
        <is>
          <t>S</t>
        </is>
      </c>
      <c r="P11" s="93" t="inlineStr">
        <is>
          <t>PROMOVIDO</t>
        </is>
      </c>
      <c r="Q11" s="94" t="inlineStr">
        <is>
          <t>Campos Francisco 9,84</t>
        </is>
      </c>
    </row>
    <row r="12" ht="15" customHeight="1" s="226">
      <c r="A12" s="48" t="n">
        <v>6</v>
      </c>
      <c r="B12" s="237" t="inlineStr">
        <is>
          <t>DIAZ ESPINOZA BRITANY NICOL</t>
        </is>
      </c>
      <c r="C12" s="50" t="n"/>
      <c r="D12" s="95" t="n">
        <v>7.62</v>
      </c>
      <c r="E12" s="131" t="n">
        <v>7.24</v>
      </c>
      <c r="F12" s="97" t="n">
        <v>7</v>
      </c>
      <c r="G12" s="238" t="n">
        <v>8.57</v>
      </c>
      <c r="H12" s="81" t="n">
        <v>7.35</v>
      </c>
      <c r="I12" s="108" t="n">
        <v>8.890000000000001</v>
      </c>
      <c r="J12" s="68" t="n">
        <v>7.81</v>
      </c>
      <c r="K12" s="70" t="inlineStr">
        <is>
          <t>B+</t>
        </is>
      </c>
      <c r="L12" s="107" t="inlineStr">
        <is>
          <t>A-</t>
        </is>
      </c>
      <c r="M12" s="75" t="inlineStr">
        <is>
          <t>A-</t>
        </is>
      </c>
      <c r="N12" s="238">
        <f>TRUNC(AVERAGE(D12:J12),2)</f>
        <v/>
      </c>
      <c r="O12" s="85" t="inlineStr">
        <is>
          <t>S</t>
        </is>
      </c>
      <c r="P12" s="93" t="inlineStr">
        <is>
          <t>PROMOVIDO</t>
        </is>
      </c>
      <c r="Q12" s="94" t="inlineStr">
        <is>
          <t>Ñauta Andrea 9,38</t>
        </is>
      </c>
    </row>
    <row r="13" ht="15" customHeight="1" s="226">
      <c r="A13" s="48" t="n">
        <v>7</v>
      </c>
      <c r="B13" s="237" t="inlineStr">
        <is>
          <t>DURAN QUINTUÑA MILAN RAFAEL</t>
        </is>
      </c>
      <c r="C13" s="50" t="n"/>
      <c r="D13" s="95" t="n">
        <v>8.06</v>
      </c>
      <c r="E13" s="131" t="n">
        <v>8.09</v>
      </c>
      <c r="F13" s="97" t="n">
        <v>7.01</v>
      </c>
      <c r="G13" s="238" t="n">
        <v>8.48</v>
      </c>
      <c r="H13" s="81" t="n">
        <v>7.79</v>
      </c>
      <c r="I13" s="82" t="n">
        <v>8.800000000000001</v>
      </c>
      <c r="J13" s="68" t="n">
        <v>8.58</v>
      </c>
      <c r="K13" s="70" t="inlineStr">
        <is>
          <t>B+</t>
        </is>
      </c>
      <c r="L13" s="107" t="inlineStr">
        <is>
          <t>A-</t>
        </is>
      </c>
      <c r="M13" s="75" t="inlineStr">
        <is>
          <t>A-</t>
        </is>
      </c>
      <c r="N13" s="238">
        <f>TRUNC(AVERAGE(D13:J13),2)</f>
        <v/>
      </c>
      <c r="O13" s="85" t="inlineStr">
        <is>
          <t>S</t>
        </is>
      </c>
      <c r="P13" s="93" t="inlineStr">
        <is>
          <t>PROMOVIDO</t>
        </is>
      </c>
      <c r="Q13" s="94" t="inlineStr">
        <is>
          <t>Guzmán Mirella 9,24</t>
        </is>
      </c>
    </row>
    <row r="14" ht="15" customHeight="1" s="226">
      <c r="A14" s="48" t="n">
        <v>8</v>
      </c>
      <c r="B14" s="239" t="inlineStr">
        <is>
          <t>DUTAN CALLE GAEL MARTIN</t>
        </is>
      </c>
      <c r="C14" s="114" t="n"/>
      <c r="D14" s="95" t="n">
        <v>8.779999999999999</v>
      </c>
      <c r="E14" s="131" t="n">
        <v>9.130000000000001</v>
      </c>
      <c r="F14" s="106" t="n">
        <v>7.49</v>
      </c>
      <c r="G14" s="238" t="n">
        <v>8.57</v>
      </c>
      <c r="H14" s="81" t="n">
        <v>8.44</v>
      </c>
      <c r="I14" s="82" t="n">
        <v>9.02</v>
      </c>
      <c r="J14" s="68" t="n">
        <v>9.109999999999999</v>
      </c>
      <c r="K14" s="70" t="inlineStr">
        <is>
          <t>A-</t>
        </is>
      </c>
      <c r="L14" s="107" t="inlineStr">
        <is>
          <t>A-</t>
        </is>
      </c>
      <c r="M14" s="75" t="inlineStr">
        <is>
          <t>A-</t>
        </is>
      </c>
      <c r="N14" s="238">
        <f>TRUNC(AVERAGE(D14:J14),2)</f>
        <v/>
      </c>
      <c r="O14" s="85" t="inlineStr">
        <is>
          <t>S</t>
        </is>
      </c>
      <c r="P14" s="93" t="inlineStr">
        <is>
          <t>PROMOVIDO</t>
        </is>
      </c>
    </row>
    <row r="15" ht="15" customHeight="1" s="226">
      <c r="A15" s="48" t="n">
        <v>9</v>
      </c>
      <c r="B15" s="237" t="inlineStr">
        <is>
          <t>FAJARDO CARDENAS EDWIN ALEXANDER</t>
        </is>
      </c>
      <c r="C15" s="50" t="n"/>
      <c r="D15" s="95" t="n">
        <v>8.279999999999999</v>
      </c>
      <c r="E15" s="131" t="n">
        <v>8.08</v>
      </c>
      <c r="F15" s="106" t="n">
        <v>7.41</v>
      </c>
      <c r="G15" s="238" t="n">
        <v>8.710000000000001</v>
      </c>
      <c r="H15" s="81" t="n">
        <v>7.93</v>
      </c>
      <c r="I15" s="82" t="n">
        <v>9.06</v>
      </c>
      <c r="J15" s="68" t="n">
        <v>8.77</v>
      </c>
      <c r="K15" s="70" t="inlineStr">
        <is>
          <t>A-</t>
        </is>
      </c>
      <c r="L15" s="107" t="inlineStr">
        <is>
          <t>A-</t>
        </is>
      </c>
      <c r="M15" s="75" t="inlineStr">
        <is>
          <t>A-</t>
        </is>
      </c>
      <c r="N15" s="238">
        <f>TRUNC(AVERAGE(D15:J15),2)</f>
        <v/>
      </c>
      <c r="O15" s="85" t="inlineStr">
        <is>
          <t>S</t>
        </is>
      </c>
      <c r="P15" s="93" t="inlineStr">
        <is>
          <t>PROMOVIDO</t>
        </is>
      </c>
    </row>
    <row r="16" ht="15" customHeight="1" s="226">
      <c r="A16" s="48" t="n">
        <v>10</v>
      </c>
      <c r="B16" s="237" t="inlineStr">
        <is>
          <t>FARFAN MOROCHO DAMARIS ABIGAIL</t>
        </is>
      </c>
      <c r="C16" s="50" t="n"/>
      <c r="D16" s="95" t="n">
        <v>8.34</v>
      </c>
      <c r="E16" s="131" t="n">
        <v>8.34</v>
      </c>
      <c r="F16" s="97" t="n">
        <v>7.4</v>
      </c>
      <c r="G16" s="238" t="n">
        <v>8.83</v>
      </c>
      <c r="H16" s="81" t="n">
        <v>7.96</v>
      </c>
      <c r="I16" s="82" t="n">
        <v>8.279999999999999</v>
      </c>
      <c r="J16" s="68" t="n">
        <v>8.300000000000001</v>
      </c>
      <c r="K16" s="70" t="inlineStr">
        <is>
          <t>A-</t>
        </is>
      </c>
      <c r="L16" s="107" t="inlineStr">
        <is>
          <t>A-</t>
        </is>
      </c>
      <c r="M16" s="75" t="inlineStr">
        <is>
          <t>A-</t>
        </is>
      </c>
      <c r="N16" s="83">
        <f>TRUNC(AVERAGE(D16:J16),2)</f>
        <v/>
      </c>
      <c r="O16" s="85" t="inlineStr">
        <is>
          <t>S</t>
        </is>
      </c>
      <c r="P16" s="93" t="inlineStr">
        <is>
          <t>PROMOVIDO</t>
        </is>
      </c>
    </row>
    <row r="17" ht="15" customHeight="1" s="226">
      <c r="A17" s="48" t="n">
        <v>11</v>
      </c>
      <c r="B17" s="50" t="inlineStr">
        <is>
          <t>FIGUEROA PACHAR JUAN DIEGO</t>
        </is>
      </c>
      <c r="C17" s="50" t="n"/>
      <c r="D17" s="95" t="n">
        <v>8.52</v>
      </c>
      <c r="E17" s="131" t="n">
        <v>7.72</v>
      </c>
      <c r="F17" s="97" t="n">
        <v>7.06</v>
      </c>
      <c r="G17" s="155" t="n">
        <v>8.25</v>
      </c>
      <c r="H17" s="81" t="n">
        <v>7.57</v>
      </c>
      <c r="I17" s="82" t="n">
        <v>9.06</v>
      </c>
      <c r="J17" s="68" t="n">
        <v>8</v>
      </c>
      <c r="K17" s="70" t="inlineStr">
        <is>
          <t>A-</t>
        </is>
      </c>
      <c r="L17" s="107" t="inlineStr">
        <is>
          <t>A+</t>
        </is>
      </c>
      <c r="M17" s="75" t="inlineStr">
        <is>
          <t>A-</t>
        </is>
      </c>
      <c r="N17" s="83">
        <f>TRUNC(AVERAGE(D17:J17),2)</f>
        <v/>
      </c>
      <c r="O17" s="85" t="inlineStr">
        <is>
          <t>S</t>
        </is>
      </c>
      <c r="P17" s="93" t="inlineStr">
        <is>
          <t>PROMOVIDO</t>
        </is>
      </c>
    </row>
    <row r="18" ht="15" customHeight="1" s="226">
      <c r="A18" s="48" t="n">
        <v>12</v>
      </c>
      <c r="B18" s="237" t="inlineStr">
        <is>
          <t>GUARTASACA BUENO JORGE LUIS</t>
        </is>
      </c>
      <c r="C18" s="50" t="n"/>
      <c r="D18" s="95" t="n">
        <v>7.78</v>
      </c>
      <c r="E18" s="131" t="n">
        <v>7.37</v>
      </c>
      <c r="F18" s="97" t="n">
        <v>7.02</v>
      </c>
      <c r="G18" s="238" t="n">
        <v>8.640000000000001</v>
      </c>
      <c r="H18" s="81" t="n">
        <v>7.17</v>
      </c>
      <c r="I18" s="82" t="n">
        <v>8.73</v>
      </c>
      <c r="J18" s="68" t="n">
        <v>7.79</v>
      </c>
      <c r="K18" s="70" t="inlineStr">
        <is>
          <t>A-</t>
        </is>
      </c>
      <c r="L18" s="107" t="inlineStr">
        <is>
          <t>A-</t>
        </is>
      </c>
      <c r="M18" s="75" t="inlineStr">
        <is>
          <t>A-</t>
        </is>
      </c>
      <c r="N18" s="238">
        <f>TRUNC(AVERAGE(D18:J18),2)</f>
        <v/>
      </c>
      <c r="O18" s="85" t="inlineStr">
        <is>
          <t>S</t>
        </is>
      </c>
      <c r="P18" s="93" t="inlineStr">
        <is>
          <t>PROMOVIDO</t>
        </is>
      </c>
    </row>
    <row r="19" ht="15" customHeight="1" s="226">
      <c r="A19" s="48" t="n">
        <v>13</v>
      </c>
      <c r="B19" s="237" t="inlineStr">
        <is>
          <t>GUZMAN CORDOVA MIRELLA FERNANDA</t>
        </is>
      </c>
      <c r="C19" s="50" t="n"/>
      <c r="D19" s="95" t="n">
        <v>9.68</v>
      </c>
      <c r="E19" s="131" t="n">
        <v>9.69</v>
      </c>
      <c r="F19" s="106" t="n">
        <v>9.15</v>
      </c>
      <c r="G19" s="238" t="n">
        <v>8.56</v>
      </c>
      <c r="H19" s="81" t="n">
        <v>9.369999999999999</v>
      </c>
      <c r="I19" s="82" t="n">
        <v>8.710000000000001</v>
      </c>
      <c r="J19" s="68" t="n">
        <v>9.859999999999999</v>
      </c>
      <c r="K19" s="70" t="inlineStr">
        <is>
          <t>A+</t>
        </is>
      </c>
      <c r="L19" s="107" t="inlineStr">
        <is>
          <t>A+</t>
        </is>
      </c>
      <c r="M19" s="75" t="inlineStr">
        <is>
          <t>A-</t>
        </is>
      </c>
      <c r="N19" s="238">
        <f>TRUNC(AVERAGE(D19:J19),2)</f>
        <v/>
      </c>
      <c r="O19" s="85" t="inlineStr">
        <is>
          <t>S</t>
        </is>
      </c>
      <c r="P19" s="93" t="inlineStr">
        <is>
          <t>PROMOVIDO</t>
        </is>
      </c>
    </row>
    <row r="20" ht="15" customHeight="1" s="226">
      <c r="A20" s="48" t="n">
        <v>14</v>
      </c>
      <c r="B20" s="237" t="inlineStr">
        <is>
          <t>LEMA CUNUHAY GABRIELA ELIZABETH</t>
        </is>
      </c>
      <c r="C20" s="50" t="n"/>
      <c r="D20" s="95" t="n">
        <v>9.4</v>
      </c>
      <c r="E20" s="131" t="n">
        <v>9.57</v>
      </c>
      <c r="F20" s="106" t="n">
        <v>9.470000000000001</v>
      </c>
      <c r="G20" s="238" t="n">
        <v>8.56</v>
      </c>
      <c r="H20" s="81" t="n">
        <v>9.029999999999999</v>
      </c>
      <c r="I20" s="82" t="n">
        <v>8.880000000000001</v>
      </c>
      <c r="J20" s="68" t="n">
        <v>9.470000000000001</v>
      </c>
      <c r="K20" s="70" t="inlineStr">
        <is>
          <t>A-</t>
        </is>
      </c>
      <c r="L20" s="107" t="inlineStr">
        <is>
          <t>A+</t>
        </is>
      </c>
      <c r="M20" s="75" t="inlineStr">
        <is>
          <t>A-</t>
        </is>
      </c>
      <c r="N20" s="238">
        <f>TRUNC(AVERAGE(D20:J20),2)</f>
        <v/>
      </c>
      <c r="O20" s="85" t="inlineStr">
        <is>
          <t>S</t>
        </is>
      </c>
      <c r="P20" s="93" t="inlineStr">
        <is>
          <t>PROMOVIDO</t>
        </is>
      </c>
    </row>
    <row r="21" ht="15" customHeight="1" s="226">
      <c r="A21" s="48" t="n">
        <v>15</v>
      </c>
      <c r="B21" s="237" t="inlineStr">
        <is>
          <t>MOROCHO CABRERA DANIELA ALEJANDRA</t>
        </is>
      </c>
      <c r="C21" s="50" t="n"/>
      <c r="D21" s="95" t="n">
        <v>7.19</v>
      </c>
      <c r="E21" s="131" t="n">
        <v>7.09</v>
      </c>
      <c r="F21" s="106" t="n">
        <v>7.14</v>
      </c>
      <c r="G21" s="238" t="n">
        <v>8.31</v>
      </c>
      <c r="H21" s="81" t="n">
        <v>7</v>
      </c>
      <c r="I21" s="82" t="n">
        <v>8.470000000000001</v>
      </c>
      <c r="J21" s="68" t="n">
        <v>7.93</v>
      </c>
      <c r="K21" s="70" t="inlineStr">
        <is>
          <t>A-</t>
        </is>
      </c>
      <c r="L21" s="107" t="inlineStr">
        <is>
          <t>B+</t>
        </is>
      </c>
      <c r="M21" s="75" t="inlineStr">
        <is>
          <t>A-</t>
        </is>
      </c>
      <c r="N21" s="238">
        <f>TRUNC(AVERAGE(D21:J21),2)</f>
        <v/>
      </c>
      <c r="O21" s="85" t="inlineStr">
        <is>
          <t>S</t>
        </is>
      </c>
      <c r="P21" s="93" t="inlineStr">
        <is>
          <t>PROMOVIDO</t>
        </is>
      </c>
    </row>
    <row r="22" ht="15" customHeight="1" s="226">
      <c r="A22" s="48" t="n">
        <v>16</v>
      </c>
      <c r="B22" s="50" t="inlineStr">
        <is>
          <t>ORTIZ GUARACA ERICK ALEXANDER</t>
        </is>
      </c>
      <c r="C22" s="50" t="n"/>
      <c r="D22" s="95" t="n">
        <v>7.45</v>
      </c>
      <c r="E22" s="131" t="n">
        <v>7.25</v>
      </c>
      <c r="F22" s="118" t="n">
        <v>5.9</v>
      </c>
      <c r="G22" s="155" t="n">
        <v>8.91</v>
      </c>
      <c r="H22" s="81" t="n">
        <v>7.72</v>
      </c>
      <c r="I22" s="82" t="n">
        <v>8.52</v>
      </c>
      <c r="J22" s="68" t="n">
        <v>9.27</v>
      </c>
      <c r="K22" s="70" t="inlineStr">
        <is>
          <t>B+</t>
        </is>
      </c>
      <c r="L22" s="107" t="inlineStr">
        <is>
          <t>A+</t>
        </is>
      </c>
      <c r="M22" s="75" t="inlineStr">
        <is>
          <t>A-</t>
        </is>
      </c>
      <c r="N22" s="83">
        <f>TRUNC(AVERAGE(D22:J22),2)</f>
        <v/>
      </c>
      <c r="O22" s="85" t="inlineStr">
        <is>
          <t>S</t>
        </is>
      </c>
      <c r="P22" s="119" t="inlineStr">
        <is>
          <t>NO PROMOVIDO</t>
        </is>
      </c>
    </row>
    <row r="23" ht="15" customHeight="1" s="226">
      <c r="A23" s="48" t="n">
        <v>17</v>
      </c>
      <c r="B23" s="237" t="inlineStr">
        <is>
          <t>ORTIZ SAMANIEGO NAYLA PAMELA</t>
        </is>
      </c>
      <c r="C23" s="50" t="n"/>
      <c r="D23" s="95" t="n">
        <v>7.21</v>
      </c>
      <c r="E23" s="131" t="n">
        <v>7.64</v>
      </c>
      <c r="F23" s="118" t="n">
        <v>6.54</v>
      </c>
      <c r="G23" s="238" t="n">
        <v>9.01</v>
      </c>
      <c r="H23" s="81" t="n">
        <v>7.03</v>
      </c>
      <c r="I23" s="82" t="n">
        <v>8.92</v>
      </c>
      <c r="J23" s="68" t="n">
        <v>8.19</v>
      </c>
      <c r="K23" s="70" t="inlineStr">
        <is>
          <t>A-</t>
        </is>
      </c>
      <c r="L23" s="107" t="inlineStr">
        <is>
          <t>B+</t>
        </is>
      </c>
      <c r="M23" s="75" t="inlineStr">
        <is>
          <t>A-</t>
        </is>
      </c>
      <c r="N23" s="238">
        <f>TRUNC(AVERAGE(D23:J23),2)</f>
        <v/>
      </c>
      <c r="O23" s="85" t="inlineStr">
        <is>
          <t>S</t>
        </is>
      </c>
      <c r="P23" s="119" t="inlineStr">
        <is>
          <t>NO PROMOVIDO</t>
        </is>
      </c>
    </row>
    <row r="24" ht="15" customHeight="1" s="226">
      <c r="A24" s="48" t="n">
        <v>18</v>
      </c>
      <c r="B24" s="237" t="inlineStr">
        <is>
          <t>PAIDA CARVAJAL MARIEL SHANELA</t>
        </is>
      </c>
      <c r="C24" s="50" t="n"/>
      <c r="D24" s="95" t="n">
        <v>9.550000000000001</v>
      </c>
      <c r="E24" s="131" t="n">
        <v>9.57</v>
      </c>
      <c r="F24" s="97" t="n">
        <v>9.32</v>
      </c>
      <c r="G24" s="238" t="n">
        <v>8.73</v>
      </c>
      <c r="H24" s="81" t="n">
        <v>9.449999999999999</v>
      </c>
      <c r="I24" s="82" t="n">
        <v>9.99</v>
      </c>
      <c r="J24" s="68" t="n">
        <v>9.890000000000001</v>
      </c>
      <c r="K24" s="70" t="inlineStr">
        <is>
          <t>A-</t>
        </is>
      </c>
      <c r="L24" s="107" t="inlineStr">
        <is>
          <t>A-</t>
        </is>
      </c>
      <c r="M24" s="75" t="inlineStr">
        <is>
          <t>A-</t>
        </is>
      </c>
      <c r="N24" s="238">
        <f>TRUNC(AVERAGE(D24:J24),2)</f>
        <v/>
      </c>
      <c r="O24" s="85" t="inlineStr">
        <is>
          <t>S</t>
        </is>
      </c>
      <c r="P24" s="93" t="inlineStr">
        <is>
          <t>PROMOVIDO</t>
        </is>
      </c>
    </row>
    <row r="25" ht="15" customHeight="1" s="226">
      <c r="A25" s="48" t="n">
        <v>19</v>
      </c>
      <c r="B25" s="237" t="inlineStr">
        <is>
          <t>PALACIOS GUTIERREZ GUSTAVO ALEJANDRO</t>
        </is>
      </c>
      <c r="C25" s="50" t="n"/>
      <c r="D25" s="95" t="n">
        <v>7.45</v>
      </c>
      <c r="E25" s="131" t="n">
        <v>8.75</v>
      </c>
      <c r="F25" s="97" t="n">
        <v>7</v>
      </c>
      <c r="G25" s="238" t="n">
        <v>9.039999999999999</v>
      </c>
      <c r="H25" s="81" t="n">
        <v>7.67</v>
      </c>
      <c r="I25" s="82" t="n">
        <v>8.800000000000001</v>
      </c>
      <c r="J25" s="103" t="n">
        <v>7.89</v>
      </c>
      <c r="K25" s="70" t="inlineStr">
        <is>
          <t>A-</t>
        </is>
      </c>
      <c r="L25" s="107" t="inlineStr">
        <is>
          <t>A-</t>
        </is>
      </c>
      <c r="M25" s="75" t="inlineStr">
        <is>
          <t>A-</t>
        </is>
      </c>
      <c r="N25" s="238">
        <f>TRUNC(AVERAGE(D25:J25),2)</f>
        <v/>
      </c>
      <c r="O25" s="85" t="inlineStr">
        <is>
          <t>S</t>
        </is>
      </c>
      <c r="P25" s="93" t="inlineStr">
        <is>
          <t>PROMOVIDO</t>
        </is>
      </c>
    </row>
    <row r="26" ht="15" customHeight="1" s="226">
      <c r="A26" s="48" t="n">
        <v>20</v>
      </c>
      <c r="B26" s="237" t="inlineStr">
        <is>
          <t>PALLAZHCO CAMPOVERDE QUEVIN ALEXANDER</t>
        </is>
      </c>
      <c r="C26" s="50" t="n"/>
      <c r="D26" s="95" t="n">
        <v>7.01</v>
      </c>
      <c r="E26" s="59" t="n">
        <v>7.29</v>
      </c>
      <c r="F26" s="106" t="n">
        <v>7</v>
      </c>
      <c r="G26" s="238" t="n">
        <v>8.789999999999999</v>
      </c>
      <c r="H26" s="81" t="n">
        <v>7.19</v>
      </c>
      <c r="I26" s="82" t="n">
        <v>8.779999999999999</v>
      </c>
      <c r="J26" s="68" t="n">
        <v>7.72</v>
      </c>
      <c r="K26" s="70" t="inlineStr">
        <is>
          <t>A-</t>
        </is>
      </c>
      <c r="L26" s="107" t="inlineStr">
        <is>
          <t>A-</t>
        </is>
      </c>
      <c r="M26" s="75" t="inlineStr">
        <is>
          <t>A-</t>
        </is>
      </c>
      <c r="N26" s="238">
        <f>TRUNC(AVERAGE(D26:J26),2)</f>
        <v/>
      </c>
      <c r="O26" s="85" t="inlineStr">
        <is>
          <t>S</t>
        </is>
      </c>
      <c r="P26" s="93" t="inlineStr">
        <is>
          <t>PROMOVIDO</t>
        </is>
      </c>
    </row>
    <row r="27" ht="15" customHeight="1" s="226">
      <c r="A27" s="48" t="n">
        <v>21</v>
      </c>
      <c r="B27" s="50" t="inlineStr">
        <is>
          <t>PERES PERALTA CARLOS GEOVANN</t>
        </is>
      </c>
      <c r="C27" s="50" t="n"/>
      <c r="D27" s="95" t="n">
        <v>7</v>
      </c>
      <c r="E27" s="131" t="n">
        <v>7</v>
      </c>
      <c r="F27" s="97" t="n">
        <v>7.08</v>
      </c>
      <c r="G27" s="155" t="n">
        <v>8.779999999999999</v>
      </c>
      <c r="H27" s="81" t="n">
        <v>7.14</v>
      </c>
      <c r="I27" s="82" t="n">
        <v>8.44</v>
      </c>
      <c r="J27" s="103" t="n">
        <v>7.02</v>
      </c>
      <c r="K27" s="70" t="inlineStr">
        <is>
          <t>B+</t>
        </is>
      </c>
      <c r="L27" s="107" t="inlineStr">
        <is>
          <t>A-</t>
        </is>
      </c>
      <c r="M27" s="75" t="inlineStr">
        <is>
          <t>A-</t>
        </is>
      </c>
      <c r="N27" s="83">
        <f>TRUNC(AVERAGE(D27:J27),2)</f>
        <v/>
      </c>
      <c r="O27" s="85" t="inlineStr">
        <is>
          <t>S</t>
        </is>
      </c>
      <c r="P27" s="93" t="inlineStr">
        <is>
          <t>PROMOVIDO</t>
        </is>
      </c>
    </row>
    <row r="28" ht="15" customHeight="1" s="226">
      <c r="A28" s="48" t="n">
        <v>22</v>
      </c>
      <c r="B28" s="237" t="inlineStr">
        <is>
          <t>PUMA NAULA LUIS FERNANDO</t>
        </is>
      </c>
      <c r="C28" s="50" t="n"/>
      <c r="D28" s="95" t="n">
        <v>8.890000000000001</v>
      </c>
      <c r="E28" s="131" t="n">
        <v>8.08</v>
      </c>
      <c r="F28" s="97" t="n">
        <v>7.86</v>
      </c>
      <c r="G28" s="238" t="n">
        <v>8.6</v>
      </c>
      <c r="H28" s="81" t="n">
        <v>7.86</v>
      </c>
      <c r="I28" s="82" t="n">
        <v>8.81</v>
      </c>
      <c r="J28" s="68" t="n">
        <v>8.789999999999999</v>
      </c>
      <c r="K28" s="70" t="inlineStr">
        <is>
          <t>A-</t>
        </is>
      </c>
      <c r="L28" s="107" t="inlineStr">
        <is>
          <t>B+</t>
        </is>
      </c>
      <c r="M28" s="75" t="inlineStr">
        <is>
          <t>A-</t>
        </is>
      </c>
      <c r="N28" s="83">
        <f>TRUNC(AVERAGE(D28:J28),2)</f>
        <v/>
      </c>
      <c r="O28" s="85" t="inlineStr">
        <is>
          <t>S</t>
        </is>
      </c>
      <c r="P28" s="93" t="inlineStr">
        <is>
          <t>PROMOVIDO</t>
        </is>
      </c>
    </row>
    <row r="29" ht="15" customHeight="1" s="226">
      <c r="A29" s="48" t="n">
        <v>23</v>
      </c>
      <c r="B29" s="237" t="inlineStr">
        <is>
          <t>PUMA ZHAGUI JORDAN STALIN</t>
        </is>
      </c>
      <c r="C29" s="50" t="n"/>
      <c r="D29" s="95" t="n">
        <v>8.550000000000001</v>
      </c>
      <c r="E29" s="131" t="n">
        <v>9.289999999999999</v>
      </c>
      <c r="F29" s="106" t="n">
        <v>7.86</v>
      </c>
      <c r="G29" s="238" t="n">
        <v>8.43</v>
      </c>
      <c r="H29" s="81" t="n">
        <v>8.73</v>
      </c>
      <c r="I29" s="82" t="n">
        <v>8.43</v>
      </c>
      <c r="J29" s="68" t="n">
        <v>8.380000000000001</v>
      </c>
      <c r="K29" s="70" t="inlineStr">
        <is>
          <t>A-</t>
        </is>
      </c>
      <c r="L29" s="107" t="inlineStr">
        <is>
          <t>A-</t>
        </is>
      </c>
      <c r="M29" s="75" t="inlineStr">
        <is>
          <t>A-</t>
        </is>
      </c>
      <c r="N29" s="238">
        <f>TRUNC(AVERAGE(D29:J29),2)</f>
        <v/>
      </c>
      <c r="O29" s="85" t="inlineStr">
        <is>
          <t>S</t>
        </is>
      </c>
      <c r="P29" s="93" t="inlineStr">
        <is>
          <t>PROMOVIDO</t>
        </is>
      </c>
    </row>
    <row r="30" ht="18" customHeight="1" s="226">
      <c r="A30" s="48" t="n">
        <v>24</v>
      </c>
      <c r="B30" s="239" t="inlineStr">
        <is>
          <t>QUIROGA CHACA LESLIE NICOLE</t>
        </is>
      </c>
      <c r="C30" s="114" t="n"/>
      <c r="D30" s="95" t="n">
        <v>8.83</v>
      </c>
      <c r="E30" s="131" t="n">
        <v>8.18</v>
      </c>
      <c r="F30" s="106" t="n">
        <v>7.86</v>
      </c>
      <c r="G30" s="238" t="n">
        <v>8.43</v>
      </c>
      <c r="H30" s="81" t="n">
        <v>8.25</v>
      </c>
      <c r="I30" s="82" t="n">
        <v>9.02</v>
      </c>
      <c r="J30" s="68" t="n">
        <v>9.199999999999999</v>
      </c>
      <c r="K30" s="70" t="inlineStr">
        <is>
          <t>A-</t>
        </is>
      </c>
      <c r="L30" s="107" t="inlineStr">
        <is>
          <t>A+</t>
        </is>
      </c>
      <c r="M30" s="75" t="inlineStr">
        <is>
          <t>A-</t>
        </is>
      </c>
      <c r="N30" s="238">
        <f>TRUNC(AVERAGE(D30:J30),2)</f>
        <v/>
      </c>
      <c r="O30" s="85" t="inlineStr">
        <is>
          <t>S</t>
        </is>
      </c>
      <c r="P30" s="93" t="inlineStr">
        <is>
          <t>PROMOVIDO</t>
        </is>
      </c>
    </row>
    <row r="31" ht="18" customHeight="1" s="226">
      <c r="A31" s="48" t="n">
        <v>25</v>
      </c>
      <c r="B31" s="239" t="inlineStr">
        <is>
          <t>QUIZHPI ZUÑIGA MARIA PAZ</t>
        </is>
      </c>
      <c r="C31" s="114" t="n"/>
      <c r="D31" s="95" t="n">
        <v>8.68</v>
      </c>
      <c r="E31" s="59" t="n">
        <v>8.800000000000001</v>
      </c>
      <c r="F31" s="106" t="n">
        <v>8.109999999999999</v>
      </c>
      <c r="G31" s="238" t="n">
        <v>8.67</v>
      </c>
      <c r="H31" s="81" t="n">
        <v>8.42</v>
      </c>
      <c r="I31" s="82" t="n">
        <v>8.84</v>
      </c>
      <c r="J31" s="68" t="n">
        <v>8.85</v>
      </c>
      <c r="K31" s="70" t="inlineStr">
        <is>
          <t>A-</t>
        </is>
      </c>
      <c r="L31" s="107" t="inlineStr">
        <is>
          <t>A+</t>
        </is>
      </c>
      <c r="M31" s="75" t="inlineStr">
        <is>
          <t>A-</t>
        </is>
      </c>
      <c r="N31" s="238">
        <f>TRUNC(AVERAGE(D31:J31),2)</f>
        <v/>
      </c>
      <c r="O31" s="85" t="inlineStr">
        <is>
          <t>y</t>
        </is>
      </c>
      <c r="P31" s="93" t="inlineStr">
        <is>
          <t>PROMOVIDO</t>
        </is>
      </c>
    </row>
    <row r="32" ht="15" customHeight="1" s="226">
      <c r="A32" s="48" t="n">
        <v>26</v>
      </c>
      <c r="B32" s="239" t="inlineStr">
        <is>
          <t>REA VERA ERIKA DANIELA</t>
        </is>
      </c>
      <c r="C32" s="114" t="n"/>
      <c r="D32" s="95" t="n">
        <v>8.75</v>
      </c>
      <c r="E32" s="131" t="n">
        <v>8.06</v>
      </c>
      <c r="F32" s="97" t="n">
        <v>7.48</v>
      </c>
      <c r="G32" s="238" t="n">
        <v>9.4</v>
      </c>
      <c r="H32" s="81" t="n">
        <v>8.630000000000001</v>
      </c>
      <c r="I32" s="82" t="n">
        <v>8.91</v>
      </c>
      <c r="J32" s="68" t="n">
        <v>9.130000000000001</v>
      </c>
      <c r="K32" s="70" t="inlineStr">
        <is>
          <t>A-</t>
        </is>
      </c>
      <c r="L32" s="107" t="inlineStr">
        <is>
          <t>A+</t>
        </is>
      </c>
      <c r="M32" s="75" t="inlineStr">
        <is>
          <t>A-</t>
        </is>
      </c>
      <c r="N32" s="83">
        <f>TRUNC(AVERAGE(D32:J32),2)</f>
        <v/>
      </c>
      <c r="O32" s="85" t="inlineStr">
        <is>
          <t>S</t>
        </is>
      </c>
      <c r="P32" s="93" t="inlineStr">
        <is>
          <t>PROMOVIDO</t>
        </is>
      </c>
    </row>
    <row r="33" ht="15" customHeight="1" s="226">
      <c r="A33" s="48" t="n">
        <v>27</v>
      </c>
      <c r="B33" s="237" t="inlineStr">
        <is>
          <t>RUIZ ARIAS MAGALY SALOME</t>
        </is>
      </c>
      <c r="C33" s="50" t="n"/>
      <c r="D33" s="95" t="n">
        <v>7.67</v>
      </c>
      <c r="E33" s="131" t="n">
        <v>8.06</v>
      </c>
      <c r="F33" s="97" t="n">
        <v>7</v>
      </c>
      <c r="G33" s="238" t="n">
        <v>8.449999999999999</v>
      </c>
      <c r="H33" s="81" t="n">
        <v>7.28</v>
      </c>
      <c r="I33" s="82" t="n">
        <v>8.98</v>
      </c>
      <c r="J33" s="68" t="n">
        <v>8.210000000000001</v>
      </c>
      <c r="K33" s="70" t="inlineStr">
        <is>
          <t>A-</t>
        </is>
      </c>
      <c r="L33" s="107" t="inlineStr">
        <is>
          <t>A-</t>
        </is>
      </c>
      <c r="M33" s="75" t="inlineStr">
        <is>
          <t>A-</t>
        </is>
      </c>
      <c r="N33" s="238">
        <f>TRUNC(AVERAGE(D33:J33),2)</f>
        <v/>
      </c>
      <c r="O33" s="85" t="inlineStr">
        <is>
          <t>S</t>
        </is>
      </c>
      <c r="P33" s="93" t="inlineStr">
        <is>
          <t>PROMOVIDO</t>
        </is>
      </c>
    </row>
    <row r="34" ht="15" customHeight="1" s="226">
      <c r="A34" s="48" t="n">
        <v>28</v>
      </c>
      <c r="B34" s="237" t="inlineStr">
        <is>
          <t>SANCHO TADAY DAYANA MICHELLE</t>
        </is>
      </c>
      <c r="C34" s="50" t="n"/>
      <c r="D34" s="95" t="n">
        <v>9.67</v>
      </c>
      <c r="E34" s="131" t="n">
        <v>9.43</v>
      </c>
      <c r="F34" s="106" t="n">
        <v>8.529999999999999</v>
      </c>
      <c r="G34" s="238" t="n">
        <v>8.640000000000001</v>
      </c>
      <c r="H34" s="81" t="n">
        <v>9.09</v>
      </c>
      <c r="I34" s="82" t="n">
        <v>8.960000000000001</v>
      </c>
      <c r="J34" s="68" t="n">
        <v>9.69</v>
      </c>
      <c r="K34" s="70" t="inlineStr">
        <is>
          <t>A-</t>
        </is>
      </c>
      <c r="L34" s="107" t="inlineStr">
        <is>
          <t>A+</t>
        </is>
      </c>
      <c r="M34" s="75" t="inlineStr">
        <is>
          <t>A-</t>
        </is>
      </c>
      <c r="N34" s="238">
        <f>TRUNC(AVERAGE(D34:J34),2)</f>
        <v/>
      </c>
      <c r="O34" s="85" t="inlineStr">
        <is>
          <t>S</t>
        </is>
      </c>
      <c r="P34" s="93" t="inlineStr">
        <is>
          <t>PROMOVIDO</t>
        </is>
      </c>
    </row>
    <row r="35" ht="15" customHeight="1" s="226">
      <c r="A35" s="48" t="n">
        <v>29</v>
      </c>
      <c r="B35" s="237" t="inlineStr">
        <is>
          <t>SARANGO AVILA JOSTIN ALEXANDER</t>
        </is>
      </c>
      <c r="C35" s="50" t="n"/>
      <c r="D35" s="95" t="n">
        <v>7.54</v>
      </c>
      <c r="E35" s="131" t="n">
        <v>7.5</v>
      </c>
      <c r="F35" s="106" t="n">
        <v>7.04</v>
      </c>
      <c r="G35" s="238" t="n">
        <v>7.98</v>
      </c>
      <c r="H35" s="81" t="n">
        <v>7.84</v>
      </c>
      <c r="I35" s="82" t="n">
        <v>8.74</v>
      </c>
      <c r="J35" s="238" t="n">
        <v>7.89</v>
      </c>
      <c r="K35" s="70" t="inlineStr">
        <is>
          <t>B+</t>
        </is>
      </c>
      <c r="L35" s="107" t="inlineStr">
        <is>
          <t>B+</t>
        </is>
      </c>
      <c r="M35" s="75" t="inlineStr">
        <is>
          <t>A-</t>
        </is>
      </c>
      <c r="N35" s="83">
        <f>TRUNC(AVERAGE(D35:J35),2)</f>
        <v/>
      </c>
      <c r="O35" s="85" t="inlineStr">
        <is>
          <t>S</t>
        </is>
      </c>
      <c r="P35" s="93" t="inlineStr">
        <is>
          <t>PROMOVIDO</t>
        </is>
      </c>
    </row>
    <row r="36" ht="15" customHeight="1" s="226">
      <c r="A36" s="48" t="n">
        <v>30</v>
      </c>
      <c r="B36" s="237" t="inlineStr">
        <is>
          <t>SIAVICHAY CANDO MARCO SEBASTIAN</t>
        </is>
      </c>
      <c r="C36" s="50" t="n"/>
      <c r="D36" s="95" t="n">
        <v>8.109999999999999</v>
      </c>
      <c r="E36" s="131" t="n">
        <v>8.69</v>
      </c>
      <c r="F36" s="97" t="n">
        <v>7</v>
      </c>
      <c r="G36" s="238" t="n">
        <v>8.44</v>
      </c>
      <c r="H36" s="81" t="n">
        <v>8.039999999999999</v>
      </c>
      <c r="I36" s="82" t="n">
        <v>8.789999999999999</v>
      </c>
      <c r="J36" s="68" t="n">
        <v>8.880000000000001</v>
      </c>
      <c r="K36" s="70" t="inlineStr">
        <is>
          <t>A-</t>
        </is>
      </c>
      <c r="L36" s="107" t="inlineStr">
        <is>
          <t>A+</t>
        </is>
      </c>
      <c r="M36" s="75" t="inlineStr">
        <is>
          <t>A-</t>
        </is>
      </c>
      <c r="N36" s="238">
        <f>TRUNC(AVERAGE(D36:J36),2)</f>
        <v/>
      </c>
      <c r="O36" s="85" t="inlineStr">
        <is>
          <t>S</t>
        </is>
      </c>
      <c r="P36" s="93" t="inlineStr">
        <is>
          <t>PROMOVIDO</t>
        </is>
      </c>
    </row>
    <row r="37" ht="15" customHeight="1" s="226">
      <c r="A37" s="48" t="n">
        <v>31</v>
      </c>
      <c r="B37" s="237" t="inlineStr">
        <is>
          <t>SINCHI LEMA VALERIA GUADALUPE</t>
        </is>
      </c>
      <c r="C37" s="50" t="n"/>
      <c r="D37" s="95" t="n">
        <v>9.699999999999999</v>
      </c>
      <c r="E37" s="131" t="n">
        <v>9.34</v>
      </c>
      <c r="F37" s="106" t="n">
        <v>9.210000000000001</v>
      </c>
      <c r="G37" s="238" t="n">
        <v>9.06</v>
      </c>
      <c r="H37" s="81" t="n">
        <v>9.109999999999999</v>
      </c>
      <c r="I37" s="82" t="n">
        <v>8.67</v>
      </c>
      <c r="J37" s="68" t="n">
        <v>9.359999999999999</v>
      </c>
      <c r="K37" s="70" t="inlineStr">
        <is>
          <t>A+</t>
        </is>
      </c>
      <c r="L37" s="107" t="inlineStr">
        <is>
          <t>A+</t>
        </is>
      </c>
      <c r="M37" s="75" t="inlineStr">
        <is>
          <t>A-</t>
        </is>
      </c>
      <c r="N37" s="83">
        <f>TRUNC(AVERAGE(D37:J37),2)</f>
        <v/>
      </c>
      <c r="O37" s="85" t="inlineStr">
        <is>
          <t>S</t>
        </is>
      </c>
      <c r="P37" s="93" t="inlineStr">
        <is>
          <t>PROMOVIDO</t>
        </is>
      </c>
    </row>
    <row r="38" ht="15" customHeight="1" s="226">
      <c r="A38" s="48" t="n">
        <v>32</v>
      </c>
      <c r="B38" s="50" t="inlineStr">
        <is>
          <t>SISALIMA MALLA HENRI DANIEL</t>
        </is>
      </c>
      <c r="C38" s="50" t="n"/>
      <c r="D38" s="95" t="n">
        <v>7.19</v>
      </c>
      <c r="E38" s="131" t="n">
        <v>7.05</v>
      </c>
      <c r="F38" s="97" t="n">
        <v>7.02</v>
      </c>
      <c r="G38" s="155" t="n">
        <v>9.220000000000001</v>
      </c>
      <c r="H38" s="81" t="n">
        <v>7</v>
      </c>
      <c r="I38" s="82" t="n">
        <v>8.529999999999999</v>
      </c>
      <c r="J38" s="68" t="n">
        <v>7.03</v>
      </c>
      <c r="K38" s="70" t="inlineStr">
        <is>
          <t>B+</t>
        </is>
      </c>
      <c r="L38" s="107" t="inlineStr">
        <is>
          <t>A-</t>
        </is>
      </c>
      <c r="M38" s="75" t="inlineStr">
        <is>
          <t>A-</t>
        </is>
      </c>
      <c r="N38" s="83">
        <f>TRUNC(AVERAGE(D38:J38),2)</f>
        <v/>
      </c>
      <c r="O38" s="85" t="inlineStr">
        <is>
          <t>S</t>
        </is>
      </c>
      <c r="P38" s="93" t="inlineStr">
        <is>
          <t>PROMOVIDO</t>
        </is>
      </c>
    </row>
    <row r="39" ht="15" customHeight="1" s="226">
      <c r="A39" s="48" t="n">
        <v>33</v>
      </c>
      <c r="B39" s="239" t="inlineStr">
        <is>
          <t>TONGOMBOL CARCHIPULLA VERONICA ALEXANDRA</t>
        </is>
      </c>
      <c r="C39" s="114" t="n"/>
      <c r="D39" s="95" t="n">
        <v>7.89</v>
      </c>
      <c r="E39" s="131" t="n">
        <v>7</v>
      </c>
      <c r="F39" s="97" t="n">
        <v>7</v>
      </c>
      <c r="G39" s="238" t="n">
        <v>8.52</v>
      </c>
      <c r="H39" s="81" t="n">
        <v>7</v>
      </c>
      <c r="I39" s="82" t="n">
        <v>8.35</v>
      </c>
      <c r="J39" s="68" t="n">
        <v>7.57</v>
      </c>
      <c r="K39" s="70" t="inlineStr">
        <is>
          <t>A-</t>
        </is>
      </c>
      <c r="L39" s="107" t="inlineStr">
        <is>
          <t>A-</t>
        </is>
      </c>
      <c r="M39" s="75" t="inlineStr">
        <is>
          <t>A-</t>
        </is>
      </c>
      <c r="N39" s="238">
        <f>TRUNC(AVERAGE(D39:J39),2)</f>
        <v/>
      </c>
      <c r="O39" s="85" t="inlineStr">
        <is>
          <t>S</t>
        </is>
      </c>
      <c r="P39" s="93" t="inlineStr">
        <is>
          <t>PROMOVIDO</t>
        </is>
      </c>
    </row>
    <row r="40" ht="15" customHeight="1" s="226">
      <c r="A40" s="48" t="n">
        <v>34</v>
      </c>
      <c r="B40" s="237" t="inlineStr">
        <is>
          <t>UZHCA JUELA EDWIN FABIAN</t>
        </is>
      </c>
      <c r="C40" s="50" t="n"/>
      <c r="D40" s="95" t="n">
        <v>7</v>
      </c>
      <c r="E40" s="131" t="n">
        <v>7</v>
      </c>
      <c r="F40" s="106" t="n">
        <v>7</v>
      </c>
      <c r="G40" s="238" t="n">
        <v>9.619999999999999</v>
      </c>
      <c r="H40" s="81" t="n">
        <v>7.02</v>
      </c>
      <c r="I40" s="82" t="n">
        <v>8.619999999999999</v>
      </c>
      <c r="J40" s="68" t="n">
        <v>7.19</v>
      </c>
      <c r="K40" s="70" t="inlineStr">
        <is>
          <t>B+</t>
        </is>
      </c>
      <c r="L40" s="107" t="inlineStr">
        <is>
          <t>A-</t>
        </is>
      </c>
      <c r="M40" s="75" t="inlineStr">
        <is>
          <t>A-</t>
        </is>
      </c>
      <c r="N40" s="238">
        <f>TRUNC(AVERAGE(D40:J40),2)</f>
        <v/>
      </c>
      <c r="O40" s="85" t="inlineStr">
        <is>
          <t>S</t>
        </is>
      </c>
      <c r="P40" s="93" t="inlineStr">
        <is>
          <t>PROMOVIDO</t>
        </is>
      </c>
    </row>
    <row r="41" ht="15" customHeight="1" s="226">
      <c r="A41" s="48" t="n">
        <v>35</v>
      </c>
      <c r="B41" s="237" t="inlineStr">
        <is>
          <t>VALDEZ BENAVIDES DENISE CAROLINA</t>
        </is>
      </c>
      <c r="C41" s="50" t="n"/>
      <c r="D41" s="95" t="n">
        <v>8.93</v>
      </c>
      <c r="E41" s="59" t="n">
        <v>7.72</v>
      </c>
      <c r="F41" s="106" t="n">
        <v>8.07</v>
      </c>
      <c r="G41" s="238" t="n">
        <v>8.76</v>
      </c>
      <c r="H41" s="81" t="n">
        <v>7.86</v>
      </c>
      <c r="I41" s="82" t="n">
        <v>8.949999999999999</v>
      </c>
      <c r="J41" s="68" t="n">
        <v>9.1</v>
      </c>
      <c r="K41" s="70" t="inlineStr">
        <is>
          <t>A-</t>
        </is>
      </c>
      <c r="L41" s="107" t="inlineStr">
        <is>
          <t>A+</t>
        </is>
      </c>
      <c r="M41" s="75" t="inlineStr">
        <is>
          <t>A-</t>
        </is>
      </c>
      <c r="N41" s="83">
        <f>TRUNC(AVERAGE(D41:J41),2)</f>
        <v/>
      </c>
      <c r="O41" s="85" t="inlineStr">
        <is>
          <t>S</t>
        </is>
      </c>
      <c r="P41" s="93" t="inlineStr">
        <is>
          <t>PROMOVIDO</t>
        </is>
      </c>
    </row>
    <row r="42" ht="14.25" customHeight="1" s="226">
      <c r="A42" s="13" t="n">
        <v>36</v>
      </c>
      <c r="B42" s="237" t="inlineStr">
        <is>
          <t>ÑAUTA BARRETO ANDREA MICHELLE</t>
        </is>
      </c>
      <c r="C42" s="50" t="n"/>
      <c r="D42" s="95" t="n">
        <v>9.84</v>
      </c>
      <c r="E42" s="59" t="n">
        <v>9.56</v>
      </c>
      <c r="F42" s="97" t="n">
        <v>9.42</v>
      </c>
      <c r="G42" s="155" t="n">
        <v>9.699999999999999</v>
      </c>
      <c r="H42" s="81" t="n">
        <v>8.970000000000001</v>
      </c>
      <c r="I42" s="82" t="n">
        <v>9.08</v>
      </c>
      <c r="J42" s="68" t="inlineStr">
        <is>
          <t>9.67</t>
        </is>
      </c>
      <c r="K42" s="70" t="inlineStr">
        <is>
          <t>A+</t>
        </is>
      </c>
      <c r="L42" s="107" t="inlineStr">
        <is>
          <t>A+</t>
        </is>
      </c>
      <c r="M42" s="75" t="inlineStr">
        <is>
          <t>A-</t>
        </is>
      </c>
      <c r="N42" s="238">
        <f>TRUNC(AVERAGE(D42:J42),2)</f>
        <v/>
      </c>
      <c r="O42" s="85" t="inlineStr">
        <is>
          <t>S</t>
        </is>
      </c>
      <c r="P42" s="93" t="inlineStr">
        <is>
          <t>PROMOVIDO</t>
        </is>
      </c>
    </row>
    <row r="43" ht="14.25" customHeight="1" s="226">
      <c r="B43" s="13" t="inlineStr">
        <is>
          <t>Promedio</t>
        </is>
      </c>
      <c r="D43" s="95" t="n">
        <v>9.550000000000001</v>
      </c>
      <c r="E43" s="131">
        <f>AVERAGE(E6:E42)</f>
        <v/>
      </c>
      <c r="F43" s="202">
        <f>AVERAGE(F6:F42)</f>
        <v/>
      </c>
      <c r="G43" s="135">
        <f>AVERAGE(G6:G42)</f>
        <v/>
      </c>
      <c r="H43" s="136">
        <f>AVERAGE(H6:H42)</f>
        <v/>
      </c>
      <c r="I43" s="137">
        <f>AVERAGE(I6:I42)</f>
        <v/>
      </c>
      <c r="J43" s="136" t="n">
        <v>9.67</v>
      </c>
      <c r="K43" s="154" t="n"/>
      <c r="L43" s="140" t="n"/>
      <c r="M43" s="154" t="n"/>
      <c r="N43" s="136">
        <f>AVERAGE(N6:N42)</f>
        <v/>
      </c>
      <c r="O43" s="154" t="n"/>
    </row>
    <row r="44" ht="14.25" customHeight="1" s="226">
      <c r="D44" s="150">
        <f>AVERAGE(D7:D43)</f>
        <v/>
      </c>
    </row>
    <row r="45" ht="14.25" customHeight="1" s="226">
      <c r="B45" s="229" t="inlineStr">
        <is>
          <t xml:space="preserve">Ing. Sonia Chicaiza Mgtr. </t>
        </is>
      </c>
      <c r="D45" s="230" t="inlineStr">
        <is>
          <t xml:space="preserve">Lcda. Lucia Uzhca Mgtr. </t>
        </is>
      </c>
      <c r="E45" s="231" t="n"/>
      <c r="F45" s="231" t="n"/>
      <c r="G45" s="232" t="n"/>
      <c r="H45" s="147" t="n"/>
      <c r="I45" s="230" t="inlineStr">
        <is>
          <t>Lcda. Dora Argudo</t>
        </is>
      </c>
      <c r="J45" s="231" t="n"/>
      <c r="K45" s="231" t="n"/>
      <c r="L45" s="231" t="n"/>
      <c r="M45" s="232" t="n"/>
    </row>
    <row r="46" ht="14.25" customHeight="1" s="226">
      <c r="B46" s="229" t="inlineStr">
        <is>
          <t>Rectora (e)</t>
        </is>
      </c>
      <c r="D46" s="230" t="inlineStr">
        <is>
          <t>Vicerrectora (e) Vespertina</t>
        </is>
      </c>
      <c r="E46" s="231" t="n"/>
      <c r="F46" s="231" t="n"/>
      <c r="G46" s="231" t="n"/>
      <c r="H46" s="232" t="n"/>
      <c r="I46" s="230" t="inlineStr">
        <is>
          <t>Docente Tutora</t>
        </is>
      </c>
      <c r="J46" s="231" t="n"/>
      <c r="K46" s="231" t="n"/>
      <c r="L46" s="232" t="n"/>
      <c r="M46" s="13" t="n"/>
    </row>
    <row r="47" ht="14.25" customHeight="1" s="226"/>
    <row r="48" ht="14.25" customHeight="1" s="226"/>
    <row r="49" ht="14.25" customHeight="1" s="226"/>
    <row r="50" ht="14.25" customHeight="1" s="226"/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4.25" customHeight="1" s="226"/>
    <row r="242" ht="15.75" customHeight="1" s="226"/>
    <row r="243" ht="15.75" customHeight="1" s="226"/>
    <row r="244" ht="15.75" customHeight="1" s="226"/>
    <row r="245" ht="15.7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</sheetData>
  <mergeCells count="12">
    <mergeCell ref="I4:J4"/>
    <mergeCell ref="B2:P2"/>
    <mergeCell ref="D45:G45"/>
    <mergeCell ref="K3:N3"/>
    <mergeCell ref="A1:P1"/>
    <mergeCell ref="B45:C45"/>
    <mergeCell ref="B46:C46"/>
    <mergeCell ref="C3:E3"/>
    <mergeCell ref="I46:L46"/>
    <mergeCell ref="D46:H46"/>
    <mergeCell ref="I45:M45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4.86" customWidth="1" style="226" min="1" max="1"/>
    <col width="20.43" customWidth="1" style="226" min="2" max="2"/>
    <col width="19.29" customWidth="1" style="226" min="3" max="3"/>
    <col width="6.29" customWidth="1" style="226" min="4" max="4"/>
    <col width="8.140000000000001" customWidth="1" style="226" min="14" max="14"/>
    <col width="7.57" customWidth="1" style="226" min="15" max="15"/>
    <col width="18.71" customWidth="1" style="226" min="16" max="16"/>
    <col width="10.71" customWidth="1" style="226" min="17" max="17"/>
    <col width="14" customWidth="1" style="226" min="18" max="18"/>
  </cols>
  <sheetData>
    <row r="1" ht="72.75" customHeight="1" s="226">
      <c r="A1" s="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 xml:space="preserve">DOCENTE:             </t>
        </is>
      </c>
      <c r="C3" s="7" t="inlineStr">
        <is>
          <t>MGTR. WALTER GUAMAN</t>
        </is>
      </c>
      <c r="F3" s="9" t="n"/>
      <c r="G3" s="9" t="n"/>
      <c r="H3" s="9" t="n"/>
      <c r="I3" s="10" t="inlineStr">
        <is>
          <t xml:space="preserve">JORNADA: </t>
        </is>
      </c>
      <c r="K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4" t="inlineStr">
        <is>
          <t>NOVENO A</t>
        </is>
      </c>
      <c r="E4" s="9" t="n"/>
      <c r="F4" s="9" t="n"/>
      <c r="G4" s="9" t="n"/>
      <c r="H4" s="9" t="n"/>
      <c r="I4" s="10" t="inlineStr">
        <is>
          <t>TRIMESTRE:</t>
        </is>
      </c>
      <c r="K4" s="15" t="inlineStr">
        <is>
          <t>PRIMERO, SEGUNDO, TERCERO</t>
        </is>
      </c>
      <c r="M4" s="9" t="n"/>
    </row>
    <row r="5" ht="10.5" customHeight="1" s="226">
      <c r="B5" s="16" t="n"/>
      <c r="C5" s="16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57.5" customHeight="1" s="226">
      <c r="A6" s="18" t="inlineStr">
        <is>
          <t>No</t>
        </is>
      </c>
      <c r="B6" s="20" t="inlineStr">
        <is>
          <t>NOMINA</t>
        </is>
      </c>
      <c r="C6" s="22" t="n"/>
      <c r="D6" s="23" t="inlineStr">
        <is>
          <t>LENGUA Y LITERATURA</t>
        </is>
      </c>
      <c r="E6" s="25" t="inlineStr">
        <is>
          <t>MATEMÁTICA</t>
        </is>
      </c>
      <c r="F6" s="27" t="inlineStr">
        <is>
          <t>CIENCIAS NATURALES</t>
        </is>
      </c>
      <c r="G6" s="35" t="inlineStr">
        <is>
          <t>ESTUDIOS SOCIALES</t>
        </is>
      </c>
      <c r="H6" s="31" t="inlineStr">
        <is>
          <t>INGLÉS</t>
        </is>
      </c>
      <c r="I6" s="37" t="inlineStr">
        <is>
          <t>EDUCACIÓN CULTURAL Y ARTISTICA</t>
        </is>
      </c>
      <c r="J6" s="34" t="inlineStr">
        <is>
          <t>EDUCACIÓN FÍSICA</t>
        </is>
      </c>
      <c r="K6" s="39" t="inlineStr">
        <is>
          <t>ANIMACIÓN A LA LECTURA</t>
        </is>
      </c>
      <c r="L6" s="38" t="inlineStr">
        <is>
          <t>ACOMPAÑAMIENTO INTEGRAL EN EL AULA</t>
        </is>
      </c>
      <c r="M6" s="41" t="inlineStr">
        <is>
          <t>ORIENTACIÓN VOCACIONAL</t>
        </is>
      </c>
      <c r="N6" s="43" t="inlineStr">
        <is>
          <t>PROMEDIO FINAL</t>
        </is>
      </c>
      <c r="O6" s="45" t="inlineStr">
        <is>
          <t>CCOMPORTAMIENTO</t>
        </is>
      </c>
      <c r="P6" s="46" t="inlineStr">
        <is>
          <t>OBSERVACIONES</t>
        </is>
      </c>
    </row>
    <row r="7" ht="14.25" customHeight="1" s="226">
      <c r="A7" s="48" t="n">
        <v>1</v>
      </c>
      <c r="B7" s="50" t="inlineStr">
        <is>
          <t>ABAD CUZCO ALEJANDRO GERARD</t>
        </is>
      </c>
      <c r="C7" s="50" t="n"/>
      <c r="D7" s="53" t="n">
        <v>8.76</v>
      </c>
      <c r="E7" s="131" t="n">
        <v>8.449999999999999</v>
      </c>
      <c r="F7" s="58" t="n">
        <v>8.92</v>
      </c>
      <c r="G7" s="61" t="n">
        <v>9.359999999999999</v>
      </c>
      <c r="H7" s="64" t="n">
        <v>8.6</v>
      </c>
      <c r="I7" s="66" t="n">
        <v>9.369999999999999</v>
      </c>
      <c r="J7" s="68" t="n">
        <v>8.859999999999999</v>
      </c>
      <c r="K7" s="70" t="inlineStr">
        <is>
          <t>B+</t>
        </is>
      </c>
      <c r="L7" s="107" t="inlineStr">
        <is>
          <t>A-</t>
        </is>
      </c>
      <c r="M7" s="76" t="inlineStr">
        <is>
          <t>A-</t>
        </is>
      </c>
      <c r="N7" s="83">
        <f>TRUNC(AVERAGE(D7:J7),2)</f>
        <v/>
      </c>
      <c r="O7" s="85" t="inlineStr">
        <is>
          <t>S</t>
        </is>
      </c>
      <c r="P7" s="87" t="inlineStr">
        <is>
          <t>PROMOVIDO</t>
        </is>
      </c>
    </row>
    <row r="8" ht="15" customHeight="1" s="226">
      <c r="A8" s="48" t="n">
        <v>2</v>
      </c>
      <c r="B8" s="50" t="inlineStr">
        <is>
          <t>AUCAPIÑA CAGUANA JHONEL MATEO</t>
        </is>
      </c>
      <c r="C8" s="50" t="n"/>
      <c r="D8" s="53" t="n">
        <v>8.94</v>
      </c>
      <c r="E8" s="131" t="n">
        <v>8.58</v>
      </c>
      <c r="F8" s="89" t="n">
        <v>8.17</v>
      </c>
      <c r="G8" s="61" t="n">
        <v>8.67</v>
      </c>
      <c r="H8" s="90" t="n">
        <v>8.640000000000001</v>
      </c>
      <c r="I8" s="66" t="n">
        <v>8.51</v>
      </c>
      <c r="J8" s="68" t="n">
        <v>8.720000000000001</v>
      </c>
      <c r="K8" s="70" t="inlineStr">
        <is>
          <t>B+</t>
        </is>
      </c>
      <c r="L8" s="107" t="inlineStr">
        <is>
          <t>A-</t>
        </is>
      </c>
      <c r="M8" s="76" t="inlineStr">
        <is>
          <t>A-</t>
        </is>
      </c>
      <c r="N8" s="83">
        <f>TRUNC(AVERAGE(D8:J8),2)</f>
        <v/>
      </c>
      <c r="O8" s="85" t="inlineStr">
        <is>
          <t>S</t>
        </is>
      </c>
      <c r="P8" s="87" t="inlineStr">
        <is>
          <t>PROMOVIDO</t>
        </is>
      </c>
    </row>
    <row r="9" ht="15" customHeight="1" s="226">
      <c r="A9" s="48" t="n">
        <v>3</v>
      </c>
      <c r="B9" s="50" t="inlineStr">
        <is>
          <t>AUCAPIÑA PINEDA LUIS ALEJANDRO</t>
        </is>
      </c>
      <c r="C9" s="50" t="n"/>
      <c r="D9" s="53" t="n">
        <v>8.66</v>
      </c>
      <c r="E9" s="131" t="n">
        <v>7.22</v>
      </c>
      <c r="F9" s="58" t="n">
        <v>7.21</v>
      </c>
      <c r="G9" s="61" t="n">
        <v>8.359999999999999</v>
      </c>
      <c r="H9" s="90" t="n">
        <v>8.779999999999999</v>
      </c>
      <c r="I9" s="66" t="n">
        <v>8.26</v>
      </c>
      <c r="J9" s="68" t="n">
        <v>8.48</v>
      </c>
      <c r="K9" s="70" t="inlineStr">
        <is>
          <t>B+</t>
        </is>
      </c>
      <c r="L9" s="107" t="inlineStr">
        <is>
          <t>B+</t>
        </is>
      </c>
      <c r="M9" s="76" t="inlineStr">
        <is>
          <t>B+</t>
        </is>
      </c>
      <c r="N9" s="83">
        <f>TRUNC(AVERAGE(D9:J9),2)</f>
        <v/>
      </c>
      <c r="O9" s="85" t="inlineStr">
        <is>
          <t>F</t>
        </is>
      </c>
      <c r="P9" s="87" t="inlineStr">
        <is>
          <t>PROMOVIDO</t>
        </is>
      </c>
    </row>
    <row r="10" ht="15" customHeight="1" s="226">
      <c r="A10" s="48" t="n">
        <v>4</v>
      </c>
      <c r="B10" s="50" t="inlineStr">
        <is>
          <t>AUQUILLA PATIÑO AMANDA BELEN</t>
        </is>
      </c>
      <c r="C10" s="50" t="n"/>
      <c r="D10" s="53" t="n">
        <v>8.82</v>
      </c>
      <c r="E10" s="59" t="n">
        <v>8.6</v>
      </c>
      <c r="F10" s="58" t="n">
        <v>8.220000000000001</v>
      </c>
      <c r="G10" s="61" t="n">
        <v>8.43</v>
      </c>
      <c r="H10" s="90" t="n">
        <v>8.68</v>
      </c>
      <c r="I10" s="66" t="n">
        <v>8.65</v>
      </c>
      <c r="J10" s="68" t="n">
        <v>8.5</v>
      </c>
      <c r="K10" s="70" t="inlineStr">
        <is>
          <t>B+</t>
        </is>
      </c>
      <c r="L10" s="107" t="inlineStr">
        <is>
          <t>A-</t>
        </is>
      </c>
      <c r="M10" s="76" t="inlineStr">
        <is>
          <t>A-</t>
        </is>
      </c>
      <c r="N10" s="83">
        <f>TRUNC(AVERAGE(D10:J10),2)</f>
        <v/>
      </c>
      <c r="O10" s="85" t="inlineStr">
        <is>
          <t>S</t>
        </is>
      </c>
      <c r="P10" s="87" t="inlineStr">
        <is>
          <t>PROMOVIDO</t>
        </is>
      </c>
    </row>
    <row r="11" ht="15" customHeight="1" s="226">
      <c r="A11" s="48" t="n">
        <v>5</v>
      </c>
      <c r="B11" s="50" t="inlineStr">
        <is>
          <t>AVILA BENAVIDES MICHAEL ALEXANDER</t>
        </is>
      </c>
      <c r="C11" s="50" t="n"/>
      <c r="D11" s="53" t="n">
        <v>7.41</v>
      </c>
      <c r="E11" s="131" t="n">
        <v>7</v>
      </c>
      <c r="F11" s="58" t="n">
        <v>7</v>
      </c>
      <c r="G11" s="61" t="n">
        <v>8.029999999999999</v>
      </c>
      <c r="H11" s="90" t="n">
        <v>7.24</v>
      </c>
      <c r="I11" s="66" t="n">
        <v>7.73</v>
      </c>
      <c r="J11" s="68" t="n">
        <v>7.79</v>
      </c>
      <c r="K11" s="70" t="inlineStr">
        <is>
          <t>B+</t>
        </is>
      </c>
      <c r="L11" s="107" t="inlineStr">
        <is>
          <t>B+</t>
        </is>
      </c>
      <c r="M11" s="76" t="inlineStr">
        <is>
          <t>B+</t>
        </is>
      </c>
      <c r="N11" s="83">
        <f>TRUNC(AVERAGE(D11:J11),2)</f>
        <v/>
      </c>
      <c r="O11" s="85" t="inlineStr">
        <is>
          <t>S</t>
        </is>
      </c>
      <c r="P11" s="87" t="inlineStr">
        <is>
          <t>PROMOVIDO</t>
        </is>
      </c>
    </row>
    <row r="12" ht="15" customHeight="1" s="226">
      <c r="A12" s="48" t="n">
        <v>6</v>
      </c>
      <c r="B12" s="237" t="inlineStr">
        <is>
          <t>BONILLA CANDO PAULA GABRIELA</t>
        </is>
      </c>
      <c r="C12" s="50" t="n"/>
      <c r="D12" s="53" t="n">
        <v>9.210000000000001</v>
      </c>
      <c r="E12" s="131" t="n">
        <v>8.279999999999999</v>
      </c>
      <c r="F12" s="58" t="n">
        <v>8.83</v>
      </c>
      <c r="G12" s="238" t="n">
        <v>8.880000000000001</v>
      </c>
      <c r="H12" s="90" t="n">
        <v>9.67</v>
      </c>
      <c r="I12" s="66" t="n">
        <v>9.02</v>
      </c>
      <c r="J12" s="68" t="n">
        <v>9.26</v>
      </c>
      <c r="K12" s="70" t="inlineStr">
        <is>
          <t>A-</t>
        </is>
      </c>
      <c r="L12" s="107" t="inlineStr">
        <is>
          <t>A+</t>
        </is>
      </c>
      <c r="M12" s="76" t="inlineStr">
        <is>
          <t>A+</t>
        </is>
      </c>
      <c r="N12" s="83">
        <f>TRUNC(AVERAGE(D12:J12),2)</f>
        <v/>
      </c>
      <c r="O12" s="85" t="inlineStr">
        <is>
          <t>S</t>
        </is>
      </c>
      <c r="P12" s="87" t="inlineStr">
        <is>
          <t>PROMOVIDO</t>
        </is>
      </c>
    </row>
    <row r="13" ht="15" customHeight="1" s="226">
      <c r="A13" s="48" t="n">
        <v>7</v>
      </c>
      <c r="B13" s="237" t="inlineStr">
        <is>
          <t>CACHIGUANGO PINEDA JOSTYN DIDIER</t>
        </is>
      </c>
      <c r="C13" s="50" t="n"/>
      <c r="D13" s="53" t="n">
        <v>7.53</v>
      </c>
      <c r="E13" s="59" t="n">
        <v>7.09</v>
      </c>
      <c r="F13" s="58" t="n">
        <v>7.06</v>
      </c>
      <c r="G13" s="238" t="n">
        <v>8.35</v>
      </c>
      <c r="H13" s="90" t="n">
        <v>7.41</v>
      </c>
      <c r="I13" s="66" t="n">
        <v>7.53</v>
      </c>
      <c r="J13" s="68" t="n">
        <v>7.57</v>
      </c>
      <c r="K13" s="70" t="inlineStr">
        <is>
          <t>B+</t>
        </is>
      </c>
      <c r="L13" s="107" t="inlineStr">
        <is>
          <t>A-</t>
        </is>
      </c>
      <c r="M13" s="76" t="inlineStr">
        <is>
          <t>A-</t>
        </is>
      </c>
      <c r="N13" s="238">
        <f>TRUNC(AVERAGE(D13:J13),2)</f>
        <v/>
      </c>
      <c r="O13" s="85" t="inlineStr">
        <is>
          <t>S</t>
        </is>
      </c>
      <c r="P13" s="87" t="inlineStr">
        <is>
          <t>PROMOVIDO</t>
        </is>
      </c>
    </row>
    <row r="14" ht="15" customHeight="1" s="226">
      <c r="A14" s="48" t="n">
        <v>8</v>
      </c>
      <c r="B14" s="237" t="inlineStr">
        <is>
          <t>CALLE HURTADO CRISTOBAL SEBASTIAN</t>
        </is>
      </c>
      <c r="C14" s="50" t="n"/>
      <c r="D14" s="53" t="n">
        <v>7.34</v>
      </c>
      <c r="E14" s="131" t="n">
        <v>7.59</v>
      </c>
      <c r="F14" s="89" t="n">
        <v>7.01</v>
      </c>
      <c r="G14" s="238" t="n">
        <v>7.65</v>
      </c>
      <c r="H14" s="90" t="n">
        <v>7.49</v>
      </c>
      <c r="I14" s="66" t="n">
        <v>7.92</v>
      </c>
      <c r="J14" s="68" t="n">
        <v>8.07</v>
      </c>
      <c r="K14" s="70" t="inlineStr">
        <is>
          <t>A-</t>
        </is>
      </c>
      <c r="L14" s="107" t="inlineStr">
        <is>
          <t>B-</t>
        </is>
      </c>
      <c r="M14" s="76" t="inlineStr">
        <is>
          <t>A-</t>
        </is>
      </c>
      <c r="N14" s="238">
        <f>TRUNC(AVERAGE(D14:J14),2)</f>
        <v/>
      </c>
      <c r="O14" s="85" t="inlineStr">
        <is>
          <t>F</t>
        </is>
      </c>
      <c r="P14" s="87" t="inlineStr">
        <is>
          <t>PROMOVIDO</t>
        </is>
      </c>
    </row>
    <row r="15" ht="15" customHeight="1" s="226">
      <c r="A15" s="48" t="n">
        <v>9</v>
      </c>
      <c r="B15" s="237" t="inlineStr">
        <is>
          <t>CALLE SALTO MONICA ALEXANDRA</t>
        </is>
      </c>
      <c r="C15" s="50" t="n"/>
      <c r="D15" s="53" t="n">
        <v>8.140000000000001</v>
      </c>
      <c r="E15" s="131" t="n">
        <v>7.8</v>
      </c>
      <c r="F15" s="58" t="n">
        <v>7.59</v>
      </c>
      <c r="G15" s="238" t="n">
        <v>8.85</v>
      </c>
      <c r="H15" s="90" t="n">
        <v>7.92</v>
      </c>
      <c r="I15" s="66" t="n">
        <v>8.220000000000001</v>
      </c>
      <c r="J15" s="68" t="n">
        <v>8.58</v>
      </c>
      <c r="K15" s="70" t="inlineStr">
        <is>
          <t>A-</t>
        </is>
      </c>
      <c r="L15" s="107" t="inlineStr">
        <is>
          <t>A-</t>
        </is>
      </c>
      <c r="M15" s="76" t="inlineStr">
        <is>
          <t>A-</t>
        </is>
      </c>
      <c r="N15" s="238">
        <f>TRUNC(AVERAGE(D15:J15),2)</f>
        <v/>
      </c>
      <c r="O15" s="85" t="inlineStr">
        <is>
          <t>S</t>
        </is>
      </c>
      <c r="P15" s="87" t="inlineStr">
        <is>
          <t>PROMOVIDO</t>
        </is>
      </c>
    </row>
    <row r="16" ht="15" customHeight="1" s="226">
      <c r="A16" s="48" t="n">
        <v>10</v>
      </c>
      <c r="B16" s="237" t="inlineStr">
        <is>
          <t>CAMPOVERDE CARDENAS JOSUE ISRAEL</t>
        </is>
      </c>
      <c r="C16" s="50" t="n"/>
      <c r="D16" s="53" t="n">
        <v>7.41</v>
      </c>
      <c r="E16" s="131" t="n">
        <v>7.39</v>
      </c>
      <c r="F16" s="58" t="n">
        <v>7.02</v>
      </c>
      <c r="G16" s="238" t="n">
        <v>8.630000000000001</v>
      </c>
      <c r="H16" s="90" t="n">
        <v>7.34</v>
      </c>
      <c r="I16" s="66" t="n">
        <v>7.14</v>
      </c>
      <c r="J16" s="68" t="n">
        <v>7.31</v>
      </c>
      <c r="K16" s="70" t="inlineStr">
        <is>
          <t>B+</t>
        </is>
      </c>
      <c r="L16" s="107" t="inlineStr">
        <is>
          <t>B-</t>
        </is>
      </c>
      <c r="M16" s="76" t="inlineStr">
        <is>
          <t>A-</t>
        </is>
      </c>
      <c r="N16" s="238">
        <f>TRUNC(AVERAGE(D16:J16),2)</f>
        <v/>
      </c>
      <c r="O16" s="85" t="inlineStr">
        <is>
          <t>F</t>
        </is>
      </c>
      <c r="P16" s="87" t="inlineStr">
        <is>
          <t>PROMOVIDO</t>
        </is>
      </c>
    </row>
    <row r="17" ht="15" customHeight="1" s="226">
      <c r="A17" s="48" t="n">
        <v>11</v>
      </c>
      <c r="B17" s="237" t="inlineStr">
        <is>
          <t>CARDENAS ZARATE AMY DAMARIS</t>
        </is>
      </c>
      <c r="C17" s="50" t="n"/>
      <c r="D17" s="53" t="n">
        <v>9.02</v>
      </c>
      <c r="E17" s="59" t="n">
        <v>8.109999999999999</v>
      </c>
      <c r="F17" s="58" t="n">
        <v>8.58</v>
      </c>
      <c r="G17" s="238" t="n">
        <v>8.15</v>
      </c>
      <c r="H17" s="90" t="n">
        <v>8.76</v>
      </c>
      <c r="I17" s="66" t="n">
        <v>8.74</v>
      </c>
      <c r="J17" s="68" t="n">
        <v>8.94</v>
      </c>
      <c r="K17" s="70" t="inlineStr">
        <is>
          <t>A-</t>
        </is>
      </c>
      <c r="L17" s="107" t="inlineStr">
        <is>
          <t>A-</t>
        </is>
      </c>
      <c r="M17" s="76" t="inlineStr">
        <is>
          <t>A-</t>
        </is>
      </c>
      <c r="N17" s="238">
        <f>TRUNC(AVERAGE(D17:J17),2)</f>
        <v/>
      </c>
      <c r="O17" s="85" t="inlineStr">
        <is>
          <t>S</t>
        </is>
      </c>
      <c r="P17" s="87" t="inlineStr">
        <is>
          <t>PROMOVIDO</t>
        </is>
      </c>
    </row>
    <row r="18" ht="15" customHeight="1" s="226">
      <c r="A18" s="48" t="n">
        <v>12</v>
      </c>
      <c r="B18" s="237" t="inlineStr">
        <is>
          <t>CRUZ LALVAY CRISTOPHER MATIAS</t>
        </is>
      </c>
      <c r="C18" s="50" t="n"/>
      <c r="D18" s="53" t="n">
        <v>7.68</v>
      </c>
      <c r="E18" s="59" t="n">
        <v>7</v>
      </c>
      <c r="F18" s="89" t="n">
        <v>7</v>
      </c>
      <c r="G18" s="238" t="n">
        <v>7.32</v>
      </c>
      <c r="H18" s="90" t="n">
        <v>7.36</v>
      </c>
      <c r="I18" s="66" t="n">
        <v>7.66</v>
      </c>
      <c r="J18" s="68" t="n">
        <v>7.29</v>
      </c>
      <c r="K18" s="70" t="inlineStr">
        <is>
          <t>A-</t>
        </is>
      </c>
      <c r="L18" s="107" t="inlineStr">
        <is>
          <t>B+</t>
        </is>
      </c>
      <c r="M18" s="76" t="inlineStr">
        <is>
          <t>B+</t>
        </is>
      </c>
      <c r="N18" s="83">
        <f>TRUNC(AVERAGE(D18:J18),2)</f>
        <v/>
      </c>
      <c r="O18" s="85" t="inlineStr">
        <is>
          <t>S</t>
        </is>
      </c>
      <c r="P18" s="87" t="inlineStr">
        <is>
          <t>PROMOVIDO</t>
        </is>
      </c>
    </row>
    <row r="19" ht="15" customHeight="1" s="226">
      <c r="A19" s="48" t="n">
        <v>13</v>
      </c>
      <c r="B19" s="237" t="inlineStr">
        <is>
          <t>CRUZ TORRES MELANIE NICOLE</t>
        </is>
      </c>
      <c r="C19" s="50" t="n"/>
      <c r="D19" s="53" t="n">
        <v>8.34</v>
      </c>
      <c r="E19" s="131" t="n">
        <v>7.92</v>
      </c>
      <c r="F19" s="89" t="n">
        <v>7.3</v>
      </c>
      <c r="G19" s="238" t="n">
        <v>9.26</v>
      </c>
      <c r="H19" s="90" t="n">
        <v>9.27</v>
      </c>
      <c r="I19" s="66" t="n">
        <v>8.74</v>
      </c>
      <c r="J19" s="68" t="n">
        <v>8.4</v>
      </c>
      <c r="K19" s="70" t="inlineStr">
        <is>
          <t>B+</t>
        </is>
      </c>
      <c r="L19" s="107" t="inlineStr">
        <is>
          <t>B+</t>
        </is>
      </c>
      <c r="M19" s="76" t="inlineStr">
        <is>
          <t>A+</t>
        </is>
      </c>
      <c r="N19" s="238">
        <f>TRUNC(AVERAGE(D19:J19),2)</f>
        <v/>
      </c>
      <c r="O19" s="85" t="inlineStr">
        <is>
          <t>S</t>
        </is>
      </c>
      <c r="P19" s="87" t="inlineStr">
        <is>
          <t>PROMOVIDO</t>
        </is>
      </c>
    </row>
    <row r="20" ht="15" customHeight="1" s="226">
      <c r="A20" s="48" t="n">
        <v>14</v>
      </c>
      <c r="B20" s="237" t="inlineStr">
        <is>
          <t>ENRIQUEZ CAJAMARCA ELVIS LEONARDO</t>
        </is>
      </c>
      <c r="C20" s="50" t="n"/>
      <c r="D20" s="53" t="n">
        <v>9.07</v>
      </c>
      <c r="E20" s="131" t="n">
        <v>9.32</v>
      </c>
      <c r="F20" s="58" t="n">
        <v>8.470000000000001</v>
      </c>
      <c r="G20" s="238" t="n">
        <v>8.859999999999999</v>
      </c>
      <c r="H20" s="90" t="n">
        <v>8.81</v>
      </c>
      <c r="I20" s="66" t="n">
        <v>9.130000000000001</v>
      </c>
      <c r="J20" s="68" t="n">
        <v>9.029999999999999</v>
      </c>
      <c r="K20" s="70" t="inlineStr">
        <is>
          <t>A-</t>
        </is>
      </c>
      <c r="L20" s="107" t="inlineStr">
        <is>
          <t>A+</t>
        </is>
      </c>
      <c r="M20" s="76" t="inlineStr">
        <is>
          <t>A+</t>
        </is>
      </c>
      <c r="N20" s="238">
        <f>TRUNC(AVERAGE(D20:J20),2)</f>
        <v/>
      </c>
      <c r="O20" s="85" t="inlineStr">
        <is>
          <t>F</t>
        </is>
      </c>
      <c r="P20" s="87" t="inlineStr">
        <is>
          <t>PROMOVIDO</t>
        </is>
      </c>
    </row>
    <row r="21" ht="15" customHeight="1" s="226">
      <c r="A21" s="48" t="n">
        <v>15</v>
      </c>
      <c r="B21" s="237" t="inlineStr">
        <is>
          <t>FAJARDO SALINAS PAULA ALEJANDRA</t>
        </is>
      </c>
      <c r="C21" s="50" t="n"/>
      <c r="D21" s="53" t="n">
        <v>8.869999999999999</v>
      </c>
      <c r="E21" s="131" t="n">
        <v>8.17</v>
      </c>
      <c r="F21" s="58" t="n">
        <v>8.01</v>
      </c>
      <c r="G21" s="238" t="n">
        <v>7.82</v>
      </c>
      <c r="H21" s="90" t="n">
        <v>9.17</v>
      </c>
      <c r="I21" s="66" t="n">
        <v>8.800000000000001</v>
      </c>
      <c r="J21" s="68" t="n">
        <v>8.74</v>
      </c>
      <c r="K21" s="70" t="inlineStr">
        <is>
          <t>A-</t>
        </is>
      </c>
      <c r="L21" s="107" t="inlineStr">
        <is>
          <t>A+</t>
        </is>
      </c>
      <c r="M21" s="76" t="inlineStr">
        <is>
          <t>A+</t>
        </is>
      </c>
      <c r="N21" s="238">
        <f>TRUNC(AVERAGE(D21:J21),2)</f>
        <v/>
      </c>
      <c r="O21" s="85" t="inlineStr">
        <is>
          <t>S</t>
        </is>
      </c>
      <c r="P21" s="87" t="inlineStr">
        <is>
          <t>PROMOVIDO</t>
        </is>
      </c>
    </row>
    <row r="22" ht="15" customHeight="1" s="226">
      <c r="A22" s="48" t="n">
        <v>16</v>
      </c>
      <c r="B22" s="237" t="inlineStr">
        <is>
          <t>FLORES QUINTUÑA ANDERSON JOEL</t>
        </is>
      </c>
      <c r="C22" s="50" t="n"/>
      <c r="D22" s="53" t="n">
        <v>7.57</v>
      </c>
      <c r="E22" s="240" t="n">
        <v>7.06</v>
      </c>
      <c r="F22" s="58" t="n">
        <v>7.21</v>
      </c>
      <c r="G22" s="238" t="n">
        <v>8.25</v>
      </c>
      <c r="H22" s="90" t="n">
        <v>8.31</v>
      </c>
      <c r="I22" s="66" t="n">
        <v>7.29</v>
      </c>
      <c r="J22" s="68" t="n">
        <v>7.61</v>
      </c>
      <c r="K22" s="70" t="inlineStr">
        <is>
          <t>B+</t>
        </is>
      </c>
      <c r="L22" s="107" t="inlineStr">
        <is>
          <t>B+</t>
        </is>
      </c>
      <c r="M22" s="76" t="inlineStr">
        <is>
          <t>B+</t>
        </is>
      </c>
      <c r="N22" s="238">
        <f>TRUNC(AVERAGE(D22:J22),2)</f>
        <v/>
      </c>
      <c r="O22" s="85" t="inlineStr">
        <is>
          <t>F</t>
        </is>
      </c>
      <c r="P22" s="87" t="inlineStr">
        <is>
          <t>PROMOVIDO</t>
        </is>
      </c>
    </row>
    <row r="23" ht="15" customHeight="1" s="226">
      <c r="A23" s="48" t="n">
        <v>17</v>
      </c>
      <c r="B23" s="50" t="inlineStr">
        <is>
          <t>GUANUQUIZA PERALTA ARIEL SANTIAGO</t>
        </is>
      </c>
      <c r="C23" s="50" t="n"/>
      <c r="D23" s="53" t="n">
        <v>8.56</v>
      </c>
      <c r="E23" s="131" t="n">
        <v>8.66</v>
      </c>
      <c r="F23" s="58" t="n">
        <v>7.3</v>
      </c>
      <c r="G23" s="61" t="n">
        <v>9</v>
      </c>
      <c r="H23" s="90" t="n">
        <v>9.33</v>
      </c>
      <c r="I23" s="66" t="n">
        <v>8.43</v>
      </c>
      <c r="J23" s="68" t="n">
        <v>8.76</v>
      </c>
      <c r="K23" s="70" t="inlineStr">
        <is>
          <t>A-</t>
        </is>
      </c>
      <c r="L23" s="107" t="inlineStr">
        <is>
          <t>A+</t>
        </is>
      </c>
      <c r="M23" s="76" t="inlineStr">
        <is>
          <t>A+</t>
        </is>
      </c>
      <c r="N23" s="83">
        <f>TRUNC(AVERAGE(D23:J23),2)</f>
        <v/>
      </c>
      <c r="O23" s="85" t="inlineStr">
        <is>
          <t>S</t>
        </is>
      </c>
      <c r="P23" s="87" t="inlineStr">
        <is>
          <t>PROMOVIDO</t>
        </is>
      </c>
    </row>
    <row r="24" ht="15" customHeight="1" s="226">
      <c r="A24" s="48" t="n">
        <v>18</v>
      </c>
      <c r="B24" s="237" t="inlineStr">
        <is>
          <t>GUERRERO CUN YAMILETH DE LOS ANGELES</t>
        </is>
      </c>
      <c r="C24" s="50" t="n"/>
      <c r="D24" s="53" t="n">
        <v>7.68</v>
      </c>
      <c r="E24" s="131" t="n">
        <v>7.91</v>
      </c>
      <c r="F24" s="89" t="n">
        <v>7.48</v>
      </c>
      <c r="G24" s="238" t="n">
        <v>8.140000000000001</v>
      </c>
      <c r="H24" s="90" t="n">
        <v>7.96</v>
      </c>
      <c r="I24" s="66" t="n">
        <v>8.449999999999999</v>
      </c>
      <c r="J24" s="68" t="n">
        <v>8.550000000000001</v>
      </c>
      <c r="K24" s="70" t="inlineStr">
        <is>
          <t>A-</t>
        </is>
      </c>
      <c r="L24" s="107" t="inlineStr">
        <is>
          <t>A-</t>
        </is>
      </c>
      <c r="M24" s="76" t="inlineStr">
        <is>
          <t>A-</t>
        </is>
      </c>
      <c r="N24" s="238">
        <f>TRUNC(AVERAGE(D24:J24),2)</f>
        <v/>
      </c>
      <c r="O24" s="85" t="inlineStr">
        <is>
          <t>S</t>
        </is>
      </c>
      <c r="P24" s="87" t="inlineStr">
        <is>
          <t>PROMOVIDO</t>
        </is>
      </c>
    </row>
    <row r="25" ht="15" customHeight="1" s="226">
      <c r="A25" s="48" t="n">
        <v>19</v>
      </c>
      <c r="B25" s="237" t="inlineStr">
        <is>
          <t>ILLESCAS CAÑAR DANNY ISMAEL</t>
        </is>
      </c>
      <c r="C25" s="50" t="n"/>
      <c r="D25" s="53" t="n">
        <v>7.07</v>
      </c>
      <c r="E25" s="59" t="n">
        <v>7.08</v>
      </c>
      <c r="F25" s="58" t="n">
        <v>7.05</v>
      </c>
      <c r="G25" s="238" t="n">
        <v>7.29</v>
      </c>
      <c r="H25" s="90" t="n">
        <v>7.35</v>
      </c>
      <c r="I25" s="66" t="n">
        <v>7.39</v>
      </c>
      <c r="J25" s="68" t="n">
        <v>7.46</v>
      </c>
      <c r="K25" s="70" t="inlineStr">
        <is>
          <t>A-</t>
        </is>
      </c>
      <c r="L25" s="107" t="inlineStr">
        <is>
          <t>B-</t>
        </is>
      </c>
      <c r="M25" s="76" t="inlineStr">
        <is>
          <t>B+</t>
        </is>
      </c>
      <c r="N25" s="238">
        <f>TRUNC(AVERAGE(D25:J25),2)</f>
        <v/>
      </c>
      <c r="O25" s="85" t="inlineStr">
        <is>
          <t>O</t>
        </is>
      </c>
      <c r="P25" s="87" t="inlineStr">
        <is>
          <t>PROMOVIDO</t>
        </is>
      </c>
    </row>
    <row r="26" ht="15" customHeight="1" s="226">
      <c r="A26" s="48" t="n">
        <v>20</v>
      </c>
      <c r="B26" s="237" t="inlineStr">
        <is>
          <t>JIMENEZ CUMBE ELVIS ARIEL</t>
        </is>
      </c>
      <c r="C26" s="50" t="n"/>
      <c r="D26" s="53" t="n">
        <v>7.32</v>
      </c>
      <c r="E26" s="59" t="n">
        <v>7</v>
      </c>
      <c r="F26" s="58" t="n">
        <v>7</v>
      </c>
      <c r="G26" s="238" t="n">
        <v>7.32</v>
      </c>
      <c r="H26" s="90" t="n">
        <v>7</v>
      </c>
      <c r="I26" s="66" t="n">
        <v>7.02</v>
      </c>
      <c r="J26" s="68" t="n">
        <v>7.01</v>
      </c>
      <c r="K26" s="70" t="inlineStr">
        <is>
          <t>B-</t>
        </is>
      </c>
      <c r="L26" s="107" t="inlineStr">
        <is>
          <t>B-</t>
        </is>
      </c>
      <c r="M26" s="76" t="inlineStr">
        <is>
          <t>B+</t>
        </is>
      </c>
      <c r="N26" s="83">
        <f>TRUNC(AVERAGE(D26:J26),2)</f>
        <v/>
      </c>
      <c r="O26" s="85" t="inlineStr">
        <is>
          <t>F</t>
        </is>
      </c>
      <c r="P26" s="87" t="inlineStr">
        <is>
          <t>PROMOVIDO</t>
        </is>
      </c>
    </row>
    <row r="27" ht="18" customHeight="1" s="226">
      <c r="A27" s="48" t="n">
        <v>21</v>
      </c>
      <c r="B27" s="237" t="inlineStr">
        <is>
          <t>LEMA SANISACA MATIAS SEBASTIAN</t>
        </is>
      </c>
      <c r="C27" s="50" t="n"/>
      <c r="D27" s="53" t="n">
        <v>7.4</v>
      </c>
      <c r="E27" s="59" t="n">
        <v>7.29</v>
      </c>
      <c r="F27" s="89" t="n">
        <v>7.57</v>
      </c>
      <c r="G27" s="238" t="n">
        <v>8.91</v>
      </c>
      <c r="H27" s="90" t="n">
        <v>8.01</v>
      </c>
      <c r="I27" s="66" t="n">
        <v>7.42</v>
      </c>
      <c r="J27" s="68" t="n">
        <v>7.95</v>
      </c>
      <c r="K27" s="70" t="inlineStr">
        <is>
          <t>B+</t>
        </is>
      </c>
      <c r="L27" s="107" t="inlineStr">
        <is>
          <t>B+</t>
        </is>
      </c>
      <c r="M27" s="76" t="inlineStr">
        <is>
          <t>A-</t>
        </is>
      </c>
      <c r="N27" s="238">
        <f>TRUNC(AVERAGE(D27:J27),2)</f>
        <v/>
      </c>
      <c r="O27" s="85" t="inlineStr">
        <is>
          <t>F</t>
        </is>
      </c>
      <c r="P27" s="87" t="inlineStr">
        <is>
          <t>PROMOVIDO</t>
        </is>
      </c>
    </row>
    <row r="28" ht="15" customHeight="1" s="226">
      <c r="A28" s="48" t="n">
        <v>22</v>
      </c>
      <c r="B28" s="50" t="inlineStr">
        <is>
          <t>LLIVICHUZHCA MENDOZA JORGE LUIS</t>
        </is>
      </c>
      <c r="C28" s="50" t="n"/>
      <c r="D28" s="53" t="n">
        <v>8.369999999999999</v>
      </c>
      <c r="E28" s="131" t="n">
        <v>7.14</v>
      </c>
      <c r="F28" s="58" t="n">
        <v>7.39</v>
      </c>
      <c r="G28" s="61" t="n">
        <v>9.01</v>
      </c>
      <c r="H28" s="90" t="n">
        <v>8.16</v>
      </c>
      <c r="I28" s="66" t="n">
        <v>8.4</v>
      </c>
      <c r="J28" s="68" t="n">
        <v>8.24</v>
      </c>
      <c r="K28" s="70" t="inlineStr">
        <is>
          <t>A-</t>
        </is>
      </c>
      <c r="L28" s="107" t="inlineStr">
        <is>
          <t>A-</t>
        </is>
      </c>
      <c r="M28" s="76" t="inlineStr">
        <is>
          <t>A-</t>
        </is>
      </c>
      <c r="N28" s="83">
        <f>TRUNC(AVERAGE(D28:J28),2)</f>
        <v/>
      </c>
      <c r="O28" s="85" t="inlineStr">
        <is>
          <t>S</t>
        </is>
      </c>
      <c r="P28" s="87" t="inlineStr">
        <is>
          <t>PROMOVIDO</t>
        </is>
      </c>
    </row>
    <row r="29" ht="18" customHeight="1" s="226">
      <c r="A29" s="48" t="n">
        <v>23</v>
      </c>
      <c r="B29" s="237" t="inlineStr">
        <is>
          <t>MATUTE GUTAMA ANTONI MATEO</t>
        </is>
      </c>
      <c r="C29" s="50" t="n"/>
      <c r="D29" s="53" t="n">
        <v>8.9</v>
      </c>
      <c r="E29" s="131" t="n">
        <v>7.87</v>
      </c>
      <c r="F29" s="89" t="n">
        <v>7.67</v>
      </c>
      <c r="G29" s="238" t="n">
        <v>8.24</v>
      </c>
      <c r="H29" s="90" t="n">
        <v>8.67</v>
      </c>
      <c r="I29" s="66" t="n">
        <v>8.460000000000001</v>
      </c>
      <c r="J29" s="68" t="n">
        <v>8.18</v>
      </c>
      <c r="K29" s="70" t="inlineStr">
        <is>
          <t>A-</t>
        </is>
      </c>
      <c r="L29" s="107" t="inlineStr">
        <is>
          <t>A-</t>
        </is>
      </c>
      <c r="M29" s="76" t="inlineStr">
        <is>
          <t>A-</t>
        </is>
      </c>
      <c r="N29" s="238">
        <f>TRUNC(AVERAGE(D29:J29),2)</f>
        <v/>
      </c>
      <c r="O29" s="85" t="inlineStr">
        <is>
          <t>S</t>
        </is>
      </c>
      <c r="P29" s="87" t="inlineStr">
        <is>
          <t>PROMOVIDO</t>
        </is>
      </c>
    </row>
    <row r="30" ht="15" customHeight="1" s="226">
      <c r="A30" s="48" t="n">
        <v>24</v>
      </c>
      <c r="B30" s="237" t="inlineStr">
        <is>
          <t>MEJIA VALDEZ JOSELINE NATHALY</t>
        </is>
      </c>
      <c r="C30" s="50" t="n"/>
      <c r="D30" s="53" t="n">
        <v>7.92</v>
      </c>
      <c r="E30" s="131" t="n">
        <v>7.17</v>
      </c>
      <c r="F30" s="58" t="n">
        <v>7</v>
      </c>
      <c r="G30" s="238" t="n">
        <v>8.98</v>
      </c>
      <c r="H30" s="90" t="n">
        <v>7.16</v>
      </c>
      <c r="I30" s="66" t="n">
        <v>7.35</v>
      </c>
      <c r="J30" s="68" t="n">
        <v>7.4</v>
      </c>
      <c r="K30" s="70" t="inlineStr">
        <is>
          <t>A-</t>
        </is>
      </c>
      <c r="L30" s="107" t="inlineStr">
        <is>
          <t>A-</t>
        </is>
      </c>
      <c r="M30" s="76" t="inlineStr">
        <is>
          <t>A-</t>
        </is>
      </c>
      <c r="N30" s="238">
        <f>TRUNC(AVERAGE(D30:J30),2)</f>
        <v/>
      </c>
      <c r="O30" s="85" t="inlineStr">
        <is>
          <t>S</t>
        </is>
      </c>
      <c r="P30" s="87" t="inlineStr">
        <is>
          <t>PROMOVIDO</t>
        </is>
      </c>
    </row>
    <row r="31" ht="15" customHeight="1" s="226">
      <c r="A31" s="48" t="n">
        <v>25</v>
      </c>
      <c r="B31" s="50" t="inlineStr">
        <is>
          <t>MENDEZ ORDOÑEZ EMILY JAYLIN</t>
        </is>
      </c>
      <c r="C31" s="50" t="n"/>
      <c r="D31" s="53" t="n">
        <v>9.02</v>
      </c>
      <c r="E31" s="131" t="n">
        <v>8.35</v>
      </c>
      <c r="F31" s="58" t="n">
        <v>8.470000000000001</v>
      </c>
      <c r="G31" s="61" t="n">
        <v>9.17</v>
      </c>
      <c r="H31" s="90" t="n">
        <v>8.84</v>
      </c>
      <c r="I31" s="66" t="n">
        <v>8.619999999999999</v>
      </c>
      <c r="J31" s="68" t="n">
        <v>9.119999999999999</v>
      </c>
      <c r="K31" s="70" t="inlineStr">
        <is>
          <t>A-</t>
        </is>
      </c>
      <c r="L31" s="107" t="inlineStr">
        <is>
          <t>A+</t>
        </is>
      </c>
      <c r="M31" s="76" t="inlineStr">
        <is>
          <t>A+</t>
        </is>
      </c>
      <c r="N31" s="83">
        <f>TRUNC(AVERAGE(D31:J31),2)</f>
        <v/>
      </c>
      <c r="O31" s="85" t="inlineStr">
        <is>
          <t>S</t>
        </is>
      </c>
      <c r="P31" s="87" t="inlineStr">
        <is>
          <t>PROMOVIDO</t>
        </is>
      </c>
    </row>
    <row r="32" ht="15" customHeight="1" s="226">
      <c r="A32" s="48" t="n">
        <v>26</v>
      </c>
      <c r="B32" s="237" t="inlineStr">
        <is>
          <t>MICHAY AVILA DAYANA NICOL</t>
        </is>
      </c>
      <c r="C32" s="50" t="n"/>
      <c r="D32" s="53" t="n">
        <v>9.710000000000001</v>
      </c>
      <c r="E32" s="59" t="n">
        <v>9.07</v>
      </c>
      <c r="F32" s="89" t="n">
        <v>9.1</v>
      </c>
      <c r="G32" s="238" t="n">
        <v>9.359999999999999</v>
      </c>
      <c r="H32" s="90" t="n">
        <v>9.92</v>
      </c>
      <c r="I32" s="66" t="n">
        <v>9.82</v>
      </c>
      <c r="J32" s="68" t="n">
        <v>9.52</v>
      </c>
      <c r="K32" s="70" t="inlineStr">
        <is>
          <t>A+</t>
        </is>
      </c>
      <c r="L32" s="107" t="inlineStr">
        <is>
          <t>A+</t>
        </is>
      </c>
      <c r="M32" s="76" t="inlineStr">
        <is>
          <t>A+</t>
        </is>
      </c>
      <c r="N32" s="83">
        <f>TRUNC(AVERAGE(D32:J32),2)</f>
        <v/>
      </c>
      <c r="O32" s="85" t="inlineStr">
        <is>
          <t>S</t>
        </is>
      </c>
      <c r="P32" s="87" t="inlineStr">
        <is>
          <t>PROMOVIDO</t>
        </is>
      </c>
    </row>
    <row r="33" ht="15" customHeight="1" s="226">
      <c r="A33" s="48" t="n">
        <v>27</v>
      </c>
      <c r="B33" s="237" t="inlineStr">
        <is>
          <t>MICHAY AVILA JAIME ENRIQUE</t>
        </is>
      </c>
      <c r="C33" s="50" t="n"/>
      <c r="D33" s="53" t="n">
        <v>9.130000000000001</v>
      </c>
      <c r="E33" s="131" t="n">
        <v>7.84</v>
      </c>
      <c r="F33" s="89" t="n">
        <v>8.94</v>
      </c>
      <c r="G33" s="238" t="n">
        <v>7.89</v>
      </c>
      <c r="H33" s="90" t="n">
        <v>8.289999999999999</v>
      </c>
      <c r="I33" s="66" t="n">
        <v>8.890000000000001</v>
      </c>
      <c r="J33" s="68" t="n">
        <v>9.26</v>
      </c>
      <c r="K33" s="70" t="inlineStr">
        <is>
          <t>A-</t>
        </is>
      </c>
      <c r="L33" s="107" t="inlineStr">
        <is>
          <t>A+</t>
        </is>
      </c>
      <c r="M33" s="76" t="inlineStr">
        <is>
          <t>A+</t>
        </is>
      </c>
      <c r="N33" s="238">
        <f>TRUNC(AVERAGE(D33:J33),2)</f>
        <v/>
      </c>
      <c r="O33" s="85" t="inlineStr">
        <is>
          <t>S</t>
        </is>
      </c>
      <c r="P33" s="87" t="inlineStr">
        <is>
          <t>PROMOVIDO</t>
        </is>
      </c>
    </row>
    <row r="34" ht="15" customHeight="1" s="226">
      <c r="A34" s="48" t="n">
        <v>28</v>
      </c>
      <c r="B34" s="237" t="inlineStr">
        <is>
          <t>NIOLA ALBANCANDO ESTRELLA ESTEFANIA</t>
        </is>
      </c>
      <c r="C34" s="50" t="n"/>
      <c r="D34" s="53" t="n">
        <v>8.52</v>
      </c>
      <c r="E34" s="112" t="n">
        <v>7.65</v>
      </c>
      <c r="F34" s="58" t="n">
        <v>7</v>
      </c>
      <c r="G34" s="238" t="n">
        <v>7.92</v>
      </c>
      <c r="H34" s="90" t="n">
        <v>8.32</v>
      </c>
      <c r="I34" s="66" t="n">
        <v>8.880000000000001</v>
      </c>
      <c r="J34" s="68" t="n">
        <v>8.390000000000001</v>
      </c>
      <c r="K34" s="70" t="inlineStr">
        <is>
          <t>A+</t>
        </is>
      </c>
      <c r="L34" s="107" t="inlineStr">
        <is>
          <t>A-</t>
        </is>
      </c>
      <c r="M34" s="76" t="inlineStr">
        <is>
          <t>A-</t>
        </is>
      </c>
      <c r="N34" s="238">
        <f>TRUNC(AVERAGE(D34:J34),2)</f>
        <v/>
      </c>
      <c r="O34" s="85" t="inlineStr">
        <is>
          <t>S</t>
        </is>
      </c>
      <c r="P34" s="87" t="inlineStr">
        <is>
          <t>PROMOVIDO</t>
        </is>
      </c>
    </row>
    <row r="35" ht="15" customHeight="1" s="226">
      <c r="A35" s="48" t="n">
        <v>29</v>
      </c>
      <c r="B35" s="237" t="inlineStr">
        <is>
          <t>OCHOA ARMIJOS STEEVEN ADRIEL</t>
        </is>
      </c>
      <c r="C35" s="50" t="n"/>
      <c r="D35" s="53" t="n">
        <v>7.17</v>
      </c>
      <c r="E35" s="131" t="n">
        <v>7</v>
      </c>
      <c r="F35" s="58" t="n">
        <v>7.2</v>
      </c>
      <c r="G35" s="238" t="n">
        <v>7.53</v>
      </c>
      <c r="H35" s="90" t="n">
        <v>7.48</v>
      </c>
      <c r="I35" s="66" t="n">
        <v>7.29</v>
      </c>
      <c r="J35" s="68" t="n">
        <v>7.25</v>
      </c>
      <c r="K35" s="70" t="inlineStr">
        <is>
          <t>B-</t>
        </is>
      </c>
      <c r="L35" s="107" t="inlineStr">
        <is>
          <t>B-</t>
        </is>
      </c>
      <c r="M35" s="76" t="inlineStr">
        <is>
          <t>B+</t>
        </is>
      </c>
      <c r="N35" s="238">
        <f>TRUNC(AVERAGE(D35:J35),2)</f>
        <v/>
      </c>
      <c r="O35" s="85" t="inlineStr">
        <is>
          <t>S</t>
        </is>
      </c>
      <c r="P35" s="87" t="inlineStr">
        <is>
          <t>PROMOVIDO</t>
        </is>
      </c>
    </row>
    <row r="36" ht="15" customHeight="1" s="226">
      <c r="A36" s="48" t="n">
        <v>30</v>
      </c>
      <c r="B36" s="237" t="inlineStr">
        <is>
          <t>ORTIZ JAMI KIMBERLY ALEXANDRA</t>
        </is>
      </c>
      <c r="C36" s="50" t="n"/>
      <c r="D36" s="53" t="n">
        <v>7.6</v>
      </c>
      <c r="E36" s="131" t="n">
        <v>7.67</v>
      </c>
      <c r="F36" s="58" t="n">
        <v>7.05</v>
      </c>
      <c r="G36" s="238" t="n">
        <v>8.18</v>
      </c>
      <c r="H36" s="90" t="n">
        <v>7.94</v>
      </c>
      <c r="I36" s="66" t="n">
        <v>7.7</v>
      </c>
      <c r="J36" s="68" t="n">
        <v>7.81</v>
      </c>
      <c r="K36" s="70" t="inlineStr">
        <is>
          <t>A-</t>
        </is>
      </c>
      <c r="L36" s="107" t="inlineStr">
        <is>
          <t>A+</t>
        </is>
      </c>
      <c r="M36" s="76" t="inlineStr">
        <is>
          <t>A+</t>
        </is>
      </c>
      <c r="N36" s="83">
        <f>TRUNC(AVERAGE(D36:J36),2)</f>
        <v/>
      </c>
      <c r="O36" s="85" t="inlineStr">
        <is>
          <t>S</t>
        </is>
      </c>
      <c r="P36" s="87" t="inlineStr">
        <is>
          <t>PROMOVIDO</t>
        </is>
      </c>
    </row>
    <row r="37" ht="15" customHeight="1" s="226">
      <c r="A37" s="48" t="n">
        <v>31</v>
      </c>
      <c r="B37" s="237" t="inlineStr">
        <is>
          <t>ORTIZ SAMANIEGO LIS FERNANDA</t>
        </is>
      </c>
      <c r="C37" s="50" t="n"/>
      <c r="D37" s="53" t="n">
        <v>7.99</v>
      </c>
      <c r="E37" s="131" t="n">
        <v>7.74</v>
      </c>
      <c r="F37" s="58" t="n">
        <v>7.01</v>
      </c>
      <c r="G37" s="238" t="n">
        <v>8.08</v>
      </c>
      <c r="H37" s="90" t="n">
        <v>8.08</v>
      </c>
      <c r="I37" s="66" t="n">
        <v>8.550000000000001</v>
      </c>
      <c r="J37" s="68" t="n">
        <v>8.26</v>
      </c>
      <c r="K37" s="70" t="inlineStr">
        <is>
          <t>A-</t>
        </is>
      </c>
      <c r="L37" s="107" t="inlineStr">
        <is>
          <t>A-</t>
        </is>
      </c>
      <c r="M37" s="76" t="inlineStr">
        <is>
          <t>A-</t>
        </is>
      </c>
      <c r="N37" s="238">
        <f>TRUNC(AVERAGE(D37:J37),2)</f>
        <v/>
      </c>
      <c r="O37" s="85" t="inlineStr">
        <is>
          <t>S</t>
        </is>
      </c>
      <c r="P37" s="87" t="inlineStr">
        <is>
          <t>PROMOVIDO</t>
        </is>
      </c>
    </row>
    <row r="38" ht="15" customHeight="1" s="226">
      <c r="A38" s="48" t="n">
        <v>32</v>
      </c>
      <c r="B38" s="237" t="inlineStr">
        <is>
          <t>PAÑEGA UZHCA JUSTIN ALEXANDER</t>
        </is>
      </c>
      <c r="C38" s="50" t="n"/>
      <c r="D38" s="53" t="n">
        <v>7.8</v>
      </c>
      <c r="E38" s="59" t="n">
        <v>7.03</v>
      </c>
      <c r="F38" s="89" t="n">
        <v>7.43</v>
      </c>
      <c r="G38" s="238" t="n">
        <v>8.869999999999999</v>
      </c>
      <c r="H38" s="90" t="n">
        <v>7.59</v>
      </c>
      <c r="I38" s="66" t="n">
        <v>7.66</v>
      </c>
      <c r="J38" s="68" t="n">
        <v>7.9</v>
      </c>
      <c r="K38" s="70" t="inlineStr">
        <is>
          <t>A-</t>
        </is>
      </c>
      <c r="L38" s="107" t="inlineStr">
        <is>
          <t>A-</t>
        </is>
      </c>
      <c r="M38" s="76" t="inlineStr">
        <is>
          <t>A-</t>
        </is>
      </c>
      <c r="N38" s="238">
        <f>TRUNC(AVERAGE(D38:J38),2)</f>
        <v/>
      </c>
      <c r="O38" s="85" t="inlineStr">
        <is>
          <t>S</t>
        </is>
      </c>
      <c r="P38" s="87" t="inlineStr">
        <is>
          <t>PROMOVIDO</t>
        </is>
      </c>
    </row>
    <row r="39" ht="15" customHeight="1" s="226">
      <c r="A39" s="48" t="n">
        <v>33</v>
      </c>
      <c r="B39" s="237" t="inlineStr">
        <is>
          <t>PUMA RAMON BRYAN ANTHONY</t>
        </is>
      </c>
      <c r="C39" s="50" t="n"/>
      <c r="D39" s="53" t="n">
        <v>7.46</v>
      </c>
      <c r="E39" s="238" t="n">
        <v>7</v>
      </c>
      <c r="F39" s="58" t="n">
        <v>7</v>
      </c>
      <c r="G39" s="238" t="n">
        <v>8.859999999999999</v>
      </c>
      <c r="H39" s="90" t="n">
        <v>7.8</v>
      </c>
      <c r="I39" s="66" t="n">
        <v>7.35</v>
      </c>
      <c r="J39" s="68" t="n">
        <v>7.04</v>
      </c>
      <c r="K39" s="70" t="inlineStr">
        <is>
          <t>B+</t>
        </is>
      </c>
      <c r="L39" s="107" t="inlineStr">
        <is>
          <t>B+</t>
        </is>
      </c>
      <c r="M39" s="76" t="inlineStr">
        <is>
          <t>B+</t>
        </is>
      </c>
      <c r="N39" s="238">
        <f>TRUNC(AVERAGE(D39:J39),2)</f>
        <v/>
      </c>
      <c r="O39" s="85" t="inlineStr">
        <is>
          <t>F</t>
        </is>
      </c>
      <c r="P39" s="87" t="inlineStr">
        <is>
          <t>PROMOVIDO</t>
        </is>
      </c>
    </row>
    <row r="40" ht="15.75" customHeight="1" s="226">
      <c r="A40" s="48" t="n">
        <v>34</v>
      </c>
      <c r="B40" s="237" t="inlineStr">
        <is>
          <t>QUINDE ZUMBA VALERIA ESTEFANIA</t>
        </is>
      </c>
      <c r="C40" s="50" t="n"/>
      <c r="D40" s="53" t="n">
        <v>9.52</v>
      </c>
      <c r="E40" s="131" t="n">
        <v>8.949999999999999</v>
      </c>
      <c r="F40" s="58" t="n">
        <v>9.9</v>
      </c>
      <c r="G40" s="238" t="n">
        <v>8.119999999999999</v>
      </c>
      <c r="H40" s="90" t="n">
        <v>9.85</v>
      </c>
      <c r="I40" s="66" t="n">
        <v>9.68</v>
      </c>
      <c r="J40" s="68" t="n">
        <v>9.57</v>
      </c>
      <c r="K40" s="70" t="inlineStr">
        <is>
          <t>A-</t>
        </is>
      </c>
      <c r="L40" s="107" t="inlineStr">
        <is>
          <t>A+</t>
        </is>
      </c>
      <c r="M40" s="76" t="inlineStr">
        <is>
          <t>A+</t>
        </is>
      </c>
      <c r="N40" s="238">
        <f>TRUNC(AVERAGE(D40:J40),2)</f>
        <v/>
      </c>
      <c r="O40" s="85" t="inlineStr">
        <is>
          <t>S</t>
        </is>
      </c>
      <c r="P40" s="87" t="inlineStr">
        <is>
          <t>PROMOVIDO</t>
        </is>
      </c>
    </row>
    <row r="41" ht="15" customHeight="1" s="226">
      <c r="A41" s="48" t="n">
        <v>35</v>
      </c>
      <c r="B41" s="237" t="inlineStr">
        <is>
          <t>QUIZHPI GUAMANCELA MELANY NICOLE</t>
        </is>
      </c>
      <c r="C41" s="50" t="n"/>
      <c r="D41" s="53" t="n">
        <v>9.23</v>
      </c>
      <c r="E41" s="131" t="n">
        <v>9.140000000000001</v>
      </c>
      <c r="F41" s="58" t="n">
        <v>8.41</v>
      </c>
      <c r="G41" s="238" t="n">
        <v>8.31</v>
      </c>
      <c r="H41" s="90" t="n">
        <v>9.359999999999999</v>
      </c>
      <c r="I41" s="66" t="n">
        <v>9.460000000000001</v>
      </c>
      <c r="J41" s="68" t="n">
        <v>9.31</v>
      </c>
      <c r="K41" s="70" t="inlineStr">
        <is>
          <t>A+</t>
        </is>
      </c>
      <c r="L41" s="107" t="inlineStr">
        <is>
          <t>A+</t>
        </is>
      </c>
      <c r="M41" s="76" t="inlineStr">
        <is>
          <t>A-</t>
        </is>
      </c>
      <c r="N41" s="238">
        <f>TRUNC(AVERAGE(D41:J41),2)</f>
        <v/>
      </c>
      <c r="O41" s="85" t="inlineStr">
        <is>
          <t>S</t>
        </is>
      </c>
      <c r="P41" s="87" t="inlineStr">
        <is>
          <t>PROMOVIDO</t>
        </is>
      </c>
    </row>
    <row r="42" ht="14.25" customHeight="1" s="226">
      <c r="A42" s="48" t="n">
        <v>36</v>
      </c>
      <c r="B42" s="237" t="inlineStr">
        <is>
          <t>RIVERA SALDAÑA CAROLINA ESTEFANIA</t>
        </is>
      </c>
      <c r="C42" s="50" t="n"/>
      <c r="D42" s="53" t="n">
        <v>7.6</v>
      </c>
      <c r="E42" s="131" t="n">
        <v>7.66</v>
      </c>
      <c r="F42" s="58" t="n">
        <v>8.07</v>
      </c>
      <c r="G42" s="238" t="n">
        <v>8.77</v>
      </c>
      <c r="H42" s="90" t="n">
        <v>8.130000000000001</v>
      </c>
      <c r="I42" s="66" t="n">
        <v>8.1</v>
      </c>
      <c r="J42" s="68" t="n">
        <v>8.380000000000001</v>
      </c>
      <c r="K42" s="70" t="inlineStr">
        <is>
          <t>B+</t>
        </is>
      </c>
      <c r="L42" s="107" t="inlineStr">
        <is>
          <t>B+</t>
        </is>
      </c>
      <c r="M42" s="76" t="inlineStr">
        <is>
          <t>B+</t>
        </is>
      </c>
      <c r="N42" s="238">
        <f>TRUNC(AVERAGE(D42:J42),2)</f>
        <v/>
      </c>
      <c r="O42" s="85" t="inlineStr">
        <is>
          <t>S</t>
        </is>
      </c>
      <c r="P42" s="87" t="inlineStr">
        <is>
          <t>PROMOVIDO</t>
        </is>
      </c>
    </row>
    <row r="43" ht="15" customHeight="1" s="226">
      <c r="A43" s="48" t="n">
        <v>37</v>
      </c>
      <c r="B43" s="237" t="inlineStr">
        <is>
          <t>ROSADO GUZÑAY MISHEL ESTEFANIA</t>
        </is>
      </c>
      <c r="C43" s="50" t="n"/>
      <c r="D43" s="53" t="n">
        <v>7.59</v>
      </c>
      <c r="E43" s="131" t="n">
        <v>7.35</v>
      </c>
      <c r="F43" s="58" t="n">
        <v>7.12</v>
      </c>
      <c r="G43" s="238" t="n">
        <v>8.33</v>
      </c>
      <c r="H43" s="90" t="n">
        <v>7.82</v>
      </c>
      <c r="I43" s="66" t="n">
        <v>8.91</v>
      </c>
      <c r="J43" s="68" t="n">
        <v>8.289999999999999</v>
      </c>
      <c r="K43" s="70" t="inlineStr">
        <is>
          <t>B-</t>
        </is>
      </c>
      <c r="L43" s="107" t="inlineStr">
        <is>
          <t>A-</t>
        </is>
      </c>
      <c r="M43" s="76" t="inlineStr">
        <is>
          <t>A-</t>
        </is>
      </c>
      <c r="N43" s="238">
        <f>TRUNC(AVERAGE(D43:J43),2)</f>
        <v/>
      </c>
      <c r="O43" s="85" t="inlineStr">
        <is>
          <t>S</t>
        </is>
      </c>
      <c r="P43" s="87" t="inlineStr">
        <is>
          <t>PROMOVIDO</t>
        </is>
      </c>
    </row>
    <row r="44" ht="15" customHeight="1" s="226">
      <c r="A44" s="48" t="n">
        <v>38</v>
      </c>
      <c r="B44" s="237" t="inlineStr">
        <is>
          <t>SINCHI MUÑOZ SONIA ALEXANDRA</t>
        </is>
      </c>
      <c r="C44" s="50" t="n"/>
      <c r="D44" s="53" t="n">
        <v>8.99</v>
      </c>
      <c r="E44" s="131" t="n">
        <v>8.49</v>
      </c>
      <c r="F44" s="89" t="n">
        <v>7.6</v>
      </c>
      <c r="G44" s="238" t="n">
        <v>8.33</v>
      </c>
      <c r="H44" s="90" t="n">
        <v>9.42</v>
      </c>
      <c r="I44" s="66" t="n">
        <v>9.02</v>
      </c>
      <c r="J44" s="68" t="n">
        <v>9.289999999999999</v>
      </c>
      <c r="K44" s="70" t="inlineStr">
        <is>
          <t>A-</t>
        </is>
      </c>
      <c r="L44" s="107" t="inlineStr">
        <is>
          <t>A+</t>
        </is>
      </c>
      <c r="M44" s="76" t="inlineStr">
        <is>
          <t>A+</t>
        </is>
      </c>
      <c r="N44" s="238">
        <f>TRUNC(AVERAGE(D44:J44),2)</f>
        <v/>
      </c>
      <c r="O44" s="85" t="inlineStr">
        <is>
          <t>S</t>
        </is>
      </c>
      <c r="P44" s="87" t="inlineStr">
        <is>
          <t>PROMOVIDO</t>
        </is>
      </c>
    </row>
    <row r="45" ht="15" customHeight="1" s="226">
      <c r="A45" s="48" t="n">
        <v>39</v>
      </c>
      <c r="B45" s="237" t="inlineStr">
        <is>
          <t>SONGOR BARBECHO ANGELICA GUADALUPE</t>
        </is>
      </c>
      <c r="C45" s="50" t="n"/>
      <c r="D45" s="53" t="n">
        <v>8.74</v>
      </c>
      <c r="E45" s="131" t="n">
        <v>7.75</v>
      </c>
      <c r="F45" s="58" t="n">
        <v>7.94</v>
      </c>
      <c r="G45" s="238" t="n">
        <v>9.25</v>
      </c>
      <c r="H45" s="90" t="n">
        <v>9.1</v>
      </c>
      <c r="I45" s="66" t="n">
        <v>8.91</v>
      </c>
      <c r="J45" s="68" t="n">
        <v>8.529999999999999</v>
      </c>
      <c r="K45" s="70" t="inlineStr">
        <is>
          <t>A-</t>
        </is>
      </c>
      <c r="L45" s="107" t="inlineStr">
        <is>
          <t>A-</t>
        </is>
      </c>
      <c r="M45" s="76" t="inlineStr">
        <is>
          <t>A-</t>
        </is>
      </c>
      <c r="N45" s="238">
        <f>TRUNC(AVERAGE(D45:J45),2)</f>
        <v/>
      </c>
      <c r="O45" s="85" t="inlineStr">
        <is>
          <t>S</t>
        </is>
      </c>
      <c r="P45" s="87" t="inlineStr">
        <is>
          <t>PROMOVIDO</t>
        </is>
      </c>
    </row>
    <row r="46" ht="15" customHeight="1" s="226">
      <c r="A46" s="125" t="n">
        <v>40</v>
      </c>
      <c r="B46" s="50" t="inlineStr">
        <is>
          <t>TINOCO MORENO MARCOS STALIN</t>
        </is>
      </c>
      <c r="C46" s="50" t="n"/>
      <c r="D46" s="53" t="n">
        <v>7.38</v>
      </c>
      <c r="E46" s="59" t="n">
        <v>7</v>
      </c>
      <c r="F46" s="89" t="n">
        <v>7.23</v>
      </c>
      <c r="G46" s="61" t="n">
        <v>7.63</v>
      </c>
      <c r="H46" s="90" t="n">
        <v>7.45</v>
      </c>
      <c r="I46" s="66" t="n">
        <v>7.17</v>
      </c>
      <c r="J46" s="68" t="n">
        <v>7.4</v>
      </c>
      <c r="K46" s="70" t="inlineStr">
        <is>
          <t>A-</t>
        </is>
      </c>
      <c r="L46" s="107" t="inlineStr">
        <is>
          <t>B+</t>
        </is>
      </c>
      <c r="M46" s="76" t="inlineStr">
        <is>
          <t>B+</t>
        </is>
      </c>
      <c r="N46" s="83">
        <f>TRUNC(AVERAGE(D46:J46),2)</f>
        <v/>
      </c>
      <c r="O46" s="85" t="inlineStr">
        <is>
          <t>F</t>
        </is>
      </c>
      <c r="P46" s="87" t="inlineStr">
        <is>
          <t>PROMOVIDO</t>
        </is>
      </c>
      <c r="Q46" s="127" t="n"/>
    </row>
    <row r="47" ht="15" customHeight="1" s="226">
      <c r="A47" s="47" t="n">
        <v>41</v>
      </c>
      <c r="B47" s="241" t="inlineStr">
        <is>
          <t>VIVEROS BRITO DYLAN JOSHUE</t>
        </is>
      </c>
      <c r="C47" s="129" t="n"/>
      <c r="D47" s="53" t="n">
        <v>8.529999999999999</v>
      </c>
      <c r="E47" s="131" t="n">
        <v>7.95</v>
      </c>
      <c r="F47" s="242" t="n">
        <v>7.06</v>
      </c>
      <c r="G47" s="238" t="n">
        <v>8.07</v>
      </c>
      <c r="H47" s="90" t="n">
        <v>8.640000000000001</v>
      </c>
      <c r="I47" s="66" t="n">
        <v>8.52</v>
      </c>
      <c r="J47" s="68" t="n">
        <v>8.41</v>
      </c>
      <c r="K47" s="70" t="inlineStr">
        <is>
          <t>A-</t>
        </is>
      </c>
      <c r="L47" s="107" t="inlineStr">
        <is>
          <t>B-</t>
        </is>
      </c>
      <c r="M47" s="76" t="inlineStr">
        <is>
          <t>B+</t>
        </is>
      </c>
      <c r="N47" s="238">
        <f>TRUNC(AVERAGE(D47:J47),2)</f>
        <v/>
      </c>
      <c r="O47" s="85" t="inlineStr">
        <is>
          <t>F</t>
        </is>
      </c>
      <c r="P47" s="87" t="inlineStr">
        <is>
          <t>PROMOVIDO</t>
        </is>
      </c>
      <c r="Q47" s="127" t="n"/>
    </row>
    <row r="48" ht="14.25" customHeight="1" s="226">
      <c r="B48" s="13" t="inlineStr">
        <is>
          <t>Promedio</t>
        </is>
      </c>
      <c r="D48" s="150">
        <f>AVERAGE(D10:D47)</f>
        <v/>
      </c>
      <c r="E48" s="131">
        <f>AVERAGE(E10:E47)</f>
        <v/>
      </c>
      <c r="F48" s="136" t="n">
        <v>7.36</v>
      </c>
      <c r="G48" s="136">
        <f>AVERAGE(G10:G47)</f>
        <v/>
      </c>
      <c r="H48" s="136">
        <f>AVERAGE(H10:H47)</f>
        <v/>
      </c>
      <c r="I48" s="136">
        <f>AVERAGE(I10:I47)</f>
        <v/>
      </c>
      <c r="J48" s="136">
        <f>AVERAGE(J10:J47)</f>
        <v/>
      </c>
      <c r="K48" s="136" t="n"/>
      <c r="L48" s="154" t="n"/>
      <c r="M48" s="154" t="n"/>
      <c r="N48" s="136">
        <f>AVERAGE(N10:N47)</f>
        <v/>
      </c>
      <c r="O48" s="154" t="n"/>
      <c r="P48" s="141" t="n"/>
    </row>
    <row r="49" ht="14.25" customHeight="1" s="226"/>
    <row r="50" ht="14.25" customHeight="1" s="226">
      <c r="C50" s="229" t="inlineStr">
        <is>
          <t xml:space="preserve">Ing. Sonia Chicaiza Mgtr. </t>
        </is>
      </c>
      <c r="F50" s="230" t="inlineStr">
        <is>
          <t xml:space="preserve">Lcda. Lucia Uzhca Mgtr. </t>
        </is>
      </c>
      <c r="G50" s="231" t="n"/>
      <c r="H50" s="231" t="n"/>
      <c r="I50" s="232" t="n"/>
      <c r="J50" s="147" t="n"/>
      <c r="K50" s="230" t="inlineStr">
        <is>
          <t xml:space="preserve">Lcdo. Walter Guaman  Mgtr. </t>
        </is>
      </c>
      <c r="L50" s="231" t="n"/>
      <c r="M50" s="231" t="n"/>
      <c r="N50" s="231" t="n"/>
      <c r="O50" s="232" t="n"/>
    </row>
    <row r="51" ht="14.25" customHeight="1" s="226">
      <c r="C51" s="229" t="inlineStr">
        <is>
          <t>Rectora (e)</t>
        </is>
      </c>
      <c r="F51" s="230" t="inlineStr">
        <is>
          <t>Vicerrectora (e) Vespertina</t>
        </is>
      </c>
      <c r="G51" s="231" t="n"/>
      <c r="H51" s="231" t="n"/>
      <c r="I51" s="231" t="n"/>
      <c r="J51" s="232" t="n"/>
      <c r="K51" s="230" t="inlineStr">
        <is>
          <t>Docente Tutor</t>
        </is>
      </c>
      <c r="L51" s="231" t="n"/>
      <c r="M51" s="231" t="n"/>
      <c r="N51" s="232" t="n"/>
      <c r="O51" s="13" t="n"/>
    </row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4.25" customHeight="1" s="226"/>
    <row r="242" ht="14.25" customHeight="1" s="226"/>
    <row r="243" ht="14.25" customHeight="1" s="226"/>
    <row r="244" ht="14.25" customHeight="1" s="226"/>
    <row r="245" ht="14.25" customHeight="1" s="226"/>
    <row r="246" ht="14.25" customHeight="1" s="226"/>
    <row r="247" ht="14.2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  <row r="994" ht="15.75" customHeight="1" s="226"/>
  </sheetData>
  <mergeCells count="12">
    <mergeCell ref="F50:I50"/>
    <mergeCell ref="I4:J4"/>
    <mergeCell ref="B2:P2"/>
    <mergeCell ref="K3:N3"/>
    <mergeCell ref="F51:J51"/>
    <mergeCell ref="C51:D51"/>
    <mergeCell ref="A1:P1"/>
    <mergeCell ref="K51:N51"/>
    <mergeCell ref="C50:D50"/>
    <mergeCell ref="K50:O50"/>
    <mergeCell ref="C3:E3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4.86" customWidth="1" style="226" min="1" max="1"/>
    <col width="20.43" customWidth="1" style="226" min="2" max="2"/>
    <col width="23" customWidth="1" style="226" min="3" max="3"/>
    <col width="6.29" customWidth="1" style="226" min="4" max="4"/>
    <col width="8.140000000000001" customWidth="1" style="226" min="14" max="14"/>
    <col width="7.57" customWidth="1" style="226" min="15" max="15"/>
    <col width="18.71" customWidth="1" style="226" min="16" max="16"/>
    <col width="10.71" customWidth="1" style="226" min="17" max="17"/>
    <col width="14" customWidth="1" style="226" min="18" max="18"/>
  </cols>
  <sheetData>
    <row r="1" ht="72.75" customHeight="1" s="226">
      <c r="A1" s="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 xml:space="preserve">DOCENTE:             </t>
        </is>
      </c>
      <c r="C3" s="7" t="inlineStr">
        <is>
          <t>Lcdo. Juan Pablo González</t>
        </is>
      </c>
      <c r="F3" s="9" t="n"/>
      <c r="G3" s="9" t="n"/>
      <c r="H3" s="9" t="n"/>
      <c r="I3" s="10" t="inlineStr">
        <is>
          <t xml:space="preserve">JORNADA: </t>
        </is>
      </c>
      <c r="K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4" t="inlineStr">
        <is>
          <t>NOVENO B</t>
        </is>
      </c>
      <c r="E4" s="9" t="n"/>
      <c r="F4" s="9" t="n"/>
      <c r="G4" s="9" t="n"/>
      <c r="H4" s="9" t="n"/>
      <c r="I4" s="10" t="inlineStr">
        <is>
          <t>TRIMESTRE:</t>
        </is>
      </c>
      <c r="K4" s="15" t="inlineStr">
        <is>
          <t>PRIMERO, SEGUNDO, TERCERO</t>
        </is>
      </c>
      <c r="M4" s="9" t="n"/>
    </row>
    <row r="5" ht="6" customHeight="1" s="226">
      <c r="B5" s="16" t="n"/>
      <c r="C5" s="16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57.5" customHeight="1" s="226">
      <c r="A6" s="21" t="inlineStr">
        <is>
          <t>No</t>
        </is>
      </c>
      <c r="B6" s="233" t="inlineStr">
        <is>
          <t>NOMINA</t>
        </is>
      </c>
      <c r="C6" s="234" t="n"/>
      <c r="D6" s="28" t="inlineStr">
        <is>
          <t>LENGUA Y LITERATURA</t>
        </is>
      </c>
      <c r="E6" s="25" t="inlineStr">
        <is>
          <t>MATEMÁTICA</t>
        </is>
      </c>
      <c r="F6" s="30" t="inlineStr">
        <is>
          <t>CIENCIAS NATURALES</t>
        </is>
      </c>
      <c r="G6" s="29" t="inlineStr">
        <is>
          <t>ESTUDIOS SOCIALES</t>
        </is>
      </c>
      <c r="H6" s="33" t="inlineStr">
        <is>
          <t>INGLÉS</t>
        </is>
      </c>
      <c r="I6" s="37" t="inlineStr">
        <is>
          <t>EDUCACIÓN CULTURAL Y ARTISTICA</t>
        </is>
      </c>
      <c r="J6" s="34" t="inlineStr">
        <is>
          <t>EDUCACIÓN FÍSICA</t>
        </is>
      </c>
      <c r="K6" s="39" t="inlineStr">
        <is>
          <t>ANIMACIÓN A LA LECTURA</t>
        </is>
      </c>
      <c r="L6" s="38" t="inlineStr">
        <is>
          <t>ACOMPAÑAMIENTO INTEGRAL EN EL AULA</t>
        </is>
      </c>
      <c r="M6" s="28" t="inlineStr">
        <is>
          <t>ORIENTACIÓN VOCACIONAL</t>
        </is>
      </c>
      <c r="N6" s="43" t="inlineStr">
        <is>
          <t>PROMEDIO FINAL</t>
        </is>
      </c>
      <c r="O6" s="45" t="inlineStr">
        <is>
          <t>CCOMPORTAMIENTO</t>
        </is>
      </c>
      <c r="P6" s="46" t="inlineStr">
        <is>
          <t>OBSERVACIONES</t>
        </is>
      </c>
    </row>
    <row r="7" ht="14.25" customHeight="1" s="226">
      <c r="A7" s="51" t="n">
        <v>1</v>
      </c>
      <c r="B7" s="243" t="inlineStr">
        <is>
          <t>APOLO HERRERA RICHARD SEBASTIAN</t>
        </is>
      </c>
      <c r="C7" s="121" t="n"/>
      <c r="D7" s="53" t="n">
        <v>8.91</v>
      </c>
      <c r="E7" s="59" t="n">
        <v>9.029999999999999</v>
      </c>
      <c r="F7" s="62" t="n">
        <v>8.119999999999999</v>
      </c>
      <c r="G7" s="244" t="n">
        <v>8.890000000000001</v>
      </c>
      <c r="H7" s="73" t="n">
        <v>9.07</v>
      </c>
      <c r="I7" s="66" t="n">
        <v>8.710000000000001</v>
      </c>
      <c r="J7" s="68" t="n">
        <v>9.16</v>
      </c>
      <c r="K7" s="70" t="inlineStr">
        <is>
          <t>B+</t>
        </is>
      </c>
      <c r="L7" s="77" t="inlineStr">
        <is>
          <t>A-</t>
        </is>
      </c>
      <c r="M7" s="78" t="inlineStr">
        <is>
          <t>A+</t>
        </is>
      </c>
      <c r="N7" s="83">
        <f>TRUNC(AVERAGE(D7:J7),2)</f>
        <v/>
      </c>
      <c r="O7" s="85" t="inlineStr">
        <is>
          <t>S</t>
        </is>
      </c>
      <c r="P7" s="87" t="inlineStr">
        <is>
          <t>PROMOVIDO</t>
        </is>
      </c>
      <c r="Q7" s="88" t="n"/>
    </row>
    <row r="8" ht="15" customHeight="1" s="226">
      <c r="A8" s="51" t="n">
        <v>2</v>
      </c>
      <c r="B8" s="121" t="inlineStr">
        <is>
          <t>ARCE VILLAVICENCIO NATALIA ELIZABETH</t>
        </is>
      </c>
      <c r="C8" s="121" t="n"/>
      <c r="D8" s="53" t="n">
        <v>9.01</v>
      </c>
      <c r="E8" s="131" t="n">
        <v>8.35</v>
      </c>
      <c r="F8" s="91" t="n">
        <v>8.58</v>
      </c>
      <c r="G8" s="71" t="n">
        <v>9.15</v>
      </c>
      <c r="H8" s="73" t="n">
        <v>9</v>
      </c>
      <c r="I8" s="66" t="n">
        <v>8.74</v>
      </c>
      <c r="J8" s="68" t="n">
        <v>9.5</v>
      </c>
      <c r="K8" s="70" t="inlineStr">
        <is>
          <t>A-</t>
        </is>
      </c>
      <c r="L8" s="77" t="inlineStr">
        <is>
          <t>A-</t>
        </is>
      </c>
      <c r="M8" s="78" t="inlineStr">
        <is>
          <t>A+</t>
        </is>
      </c>
      <c r="N8" s="83">
        <f>TRUNC(AVERAGE(D8:J8),2)</f>
        <v/>
      </c>
      <c r="O8" s="85" t="inlineStr">
        <is>
          <t>S</t>
        </is>
      </c>
      <c r="P8" s="87" t="inlineStr">
        <is>
          <t>PROMOVIDO</t>
        </is>
      </c>
      <c r="Q8" s="88" t="n"/>
    </row>
    <row r="9" ht="15" customHeight="1" s="226">
      <c r="A9" s="51" t="n">
        <v>3</v>
      </c>
      <c r="B9" s="241" t="inlineStr">
        <is>
          <t>ARPI MOROCHO SOFIA KATHERINE</t>
        </is>
      </c>
      <c r="C9" s="121" t="n"/>
      <c r="D9" s="53" t="n">
        <v>8.210000000000001</v>
      </c>
      <c r="E9" s="59" t="n">
        <v>7.71</v>
      </c>
      <c r="F9" s="102" t="n">
        <v>7.3</v>
      </c>
      <c r="G9" s="244" t="n">
        <v>8.93</v>
      </c>
      <c r="H9" s="73" t="n">
        <v>7.64</v>
      </c>
      <c r="I9" s="66" t="n">
        <v>8.09</v>
      </c>
      <c r="J9" s="68" t="n">
        <v>9</v>
      </c>
      <c r="K9" s="70" t="inlineStr">
        <is>
          <t>A-</t>
        </is>
      </c>
      <c r="L9" s="77" t="inlineStr">
        <is>
          <t>B+</t>
        </is>
      </c>
      <c r="M9" s="78" t="inlineStr">
        <is>
          <t>A+</t>
        </is>
      </c>
      <c r="N9" s="238">
        <f>TRUNC(AVERAGE(D9:J9),2)</f>
        <v/>
      </c>
      <c r="O9" s="85" t="inlineStr">
        <is>
          <t>S</t>
        </is>
      </c>
      <c r="P9" s="87" t="inlineStr">
        <is>
          <t>PROMOVIDO</t>
        </is>
      </c>
      <c r="Q9" s="88" t="n"/>
    </row>
    <row r="10" ht="15" customHeight="1" s="226">
      <c r="A10" s="51" t="n">
        <v>4</v>
      </c>
      <c r="B10" s="243" t="inlineStr">
        <is>
          <t>CAGUANA VILLALTA NATALIA ISABELA</t>
        </is>
      </c>
      <c r="C10" s="121" t="n"/>
      <c r="D10" s="245" t="n">
        <v>7.92</v>
      </c>
      <c r="E10" s="131" t="n">
        <v>7</v>
      </c>
      <c r="F10" s="91" t="n">
        <v>7</v>
      </c>
      <c r="G10" s="244" t="n">
        <v>8.380000000000001</v>
      </c>
      <c r="H10" s="73" t="n">
        <v>7.97</v>
      </c>
      <c r="I10" s="66" t="n">
        <v>7.01</v>
      </c>
      <c r="J10" s="68" t="n">
        <v>7.64</v>
      </c>
      <c r="K10" s="70" t="inlineStr">
        <is>
          <t>B+</t>
        </is>
      </c>
      <c r="L10" s="77" t="inlineStr">
        <is>
          <t>B+</t>
        </is>
      </c>
      <c r="M10" s="78" t="inlineStr">
        <is>
          <t>A+</t>
        </is>
      </c>
      <c r="N10" s="238">
        <f>TRUNC(AVERAGE(D10:J10),2)</f>
        <v/>
      </c>
      <c r="O10" s="85" t="inlineStr">
        <is>
          <t>S</t>
        </is>
      </c>
      <c r="P10" s="87" t="inlineStr">
        <is>
          <t>PROMOVIDO</t>
        </is>
      </c>
      <c r="Q10" s="88" t="n"/>
    </row>
    <row r="11" ht="15" customHeight="1" s="226">
      <c r="A11" s="51" t="n">
        <v>5</v>
      </c>
      <c r="B11" s="243" t="inlineStr">
        <is>
          <t>CALLE CABRERA VICTORIA LORENA</t>
        </is>
      </c>
      <c r="C11" s="121" t="n"/>
      <c r="D11" s="245" t="n">
        <v>9.77</v>
      </c>
      <c r="E11" s="238" t="n">
        <v>9.800000000000001</v>
      </c>
      <c r="F11" s="109" t="n">
        <v>9.74</v>
      </c>
      <c r="G11" s="244" t="n">
        <v>9.630000000000001</v>
      </c>
      <c r="H11" s="73" t="n">
        <v>10</v>
      </c>
      <c r="I11" s="66" t="n">
        <v>9.81</v>
      </c>
      <c r="J11" s="68" t="n">
        <v>9.699999999999999</v>
      </c>
      <c r="K11" s="70" t="inlineStr">
        <is>
          <t>A+</t>
        </is>
      </c>
      <c r="L11" s="77" t="inlineStr">
        <is>
          <t>A+</t>
        </is>
      </c>
      <c r="M11" s="78" t="inlineStr">
        <is>
          <t>A+</t>
        </is>
      </c>
      <c r="N11" s="238">
        <f>TRUNC(AVERAGE(D11:J11),2)</f>
        <v/>
      </c>
      <c r="O11" s="85" t="inlineStr">
        <is>
          <t>S</t>
        </is>
      </c>
      <c r="P11" s="87" t="inlineStr">
        <is>
          <t>PROMOVIDO</t>
        </is>
      </c>
      <c r="Q11" s="88" t="n"/>
    </row>
    <row r="12" ht="15" customHeight="1" s="226">
      <c r="A12" s="51" t="n">
        <v>6</v>
      </c>
      <c r="B12" s="243" t="inlineStr">
        <is>
          <t>CHILLOGALLO NIEVES EVELYN MAGABY</t>
        </is>
      </c>
      <c r="C12" s="121" t="n"/>
      <c r="D12" s="53" t="n">
        <v>7.3</v>
      </c>
      <c r="E12" s="131" t="n">
        <v>7</v>
      </c>
      <c r="F12" s="102" t="n">
        <v>7</v>
      </c>
      <c r="G12" s="244" t="n">
        <v>7.09</v>
      </c>
      <c r="H12" s="73" t="n">
        <v>7.48</v>
      </c>
      <c r="I12" s="66" t="n">
        <v>7</v>
      </c>
      <c r="J12" s="68" t="n">
        <v>7.48</v>
      </c>
      <c r="K12" s="70" t="inlineStr">
        <is>
          <t>B+</t>
        </is>
      </c>
      <c r="L12" s="77" t="inlineStr">
        <is>
          <t>B+</t>
        </is>
      </c>
      <c r="M12" s="78" t="inlineStr">
        <is>
          <t>A+</t>
        </is>
      </c>
      <c r="N12" s="238">
        <f>TRUNC(AVERAGE(D12:J12),2)</f>
        <v/>
      </c>
      <c r="O12" s="85" t="inlineStr">
        <is>
          <t>S</t>
        </is>
      </c>
      <c r="P12" s="87" t="inlineStr">
        <is>
          <t>PROMOVIDO</t>
        </is>
      </c>
      <c r="Q12" s="88" t="n"/>
    </row>
    <row r="13" ht="15" customHeight="1" s="226">
      <c r="A13" s="51" t="n">
        <v>7</v>
      </c>
      <c r="B13" s="243" t="inlineStr">
        <is>
          <t>CRUZ LALVAY JHOSELIN DAYANNA</t>
        </is>
      </c>
      <c r="C13" s="121" t="n"/>
      <c r="D13" s="53" t="n">
        <v>7.31</v>
      </c>
      <c r="E13" s="131" t="n">
        <v>7</v>
      </c>
      <c r="F13" s="109" t="n">
        <v>7</v>
      </c>
      <c r="G13" s="244" t="n">
        <v>7.44</v>
      </c>
      <c r="H13" s="73" t="n">
        <v>7.32</v>
      </c>
      <c r="I13" s="66" t="n">
        <v>7.27</v>
      </c>
      <c r="J13" s="238" t="n">
        <v>8.449999999999999</v>
      </c>
      <c r="K13" s="70" t="inlineStr">
        <is>
          <t>B+</t>
        </is>
      </c>
      <c r="L13" s="77" t="inlineStr">
        <is>
          <t>B+</t>
        </is>
      </c>
      <c r="M13" s="78" t="inlineStr">
        <is>
          <t>A+</t>
        </is>
      </c>
      <c r="N13" s="238">
        <f>TRUNC(AVERAGE(D13:J13),2)</f>
        <v/>
      </c>
      <c r="O13" s="85" t="inlineStr">
        <is>
          <t>S</t>
        </is>
      </c>
      <c r="P13" s="87" t="inlineStr">
        <is>
          <t>PROMOVIDO</t>
        </is>
      </c>
      <c r="Q13" s="88" t="n"/>
    </row>
    <row r="14" ht="15" customHeight="1" s="226">
      <c r="A14" s="51" t="n">
        <v>8</v>
      </c>
      <c r="B14" s="243" t="inlineStr">
        <is>
          <t>ESPINOZA GUTIERREZ KELLY FERNANDA</t>
        </is>
      </c>
      <c r="C14" s="121" t="n"/>
      <c r="D14" s="53" t="n">
        <v>7.6</v>
      </c>
      <c r="E14" s="238" t="n">
        <v>7</v>
      </c>
      <c r="F14" s="62" t="n">
        <v>7</v>
      </c>
      <c r="G14" s="244" t="n">
        <v>7.54</v>
      </c>
      <c r="H14" s="73" t="n">
        <v>7.81</v>
      </c>
      <c r="I14" s="66" t="n">
        <v>7.84</v>
      </c>
      <c r="J14" s="68" t="n">
        <v>8.31</v>
      </c>
      <c r="K14" s="70" t="inlineStr">
        <is>
          <t>B+</t>
        </is>
      </c>
      <c r="L14" s="77" t="inlineStr">
        <is>
          <t>B+</t>
        </is>
      </c>
      <c r="M14" s="78" t="inlineStr">
        <is>
          <t>A+</t>
        </is>
      </c>
      <c r="N14" s="238">
        <f>TRUNC(AVERAGE(D14:J14),2)</f>
        <v/>
      </c>
      <c r="O14" s="85" t="inlineStr">
        <is>
          <t>S</t>
        </is>
      </c>
      <c r="P14" s="87" t="inlineStr">
        <is>
          <t>PROMOVIDO</t>
        </is>
      </c>
      <c r="Q14" s="88" t="n"/>
    </row>
    <row r="15" ht="15" customHeight="1" s="226">
      <c r="A15" s="51" t="n">
        <v>9</v>
      </c>
      <c r="B15" s="243" t="inlineStr">
        <is>
          <t>GONZALEZ CONTENTO YOSELIN FERNANDA</t>
        </is>
      </c>
      <c r="C15" s="121" t="n"/>
      <c r="D15" s="53" t="n">
        <v>9.27</v>
      </c>
      <c r="E15" s="131" t="n">
        <v>8.220000000000001</v>
      </c>
      <c r="F15" s="109" t="n">
        <v>8.67</v>
      </c>
      <c r="G15" s="244" t="n">
        <v>9.31</v>
      </c>
      <c r="H15" s="73" t="n">
        <v>9.49</v>
      </c>
      <c r="I15" s="66" t="n">
        <v>8.66</v>
      </c>
      <c r="J15" s="68" t="n">
        <v>9.119999999999999</v>
      </c>
      <c r="K15" s="70" t="inlineStr">
        <is>
          <t>A-</t>
        </is>
      </c>
      <c r="L15" s="77" t="inlineStr">
        <is>
          <t>A+</t>
        </is>
      </c>
      <c r="M15" s="78" t="inlineStr">
        <is>
          <t>A+</t>
        </is>
      </c>
      <c r="N15" s="83">
        <f>TRUNC(AVERAGE(D15:J15),2)</f>
        <v/>
      </c>
      <c r="O15" s="85" t="inlineStr">
        <is>
          <t>S</t>
        </is>
      </c>
      <c r="P15" s="87" t="inlineStr">
        <is>
          <t>PROMOVIDO</t>
        </is>
      </c>
      <c r="Q15" s="88" t="n"/>
    </row>
    <row r="16" ht="15" customHeight="1" s="226">
      <c r="A16" s="51" t="n">
        <v>10</v>
      </c>
      <c r="B16" s="243" t="inlineStr">
        <is>
          <t>GUAICHA CHUQUIMARCA DOMENICA CAMILA</t>
        </is>
      </c>
      <c r="C16" s="121" t="n"/>
      <c r="D16" s="245" t="n">
        <v>8.369999999999999</v>
      </c>
      <c r="E16" s="131" t="n">
        <v>7.81</v>
      </c>
      <c r="F16" s="109" t="n">
        <v>7.48</v>
      </c>
      <c r="G16" s="244" t="n">
        <v>9.08</v>
      </c>
      <c r="H16" s="73" t="n">
        <v>7.87</v>
      </c>
      <c r="I16" s="66" t="n">
        <v>7.97</v>
      </c>
      <c r="J16" s="68" t="n">
        <v>8.83</v>
      </c>
      <c r="K16" s="70" t="inlineStr">
        <is>
          <t>A-</t>
        </is>
      </c>
      <c r="L16" s="77" t="inlineStr">
        <is>
          <t>B+</t>
        </is>
      </c>
      <c r="M16" s="78" t="inlineStr">
        <is>
          <t>A+</t>
        </is>
      </c>
      <c r="N16" s="238">
        <f>TRUNC(AVERAGE(D16:J16),2)</f>
        <v/>
      </c>
      <c r="O16" s="85" t="inlineStr">
        <is>
          <t>S</t>
        </is>
      </c>
      <c r="P16" s="87" t="inlineStr">
        <is>
          <t>PROMOVIDO</t>
        </is>
      </c>
      <c r="Q16" s="88" t="n"/>
    </row>
    <row r="17" ht="15" customHeight="1" s="226">
      <c r="A17" s="51" t="n">
        <v>11</v>
      </c>
      <c r="B17" s="243" t="inlineStr">
        <is>
          <t>ILLESCAS PUMA DAVID ALEJANDRO</t>
        </is>
      </c>
      <c r="C17" s="121" t="n"/>
      <c r="D17" s="53" t="n">
        <v>9.220000000000001</v>
      </c>
      <c r="E17" s="131" t="n">
        <v>8.76</v>
      </c>
      <c r="F17" s="91" t="n">
        <v>8.43</v>
      </c>
      <c r="G17" s="244" t="n">
        <v>8.960000000000001</v>
      </c>
      <c r="H17" s="73" t="n">
        <v>9.359999999999999</v>
      </c>
      <c r="I17" s="66" t="n">
        <v>8.77</v>
      </c>
      <c r="J17" s="68" t="n">
        <v>9.19</v>
      </c>
      <c r="K17" s="70" t="inlineStr">
        <is>
          <t>A-</t>
        </is>
      </c>
      <c r="L17" s="77" t="inlineStr">
        <is>
          <t>A+</t>
        </is>
      </c>
      <c r="M17" s="78" t="inlineStr">
        <is>
          <t>A+</t>
        </is>
      </c>
      <c r="N17" s="83">
        <f>TRUNC(AVERAGE(D17:J17),2)</f>
        <v/>
      </c>
      <c r="O17" s="85" t="inlineStr">
        <is>
          <t>S</t>
        </is>
      </c>
      <c r="P17" s="87" t="inlineStr">
        <is>
          <t>PROMOVIDO</t>
        </is>
      </c>
      <c r="Q17" s="88" t="n"/>
    </row>
    <row r="18" ht="15" customHeight="1" s="226">
      <c r="A18" s="51" t="n">
        <v>12</v>
      </c>
      <c r="B18" s="243" t="inlineStr">
        <is>
          <t>JAIGUA CARDENAS MARIA VALENTINA</t>
        </is>
      </c>
      <c r="C18" s="121" t="n"/>
      <c r="D18" s="53" t="n">
        <v>9.279999999999999</v>
      </c>
      <c r="E18" s="131" t="n">
        <v>9.19</v>
      </c>
      <c r="F18" s="62" t="n">
        <v>9.109999999999999</v>
      </c>
      <c r="G18" s="244" t="n">
        <v>9.470000000000001</v>
      </c>
      <c r="H18" s="73" t="n">
        <v>9.359999999999999</v>
      </c>
      <c r="I18" s="66" t="n">
        <v>9.220000000000001</v>
      </c>
      <c r="J18" s="68" t="n">
        <v>9.609999999999999</v>
      </c>
      <c r="K18" s="70" t="inlineStr">
        <is>
          <t>A+</t>
        </is>
      </c>
      <c r="L18" s="77" t="inlineStr">
        <is>
          <t>A+</t>
        </is>
      </c>
      <c r="M18" s="78" t="inlineStr">
        <is>
          <t>A+</t>
        </is>
      </c>
      <c r="N18" s="238">
        <f>TRUNC(AVERAGE(D18:J18),2)</f>
        <v/>
      </c>
      <c r="O18" s="85" t="inlineStr">
        <is>
          <t>S</t>
        </is>
      </c>
      <c r="P18" s="87" t="inlineStr">
        <is>
          <t>PROMOVIDO</t>
        </is>
      </c>
      <c r="Q18" s="88" t="n"/>
    </row>
    <row r="19" ht="15" customHeight="1" s="226">
      <c r="A19" s="51" t="n">
        <v>13</v>
      </c>
      <c r="B19" s="243" t="inlineStr">
        <is>
          <t>MALLA GUARTAN JUAN DAVID</t>
        </is>
      </c>
      <c r="C19" s="121" t="n"/>
      <c r="D19" s="53" t="n">
        <v>8.51</v>
      </c>
      <c r="E19" s="131" t="n">
        <v>7.94</v>
      </c>
      <c r="F19" s="62" t="n">
        <v>7.59</v>
      </c>
      <c r="G19" s="238" t="n">
        <v>9.06</v>
      </c>
      <c r="H19" s="73" t="n">
        <v>8.710000000000001</v>
      </c>
      <c r="I19" s="66" t="n">
        <v>8.050000000000001</v>
      </c>
      <c r="J19" s="68" t="n">
        <v>9.17</v>
      </c>
      <c r="K19" s="70" t="inlineStr">
        <is>
          <t>A-</t>
        </is>
      </c>
      <c r="L19" s="77" t="inlineStr">
        <is>
          <t>A-</t>
        </is>
      </c>
      <c r="M19" s="78" t="inlineStr">
        <is>
          <t>A+</t>
        </is>
      </c>
      <c r="N19" s="238">
        <f>TRUNC(AVERAGE(D19:J19),2)</f>
        <v/>
      </c>
      <c r="O19" s="85" t="inlineStr">
        <is>
          <t>F</t>
        </is>
      </c>
      <c r="P19" s="87" t="inlineStr">
        <is>
          <t>PROMOVIDO</t>
        </is>
      </c>
      <c r="Q19" s="88" t="n"/>
    </row>
    <row r="20" ht="15" customHeight="1" s="226">
      <c r="A20" s="51" t="n">
        <v>14</v>
      </c>
      <c r="B20" s="243" t="inlineStr">
        <is>
          <t>MARCA LLANOS DANA VALENTINA</t>
        </is>
      </c>
      <c r="C20" s="121" t="n"/>
      <c r="D20" s="53" t="n">
        <v>9.52</v>
      </c>
      <c r="E20" s="131" t="n">
        <v>8.6</v>
      </c>
      <c r="F20" s="62" t="n">
        <v>9.06</v>
      </c>
      <c r="G20" s="238" t="n">
        <v>9.09</v>
      </c>
      <c r="H20" s="73" t="n">
        <v>9.640000000000001</v>
      </c>
      <c r="I20" s="66" t="n">
        <v>9.01</v>
      </c>
      <c r="J20" s="68" t="n">
        <v>9.56</v>
      </c>
      <c r="K20" s="70" t="inlineStr">
        <is>
          <t>A-</t>
        </is>
      </c>
      <c r="L20" s="77" t="inlineStr">
        <is>
          <t>A+</t>
        </is>
      </c>
      <c r="M20" s="78" t="inlineStr">
        <is>
          <t>A+</t>
        </is>
      </c>
      <c r="N20" s="238">
        <f>TRUNC(AVERAGE(D20:J20),2)</f>
        <v/>
      </c>
      <c r="O20" s="85" t="inlineStr">
        <is>
          <t>S</t>
        </is>
      </c>
      <c r="P20" s="87" t="inlineStr">
        <is>
          <t>PROMOVIDO</t>
        </is>
      </c>
      <c r="Q20" s="88" t="n"/>
    </row>
    <row r="21" ht="15" customHeight="1" s="226">
      <c r="A21" s="51" t="n">
        <v>15</v>
      </c>
      <c r="B21" s="243" t="inlineStr">
        <is>
          <t>MENDEZ FAJARDO EMILY YESENIA</t>
        </is>
      </c>
      <c r="C21" s="121" t="n"/>
      <c r="D21" s="53" t="n">
        <v>9.720000000000001</v>
      </c>
      <c r="E21" s="131" t="n">
        <v>9.25</v>
      </c>
      <c r="F21" s="62" t="n">
        <v>8.6</v>
      </c>
      <c r="G21" s="238" t="n">
        <v>8.68</v>
      </c>
      <c r="H21" s="73" t="n">
        <v>9.949999999999999</v>
      </c>
      <c r="I21" s="66" t="n">
        <v>9.470000000000001</v>
      </c>
      <c r="J21" s="68" t="n">
        <v>9.67</v>
      </c>
      <c r="K21" s="70" t="inlineStr">
        <is>
          <t>A+</t>
        </is>
      </c>
      <c r="L21" s="77" t="inlineStr">
        <is>
          <t>A+</t>
        </is>
      </c>
      <c r="M21" s="78" t="inlineStr">
        <is>
          <t>A+</t>
        </is>
      </c>
      <c r="N21" s="238">
        <f>TRUNC(AVERAGE(D21:J21),2)</f>
        <v/>
      </c>
      <c r="O21" s="85" t="inlineStr">
        <is>
          <t>S</t>
        </is>
      </c>
      <c r="P21" s="87" t="inlineStr">
        <is>
          <t>PROMOVIDO</t>
        </is>
      </c>
      <c r="Q21" s="88" t="n"/>
    </row>
    <row r="22" ht="15" customHeight="1" s="226">
      <c r="A22" s="51" t="n">
        <v>16</v>
      </c>
      <c r="B22" s="243" t="inlineStr">
        <is>
          <t>MORA GUACHICHULLCA MICHAEL PAUL</t>
        </is>
      </c>
      <c r="C22" s="121" t="n"/>
      <c r="D22" s="53" t="n">
        <v>8.07</v>
      </c>
      <c r="E22" s="131" t="n">
        <v>7.62</v>
      </c>
      <c r="F22" s="120" t="n">
        <v>7</v>
      </c>
      <c r="G22" s="238" t="n">
        <v>8.59</v>
      </c>
      <c r="H22" s="73" t="n">
        <v>7.94</v>
      </c>
      <c r="I22" s="66" t="n">
        <v>7.07</v>
      </c>
      <c r="J22" s="68" t="n">
        <v>7.58</v>
      </c>
      <c r="K22" s="70" t="inlineStr">
        <is>
          <t>B+</t>
        </is>
      </c>
      <c r="L22" s="77" t="inlineStr">
        <is>
          <t>B+</t>
        </is>
      </c>
      <c r="M22" s="78" t="inlineStr">
        <is>
          <t>A+</t>
        </is>
      </c>
      <c r="N22" s="238">
        <f>TRUNC(AVERAGE(D22:J22),2)</f>
        <v/>
      </c>
      <c r="O22" s="85" t="inlineStr">
        <is>
          <t>S</t>
        </is>
      </c>
      <c r="P22" s="87" t="inlineStr">
        <is>
          <t>PROMOVIDO</t>
        </is>
      </c>
      <c r="Q22" s="88" t="n"/>
    </row>
    <row r="23" ht="15" customHeight="1" s="226">
      <c r="A23" s="51" t="n"/>
      <c r="B23" s="121" t="inlineStr">
        <is>
          <t>MUÑOZ MENDIETA SOFIA DE LOURDES</t>
        </is>
      </c>
      <c r="C23" s="121" t="n"/>
      <c r="D23" s="53" t="n"/>
      <c r="E23" s="131" t="n"/>
      <c r="F23" s="122" t="n"/>
      <c r="G23" s="155" t="n"/>
      <c r="H23" s="73" t="n"/>
      <c r="I23" s="66" t="n"/>
      <c r="J23" s="68" t="n"/>
      <c r="K23" s="70" t="n"/>
      <c r="L23" s="77" t="n"/>
      <c r="M23" s="78" t="n"/>
      <c r="N23" s="83" t="n"/>
      <c r="O23" s="85" t="n"/>
      <c r="P23" s="87" t="n"/>
      <c r="Q23" s="88" t="n"/>
    </row>
    <row r="24" ht="15" customHeight="1" s="226">
      <c r="A24" s="51" t="n">
        <v>17</v>
      </c>
      <c r="B24" s="243" t="inlineStr">
        <is>
          <t>MUÑOZ TUALOMBO KEYLA ROBERTA</t>
        </is>
      </c>
      <c r="C24" s="121" t="n"/>
      <c r="D24" s="53" t="n">
        <v>7.99</v>
      </c>
      <c r="E24" s="131" t="n">
        <v>7.73</v>
      </c>
      <c r="F24" s="246" t="n">
        <v>8.539999999999999</v>
      </c>
      <c r="G24" s="238" t="n">
        <v>7.66</v>
      </c>
      <c r="H24" s="73" t="n">
        <v>7.98</v>
      </c>
      <c r="I24" s="66" t="n">
        <v>7.38</v>
      </c>
      <c r="J24" s="68" t="n">
        <v>8.1</v>
      </c>
      <c r="K24" s="70" t="inlineStr">
        <is>
          <t>B+</t>
        </is>
      </c>
      <c r="L24" s="77" t="inlineStr">
        <is>
          <t>B+</t>
        </is>
      </c>
      <c r="M24" s="78" t="inlineStr">
        <is>
          <t>A+</t>
        </is>
      </c>
      <c r="N24" s="238">
        <f>TRUNC(AVERAGE(D24:J24),2)</f>
        <v/>
      </c>
      <c r="O24" s="85" t="inlineStr">
        <is>
          <t>S</t>
        </is>
      </c>
      <c r="P24" s="87" t="inlineStr">
        <is>
          <t>PROMOVIDO</t>
        </is>
      </c>
      <c r="Q24" s="88" t="n"/>
    </row>
    <row r="25" ht="15" customHeight="1" s="226">
      <c r="A25" s="51" t="n">
        <v>18</v>
      </c>
      <c r="B25" s="243" t="inlineStr">
        <is>
          <t>NAULA NAULA EVELYN MARICELA</t>
        </is>
      </c>
      <c r="C25" s="121" t="n"/>
      <c r="D25" s="245" t="n">
        <v>9.25</v>
      </c>
      <c r="E25" s="59" t="n">
        <v>9.119999999999999</v>
      </c>
      <c r="F25" s="109" t="n">
        <v>8.76</v>
      </c>
      <c r="G25" s="155" t="n">
        <v>9.109999999999999</v>
      </c>
      <c r="H25" s="73" t="n">
        <v>9.4</v>
      </c>
      <c r="I25" s="66" t="n">
        <v>9.210000000000001</v>
      </c>
      <c r="J25" s="68" t="n">
        <v>9.35</v>
      </c>
      <c r="K25" s="70" t="inlineStr">
        <is>
          <t>A-</t>
        </is>
      </c>
      <c r="L25" s="77" t="inlineStr">
        <is>
          <t>A+</t>
        </is>
      </c>
      <c r="M25" s="78" t="inlineStr">
        <is>
          <t>A+</t>
        </is>
      </c>
      <c r="N25" s="238">
        <f>TRUNC(AVERAGE(D25:J25),2)</f>
        <v/>
      </c>
      <c r="O25" s="85" t="inlineStr">
        <is>
          <t>S</t>
        </is>
      </c>
      <c r="P25" s="87" t="inlineStr">
        <is>
          <t>PROMOVIDO</t>
        </is>
      </c>
      <c r="Q25" s="88" t="n"/>
    </row>
    <row r="26" ht="15" customHeight="1" s="226">
      <c r="A26" s="51" t="n">
        <v>19</v>
      </c>
      <c r="B26" s="243" t="inlineStr">
        <is>
          <t>NAULA SIMBAÑA MELANI GABRIELA</t>
        </is>
      </c>
      <c r="C26" s="121" t="n"/>
      <c r="D26" s="53" t="n">
        <v>9.42</v>
      </c>
      <c r="E26" s="131" t="n">
        <v>9.16</v>
      </c>
      <c r="F26" s="109" t="n">
        <v>8.539999999999999</v>
      </c>
      <c r="G26" s="238" t="n">
        <v>9.33</v>
      </c>
      <c r="H26" s="73" t="n">
        <v>9.710000000000001</v>
      </c>
      <c r="I26" s="66" t="n">
        <v>9.369999999999999</v>
      </c>
      <c r="J26" s="68" t="n">
        <v>9.56</v>
      </c>
      <c r="K26" s="70" t="inlineStr">
        <is>
          <t>A-</t>
        </is>
      </c>
      <c r="L26" s="77" t="inlineStr">
        <is>
          <t>A+</t>
        </is>
      </c>
      <c r="M26" s="78" t="inlineStr">
        <is>
          <t>A+</t>
        </is>
      </c>
      <c r="N26" s="238">
        <f>TRUNC(AVERAGE(D26:J26),2)</f>
        <v/>
      </c>
      <c r="O26" s="85" t="inlineStr">
        <is>
          <t>S</t>
        </is>
      </c>
      <c r="P26" s="87" t="inlineStr">
        <is>
          <t>PROMOVIDO</t>
        </is>
      </c>
      <c r="Q26" s="88" t="n"/>
    </row>
    <row r="27" ht="15" customHeight="1" s="226">
      <c r="A27" s="51" t="n">
        <v>20</v>
      </c>
      <c r="B27" s="243" t="inlineStr">
        <is>
          <t>NIEVES VILLA JEICOL ANDRES</t>
        </is>
      </c>
      <c r="C27" s="121" t="n"/>
      <c r="D27" s="53" t="n">
        <v>7.71</v>
      </c>
      <c r="E27" s="131" t="n">
        <v>7.52</v>
      </c>
      <c r="F27" s="62" t="n">
        <v>7.04</v>
      </c>
      <c r="G27" s="238" t="n">
        <v>9.359999999999999</v>
      </c>
      <c r="H27" s="73" t="n">
        <v>7.89</v>
      </c>
      <c r="I27" s="66" t="n">
        <v>7.39</v>
      </c>
      <c r="J27" s="68" t="n">
        <v>8.52</v>
      </c>
      <c r="K27" s="70" t="inlineStr">
        <is>
          <t>B+</t>
        </is>
      </c>
      <c r="L27" s="77" t="inlineStr">
        <is>
          <t>B+</t>
        </is>
      </c>
      <c r="M27" s="78" t="inlineStr">
        <is>
          <t>A+</t>
        </is>
      </c>
      <c r="N27" s="238">
        <f>TRUNC(AVERAGE(D27:J27),2)</f>
        <v/>
      </c>
      <c r="O27" s="85" t="inlineStr">
        <is>
          <t>F</t>
        </is>
      </c>
      <c r="P27" s="87" t="inlineStr">
        <is>
          <t>PROMOVIDO</t>
        </is>
      </c>
      <c r="Q27" s="88" t="n"/>
    </row>
    <row r="28" ht="18" customHeight="1" s="226">
      <c r="A28" s="51" t="n">
        <v>21</v>
      </c>
      <c r="B28" s="243" t="inlineStr">
        <is>
          <t>NIOLA QUITO ASHLY TATIANA</t>
        </is>
      </c>
      <c r="C28" s="121" t="n"/>
      <c r="D28" s="53" t="n">
        <v>7.79</v>
      </c>
      <c r="E28" s="59" t="n">
        <v>7.08</v>
      </c>
      <c r="F28" s="62" t="n">
        <v>7.16</v>
      </c>
      <c r="G28" s="238" t="n">
        <v>7.04</v>
      </c>
      <c r="H28" s="73" t="n">
        <v>8.18</v>
      </c>
      <c r="I28" s="66" t="n">
        <v>7.56</v>
      </c>
      <c r="J28" s="68" t="n">
        <v>8.44</v>
      </c>
      <c r="K28" s="70" t="inlineStr">
        <is>
          <t>B+</t>
        </is>
      </c>
      <c r="L28" s="77" t="inlineStr">
        <is>
          <t>B+</t>
        </is>
      </c>
      <c r="M28" s="78" t="inlineStr">
        <is>
          <t>A+</t>
        </is>
      </c>
      <c r="N28" s="238">
        <f>TRUNC(AVERAGE(D28:J28),2)</f>
        <v/>
      </c>
      <c r="O28" s="85" t="inlineStr">
        <is>
          <t>S</t>
        </is>
      </c>
      <c r="P28" s="87" t="inlineStr">
        <is>
          <t>PROMOVIDO</t>
        </is>
      </c>
      <c r="Q28" s="88" t="n"/>
    </row>
    <row r="29" ht="15" customHeight="1" s="226">
      <c r="A29" s="51" t="n">
        <v>22</v>
      </c>
      <c r="B29" s="243" t="inlineStr">
        <is>
          <t>PAUCAR QUIZHPI DIEGO ARMANDO</t>
        </is>
      </c>
      <c r="C29" s="121" t="n"/>
      <c r="D29" s="53" t="n">
        <v>7.32</v>
      </c>
      <c r="E29" s="131" t="n">
        <v>7.34</v>
      </c>
      <c r="F29" s="120" t="n">
        <v>7</v>
      </c>
      <c r="G29" s="238" t="n">
        <v>7.68</v>
      </c>
      <c r="H29" s="73" t="n">
        <v>7.58</v>
      </c>
      <c r="I29" s="66" t="n">
        <v>7.62</v>
      </c>
      <c r="J29" s="68" t="n">
        <v>7.96</v>
      </c>
      <c r="K29" s="70" t="inlineStr">
        <is>
          <t>B-</t>
        </is>
      </c>
      <c r="L29" s="77" t="inlineStr">
        <is>
          <t>B+</t>
        </is>
      </c>
      <c r="M29" s="78" t="inlineStr">
        <is>
          <t>A+</t>
        </is>
      </c>
      <c r="N29" s="238">
        <f>TRUNC(AVERAGE(D29:J29),2)</f>
        <v/>
      </c>
      <c r="O29" s="85" t="inlineStr">
        <is>
          <t>S</t>
        </is>
      </c>
      <c r="P29" s="87" t="inlineStr">
        <is>
          <t>PROMOVIDO</t>
        </is>
      </c>
      <c r="Q29" s="88" t="n"/>
    </row>
    <row r="30" ht="18" customHeight="1" s="226">
      <c r="A30" s="51" t="n">
        <v>23</v>
      </c>
      <c r="B30" s="243" t="inlineStr">
        <is>
          <t>PERALTA MALLA JOSE ANTONIO</t>
        </is>
      </c>
      <c r="C30" s="121" t="n"/>
      <c r="D30" s="53" t="n">
        <v>8.529999999999999</v>
      </c>
      <c r="E30" s="131" t="n">
        <v>8.31</v>
      </c>
      <c r="F30" s="62" t="n">
        <v>7.05</v>
      </c>
      <c r="G30" s="238" t="n">
        <v>7.94</v>
      </c>
      <c r="H30" s="123" t="n">
        <v>8.65</v>
      </c>
      <c r="I30" s="66" t="n">
        <v>8.279999999999999</v>
      </c>
      <c r="J30" s="68" t="n">
        <v>8.82</v>
      </c>
      <c r="K30" s="70" t="inlineStr">
        <is>
          <t>B+</t>
        </is>
      </c>
      <c r="L30" s="77" t="inlineStr">
        <is>
          <t>B+</t>
        </is>
      </c>
      <c r="M30" s="78" t="inlineStr">
        <is>
          <t>A+</t>
        </is>
      </c>
      <c r="N30" s="238">
        <f>TRUNC(AVERAGE(D30:J30),2)</f>
        <v/>
      </c>
      <c r="O30" s="85" t="inlineStr">
        <is>
          <t>F</t>
        </is>
      </c>
      <c r="P30" s="87" t="inlineStr">
        <is>
          <t>PROMOVIDO</t>
        </is>
      </c>
      <c r="Q30" s="88" t="n"/>
    </row>
    <row r="31" ht="15" customHeight="1" s="226">
      <c r="A31" s="51" t="n">
        <v>24</v>
      </c>
      <c r="B31" s="243" t="inlineStr">
        <is>
          <t>PILLACELA CHILLOGALLI KAREN ELIZABETH</t>
        </is>
      </c>
      <c r="C31" s="121" t="n"/>
      <c r="D31" s="53" t="n">
        <v>9.58</v>
      </c>
      <c r="E31" s="131" t="n">
        <v>9.26</v>
      </c>
      <c r="F31" s="62" t="n">
        <v>8.07</v>
      </c>
      <c r="G31" s="238" t="n">
        <v>9.140000000000001</v>
      </c>
      <c r="H31" s="124" t="n">
        <v>10</v>
      </c>
      <c r="I31" s="66" t="n">
        <v>9.44</v>
      </c>
      <c r="J31" s="68" t="n">
        <v>9.31</v>
      </c>
      <c r="K31" s="70" t="inlineStr">
        <is>
          <t>A-</t>
        </is>
      </c>
      <c r="L31" s="77" t="inlineStr">
        <is>
          <t>A+</t>
        </is>
      </c>
      <c r="M31" s="78" t="inlineStr">
        <is>
          <t>A+</t>
        </is>
      </c>
      <c r="N31" s="83">
        <f>TRUNC(AVERAGE(D31:J31),2)</f>
        <v/>
      </c>
      <c r="O31" s="85" t="inlineStr">
        <is>
          <t>S</t>
        </is>
      </c>
      <c r="P31" s="87" t="inlineStr">
        <is>
          <t>PROMOVIDO</t>
        </is>
      </c>
      <c r="Q31" s="88" t="n"/>
    </row>
    <row r="32" ht="15" customHeight="1" s="226">
      <c r="A32" s="51" t="n">
        <v>25</v>
      </c>
      <c r="B32" s="243" t="inlineStr">
        <is>
          <t>QUEZADA NAULA KARLA NAYELI</t>
        </is>
      </c>
      <c r="C32" s="121" t="n"/>
      <c r="D32" s="53" t="n">
        <v>7.77</v>
      </c>
      <c r="E32" s="131" t="n">
        <v>7.61</v>
      </c>
      <c r="F32" s="62" t="n">
        <v>7.02</v>
      </c>
      <c r="G32" s="238" t="n">
        <v>9.609999999999999</v>
      </c>
      <c r="H32" s="126" t="n">
        <v>8.109999999999999</v>
      </c>
      <c r="I32" s="66" t="n">
        <v>7.49</v>
      </c>
      <c r="J32" s="68" t="n">
        <v>7.6</v>
      </c>
      <c r="K32" s="70" t="inlineStr">
        <is>
          <t>B-</t>
        </is>
      </c>
      <c r="L32" s="77" t="inlineStr">
        <is>
          <t>A-</t>
        </is>
      </c>
      <c r="M32" s="78" t="inlineStr">
        <is>
          <t>A+</t>
        </is>
      </c>
      <c r="N32" s="238">
        <f>TRUNC(AVERAGE(D32:J32),2)</f>
        <v/>
      </c>
      <c r="O32" s="85" t="inlineStr">
        <is>
          <t>S</t>
        </is>
      </c>
      <c r="P32" s="87" t="inlineStr">
        <is>
          <t>PROMOVIDO</t>
        </is>
      </c>
      <c r="Q32" s="88" t="n"/>
    </row>
    <row r="33" ht="15" customHeight="1" s="226">
      <c r="A33" s="51" t="n">
        <v>26</v>
      </c>
      <c r="B33" s="243" t="inlineStr">
        <is>
          <t>QUITO CAGUANA ASHLEY VALENTINA</t>
        </is>
      </c>
      <c r="C33" s="121" t="n"/>
      <c r="D33" s="53" t="n">
        <v>8.300000000000001</v>
      </c>
      <c r="E33" s="131" t="n">
        <v>7.93</v>
      </c>
      <c r="F33" s="62" t="n">
        <v>7.5</v>
      </c>
      <c r="G33" s="238" t="n">
        <v>8.130000000000001</v>
      </c>
      <c r="H33" s="73" t="n">
        <v>8.43</v>
      </c>
      <c r="I33" s="66" t="n">
        <v>7.74</v>
      </c>
      <c r="J33" s="68" t="n">
        <v>8.42</v>
      </c>
      <c r="K33" s="70" t="inlineStr">
        <is>
          <t>B+</t>
        </is>
      </c>
      <c r="L33" s="77" t="inlineStr">
        <is>
          <t>B+</t>
        </is>
      </c>
      <c r="M33" s="78" t="inlineStr">
        <is>
          <t>A+</t>
        </is>
      </c>
      <c r="N33" s="238">
        <f>TRUNC(AVERAGE(D33:J33),2)</f>
        <v/>
      </c>
      <c r="O33" s="85" t="inlineStr">
        <is>
          <t>S</t>
        </is>
      </c>
      <c r="P33" s="87" t="inlineStr">
        <is>
          <t>PROMOVIDO</t>
        </is>
      </c>
      <c r="Q33" s="88" t="n"/>
    </row>
    <row r="34" ht="15" customHeight="1" s="226">
      <c r="A34" s="51" t="n">
        <v>27</v>
      </c>
      <c r="B34" s="243" t="inlineStr">
        <is>
          <t>QUITO CORDERO NICOLE ARIANNA</t>
        </is>
      </c>
      <c r="C34" s="121" t="n"/>
      <c r="D34" s="53" t="n">
        <v>9.029999999999999</v>
      </c>
      <c r="E34" s="131" t="n">
        <v>8.609999999999999</v>
      </c>
      <c r="F34" s="91" t="n">
        <v>8.57</v>
      </c>
      <c r="G34" s="238" t="n">
        <v>7.96</v>
      </c>
      <c r="H34" s="73" t="n">
        <v>9.470000000000001</v>
      </c>
      <c r="I34" s="66" t="n">
        <v>8.58</v>
      </c>
      <c r="J34" s="238" t="n">
        <v>9.31</v>
      </c>
      <c r="K34" s="70" t="inlineStr">
        <is>
          <t>A-</t>
        </is>
      </c>
      <c r="L34" s="77" t="inlineStr">
        <is>
          <t>A+</t>
        </is>
      </c>
      <c r="M34" s="78" t="inlineStr">
        <is>
          <t>A+</t>
        </is>
      </c>
      <c r="N34" s="238">
        <f>TRUNC(AVERAGE(D34:J34),2)</f>
        <v/>
      </c>
      <c r="O34" s="85" t="inlineStr">
        <is>
          <t>S</t>
        </is>
      </c>
      <c r="P34" s="87" t="inlineStr">
        <is>
          <t>PROMOVIDO</t>
        </is>
      </c>
      <c r="Q34" s="88" t="n"/>
    </row>
    <row r="35" ht="15" customHeight="1" s="226">
      <c r="A35" s="51" t="n">
        <v>28</v>
      </c>
      <c r="B35" s="243" t="inlineStr">
        <is>
          <t>QUITO GUACHICHULLCA STEVEN JOEL</t>
        </is>
      </c>
      <c r="C35" s="121" t="n"/>
      <c r="D35" s="53" t="n">
        <v>7.4</v>
      </c>
      <c r="E35" s="59" t="n">
        <v>7.05</v>
      </c>
      <c r="F35" s="109" t="n">
        <v>7</v>
      </c>
      <c r="G35" s="238" t="n">
        <v>9.050000000000001</v>
      </c>
      <c r="H35" s="73" t="n">
        <v>7.75</v>
      </c>
      <c r="I35" s="66" t="n">
        <v>7.3</v>
      </c>
      <c r="J35" s="68" t="n">
        <v>7.9</v>
      </c>
      <c r="K35" s="70" t="inlineStr">
        <is>
          <t>B+</t>
        </is>
      </c>
      <c r="L35" s="77" t="inlineStr">
        <is>
          <t>B+</t>
        </is>
      </c>
      <c r="M35" s="78" t="inlineStr">
        <is>
          <t>A+</t>
        </is>
      </c>
      <c r="N35" s="238">
        <f>TRUNC(AVERAGE(D35:J35),2)</f>
        <v/>
      </c>
      <c r="O35" s="85" t="inlineStr">
        <is>
          <t>F</t>
        </is>
      </c>
      <c r="P35" s="87" t="inlineStr">
        <is>
          <t>PROMOVIDO</t>
        </is>
      </c>
      <c r="Q35" s="88" t="n"/>
    </row>
    <row r="36" ht="15" customHeight="1" s="226">
      <c r="A36" s="51" t="n">
        <v>29</v>
      </c>
      <c r="B36" s="243" t="inlineStr">
        <is>
          <t>QUIZHPE FAJARDO CRISTIAN SEBASTIAN</t>
        </is>
      </c>
      <c r="C36" s="121" t="n"/>
      <c r="D36" s="53" t="n">
        <v>7.6</v>
      </c>
      <c r="E36" s="131" t="n">
        <v>8.130000000000001</v>
      </c>
      <c r="F36" s="62" t="n">
        <v>7.7</v>
      </c>
      <c r="G36" s="238" t="n">
        <v>7.44</v>
      </c>
      <c r="H36" s="73" t="n">
        <v>8.06</v>
      </c>
      <c r="I36" s="66" t="n">
        <v>7.67</v>
      </c>
      <c r="J36" s="68" t="n">
        <v>8.220000000000001</v>
      </c>
      <c r="K36" s="70" t="inlineStr">
        <is>
          <t>A-</t>
        </is>
      </c>
      <c r="L36" s="77" t="inlineStr">
        <is>
          <t>A-</t>
        </is>
      </c>
      <c r="M36" s="78" t="inlineStr">
        <is>
          <t>A+</t>
        </is>
      </c>
      <c r="N36" s="238">
        <f>TRUNC(AVERAGE(D36:J36),2)</f>
        <v/>
      </c>
      <c r="O36" s="85" t="inlineStr">
        <is>
          <t>S</t>
        </is>
      </c>
      <c r="P36" s="87" t="inlineStr">
        <is>
          <t>PROMOVIDO</t>
        </is>
      </c>
      <c r="Q36" s="88" t="n"/>
    </row>
    <row r="37" ht="15" customHeight="1" s="226">
      <c r="A37" s="51" t="n">
        <v>30</v>
      </c>
      <c r="B37" s="243" t="inlineStr">
        <is>
          <t>QUIZHPE GUAMANCELA JORDY STEVEN</t>
        </is>
      </c>
      <c r="C37" s="121" t="n"/>
      <c r="D37" s="53" t="n">
        <v>7.84</v>
      </c>
      <c r="E37" s="131" t="n">
        <v>7.47</v>
      </c>
      <c r="F37" s="91" t="n">
        <v>7.73</v>
      </c>
      <c r="G37" s="238" t="n">
        <v>8.640000000000001</v>
      </c>
      <c r="H37" s="73" t="n">
        <v>8.029999999999999</v>
      </c>
      <c r="I37" s="66" t="n">
        <v>7.5</v>
      </c>
      <c r="J37" s="68" t="n">
        <v>7.82</v>
      </c>
      <c r="K37" s="70" t="inlineStr">
        <is>
          <t>B-</t>
        </is>
      </c>
      <c r="L37" s="77" t="inlineStr">
        <is>
          <t>B+</t>
        </is>
      </c>
      <c r="M37" s="78" t="inlineStr">
        <is>
          <t>A+</t>
        </is>
      </c>
      <c r="N37" s="238">
        <f>TRUNC(AVERAGE(D37:J37),2)</f>
        <v/>
      </c>
      <c r="O37" s="85" t="inlineStr">
        <is>
          <t>F</t>
        </is>
      </c>
      <c r="P37" s="87" t="inlineStr">
        <is>
          <t>PROMOVIDO</t>
        </is>
      </c>
      <c r="Q37" s="88" t="n"/>
    </row>
    <row r="38" ht="15" customHeight="1" s="226">
      <c r="A38" s="51" t="n">
        <v>31</v>
      </c>
      <c r="B38" s="243" t="inlineStr">
        <is>
          <t>RAMIREZ JEREZ SEBASTIAN MIGUEL</t>
        </is>
      </c>
      <c r="C38" s="121" t="n"/>
      <c r="D38" s="53" t="n">
        <v>7.76</v>
      </c>
      <c r="E38" s="131" t="n">
        <v>7.42</v>
      </c>
      <c r="F38" s="134" t="n">
        <v>7</v>
      </c>
      <c r="G38" s="238" t="n">
        <v>7.09</v>
      </c>
      <c r="H38" s="73" t="n">
        <v>7.93</v>
      </c>
      <c r="I38" s="66" t="n">
        <v>7.64</v>
      </c>
      <c r="J38" s="68" t="n">
        <v>8.26</v>
      </c>
      <c r="K38" s="70" t="inlineStr">
        <is>
          <t>A-</t>
        </is>
      </c>
      <c r="L38" s="77" t="inlineStr">
        <is>
          <t>A-</t>
        </is>
      </c>
      <c r="M38" s="78" t="inlineStr">
        <is>
          <t>A+</t>
        </is>
      </c>
      <c r="N38" s="238">
        <f>TRUNC(AVERAGE(D38:J38),2)</f>
        <v/>
      </c>
      <c r="O38" s="85" t="inlineStr">
        <is>
          <t>S</t>
        </is>
      </c>
      <c r="P38" s="87" t="inlineStr">
        <is>
          <t>PROMOVIDO</t>
        </is>
      </c>
      <c r="Q38" s="88" t="n"/>
    </row>
    <row r="39" ht="15" customHeight="1" s="226">
      <c r="A39" s="51" t="n">
        <v>32</v>
      </c>
      <c r="B39" s="243" t="inlineStr">
        <is>
          <t>REMACHE BARBECHO JORDY MIGUEL</t>
        </is>
      </c>
      <c r="C39" s="121" t="n"/>
      <c r="D39" s="53" t="n">
        <v>8.17</v>
      </c>
      <c r="E39" s="131" t="n">
        <v>7.74</v>
      </c>
      <c r="F39" s="138" t="n">
        <v>7</v>
      </c>
      <c r="G39" s="238" t="n">
        <v>7.44</v>
      </c>
      <c r="H39" s="73" t="n">
        <v>8.050000000000001</v>
      </c>
      <c r="I39" s="66" t="n">
        <v>7.4</v>
      </c>
      <c r="J39" s="68" t="n">
        <v>8.23</v>
      </c>
      <c r="K39" s="70" t="inlineStr">
        <is>
          <t>B-</t>
        </is>
      </c>
      <c r="L39" s="77" t="inlineStr">
        <is>
          <t>A-</t>
        </is>
      </c>
      <c r="M39" s="78" t="inlineStr">
        <is>
          <t>A+</t>
        </is>
      </c>
      <c r="N39" s="238">
        <f>TRUNC(AVERAGE(D39:J39),2)</f>
        <v/>
      </c>
      <c r="O39" s="85" t="inlineStr">
        <is>
          <t>S</t>
        </is>
      </c>
      <c r="P39" s="87" t="inlineStr">
        <is>
          <t>PROMOVIDO</t>
        </is>
      </c>
      <c r="Q39" s="88" t="n"/>
    </row>
    <row r="40" ht="18" customHeight="1" s="226">
      <c r="A40" s="51" t="n">
        <v>33</v>
      </c>
      <c r="B40" s="243" t="inlineStr">
        <is>
          <t>SANCHEZ CAMPOVERDE JEAN CARLOS</t>
        </is>
      </c>
      <c r="C40" s="121" t="n"/>
      <c r="D40" s="53" t="n">
        <v>8.25</v>
      </c>
      <c r="E40" s="131" t="n">
        <v>8.31</v>
      </c>
      <c r="F40" s="91" t="n">
        <v>7.92</v>
      </c>
      <c r="G40" s="238" t="n">
        <v>8.83</v>
      </c>
      <c r="H40" s="73" t="n">
        <v>7.64</v>
      </c>
      <c r="I40" s="66" t="n">
        <v>7.52</v>
      </c>
      <c r="J40" s="68" t="n">
        <v>7.58</v>
      </c>
      <c r="K40" s="70" t="inlineStr">
        <is>
          <t>B+</t>
        </is>
      </c>
      <c r="L40" s="77" t="inlineStr">
        <is>
          <t>A-</t>
        </is>
      </c>
      <c r="M40" s="78" t="inlineStr">
        <is>
          <t>A+</t>
        </is>
      </c>
      <c r="N40" s="83">
        <f>TRUNC(AVERAGE(D40:J40),2)</f>
        <v/>
      </c>
      <c r="O40" s="85" t="inlineStr">
        <is>
          <t>S</t>
        </is>
      </c>
      <c r="P40" s="87" t="inlineStr">
        <is>
          <t>PROMOVIDO</t>
        </is>
      </c>
      <c r="Q40" s="88" t="n"/>
    </row>
    <row r="41" ht="15" customHeight="1" s="226">
      <c r="A41" s="51" t="n">
        <v>34</v>
      </c>
      <c r="B41" s="243" t="inlineStr">
        <is>
          <t>SIMBAÑA GUZHÑAY JUSTIN DAVID</t>
        </is>
      </c>
      <c r="C41" s="121" t="n"/>
      <c r="D41" s="53" t="n">
        <v>8.779999999999999</v>
      </c>
      <c r="E41" s="131" t="n">
        <v>8.460000000000001</v>
      </c>
      <c r="F41" s="91" t="n">
        <v>7.98</v>
      </c>
      <c r="G41" s="238" t="n">
        <v>8.9</v>
      </c>
      <c r="H41" s="73" t="n">
        <v>8.52</v>
      </c>
      <c r="I41" s="66" t="n">
        <v>8.619999999999999</v>
      </c>
      <c r="J41" s="68" t="n">
        <v>9.23</v>
      </c>
      <c r="K41" s="70" t="inlineStr">
        <is>
          <t>A-</t>
        </is>
      </c>
      <c r="L41" s="77" t="inlineStr">
        <is>
          <t>A-</t>
        </is>
      </c>
      <c r="M41" s="78" t="inlineStr">
        <is>
          <t>A+</t>
        </is>
      </c>
      <c r="N41" s="238">
        <f>TRUNC(AVERAGE(D41:J41),2)</f>
        <v/>
      </c>
      <c r="O41" s="85" t="inlineStr">
        <is>
          <t>S</t>
        </is>
      </c>
      <c r="P41" s="87" t="inlineStr">
        <is>
          <t>PROMOVIDO</t>
        </is>
      </c>
      <c r="Q41" s="88" t="n"/>
    </row>
    <row r="42" ht="14.25" customHeight="1" s="226">
      <c r="A42" s="51" t="n">
        <v>35</v>
      </c>
      <c r="B42" s="243" t="inlineStr">
        <is>
          <t>SIMBAÑA QUEZADA GEOFFREY XAVIER</t>
        </is>
      </c>
      <c r="C42" s="121" t="n"/>
      <c r="D42" s="53" t="n">
        <v>9.26</v>
      </c>
      <c r="E42" s="131" t="n">
        <v>9.15</v>
      </c>
      <c r="F42" s="91" t="n">
        <v>8.289999999999999</v>
      </c>
      <c r="G42" s="238" t="n">
        <v>8.029999999999999</v>
      </c>
      <c r="H42" s="73" t="n">
        <v>9.050000000000001</v>
      </c>
      <c r="I42" s="66" t="n">
        <v>8.84</v>
      </c>
      <c r="J42" s="68" t="n">
        <v>9.59</v>
      </c>
      <c r="K42" s="70" t="inlineStr">
        <is>
          <t>A+</t>
        </is>
      </c>
      <c r="L42" s="77" t="inlineStr">
        <is>
          <t>A+</t>
        </is>
      </c>
      <c r="M42" s="78" t="inlineStr">
        <is>
          <t>A+</t>
        </is>
      </c>
      <c r="N42" s="238">
        <f>TRUNC(AVERAGE(D42:J42),2)</f>
        <v/>
      </c>
      <c r="O42" s="85" t="inlineStr">
        <is>
          <t>S</t>
        </is>
      </c>
      <c r="P42" s="87" t="inlineStr">
        <is>
          <t>PROMOVIDO</t>
        </is>
      </c>
      <c r="Q42" s="88" t="n"/>
    </row>
    <row r="43" ht="15" customHeight="1" s="226">
      <c r="A43" s="51" t="n">
        <v>36</v>
      </c>
      <c r="B43" s="243" t="inlineStr">
        <is>
          <t>VALDEZ SARANGO JHONNY SEBASTIAN</t>
        </is>
      </c>
      <c r="C43" s="121" t="n"/>
      <c r="D43" s="53" t="n">
        <v>9.609999999999999</v>
      </c>
      <c r="E43" s="131" t="n">
        <v>9.33</v>
      </c>
      <c r="F43" s="62" t="n">
        <v>8.9</v>
      </c>
      <c r="G43" s="238" t="n">
        <v>8.949999999999999</v>
      </c>
      <c r="H43" s="73" t="n">
        <v>9.609999999999999</v>
      </c>
      <c r="I43" s="66" t="n">
        <v>9.210000000000001</v>
      </c>
      <c r="J43" s="68" t="n">
        <v>9.539999999999999</v>
      </c>
      <c r="K43" s="70" t="inlineStr">
        <is>
          <t>A+</t>
        </is>
      </c>
      <c r="L43" s="77" t="inlineStr">
        <is>
          <t>A+</t>
        </is>
      </c>
      <c r="M43" s="78" t="inlineStr">
        <is>
          <t>A+</t>
        </is>
      </c>
      <c r="N43" s="238">
        <f>TRUNC(AVERAGE(D43:J43),2)</f>
        <v/>
      </c>
      <c r="O43" s="85" t="inlineStr">
        <is>
          <t>S</t>
        </is>
      </c>
      <c r="P43" s="87" t="inlineStr">
        <is>
          <t>PROMOVIDO</t>
        </is>
      </c>
      <c r="Q43" s="88" t="n"/>
    </row>
    <row r="44" ht="15" customHeight="1" s="226">
      <c r="A44" s="51" t="n">
        <v>37</v>
      </c>
      <c r="B44" s="243" t="inlineStr">
        <is>
          <t>VELASCO GUAMAN LUIS DAVID</t>
        </is>
      </c>
      <c r="C44" s="121" t="n"/>
      <c r="D44" s="53" t="n">
        <v>8.029999999999999</v>
      </c>
      <c r="E44" s="131" t="n">
        <v>8.27</v>
      </c>
      <c r="F44" s="62" t="n">
        <v>7.16</v>
      </c>
      <c r="G44" s="238" t="n">
        <v>8.68</v>
      </c>
      <c r="H44" s="73" t="n">
        <v>7.97</v>
      </c>
      <c r="I44" s="66" t="n">
        <v>7.14</v>
      </c>
      <c r="J44" s="68" t="n">
        <v>7.38</v>
      </c>
      <c r="K44" s="70" t="inlineStr">
        <is>
          <t>B-</t>
        </is>
      </c>
      <c r="L44" s="77" t="inlineStr">
        <is>
          <t>B+</t>
        </is>
      </c>
      <c r="M44" s="78" t="inlineStr">
        <is>
          <t>A+</t>
        </is>
      </c>
      <c r="N44" s="238">
        <f>TRUNC(AVERAGE(D44:J44),2)</f>
        <v/>
      </c>
      <c r="O44" s="85" t="inlineStr">
        <is>
          <t>S</t>
        </is>
      </c>
      <c r="P44" s="87" t="inlineStr">
        <is>
          <t>PROMOVIDO</t>
        </is>
      </c>
      <c r="Q44" s="88" t="n"/>
    </row>
    <row r="45" ht="15" customHeight="1" s="226">
      <c r="A45" s="51" t="n">
        <v>38</v>
      </c>
      <c r="B45" s="243" t="inlineStr">
        <is>
          <t>VELESACA ZUÑA KAMILA YULIETH</t>
        </is>
      </c>
      <c r="C45" s="121" t="n"/>
      <c r="D45" s="53" t="n">
        <v>8.02</v>
      </c>
      <c r="E45" s="131" t="n">
        <v>7</v>
      </c>
      <c r="F45" s="120" t="n">
        <v>7</v>
      </c>
      <c r="G45" s="238" t="n">
        <v>7.42</v>
      </c>
      <c r="H45" s="73" t="n">
        <v>7.92</v>
      </c>
      <c r="I45" s="66" t="n">
        <v>7.29</v>
      </c>
      <c r="J45" s="68" t="n">
        <v>8.19</v>
      </c>
      <c r="K45" s="70" t="inlineStr">
        <is>
          <t>B-</t>
        </is>
      </c>
      <c r="L45" s="77" t="inlineStr">
        <is>
          <t>B+</t>
        </is>
      </c>
      <c r="M45" s="78" t="inlineStr">
        <is>
          <t>A+</t>
        </is>
      </c>
      <c r="N45" s="238">
        <f>TRUNC(AVERAGE(D45:J45),2)</f>
        <v/>
      </c>
      <c r="O45" s="85" t="inlineStr">
        <is>
          <t>S</t>
        </is>
      </c>
      <c r="P45" s="87" t="inlineStr">
        <is>
          <t>PROMOVIDO</t>
        </is>
      </c>
      <c r="Q45" s="88" t="n"/>
    </row>
    <row r="46" ht="15" customHeight="1" s="226">
      <c r="A46" s="51" t="n">
        <v>39</v>
      </c>
      <c r="B46" s="243" t="inlineStr">
        <is>
          <t>VELIZ CARRION JEFFREY BENJAMIN</t>
        </is>
      </c>
      <c r="C46" s="121" t="n"/>
      <c r="D46" s="53" t="n">
        <v>9.140000000000001</v>
      </c>
      <c r="E46" s="131" t="n">
        <v>9</v>
      </c>
      <c r="F46" s="91" t="n">
        <v>8.81</v>
      </c>
      <c r="G46" s="238" t="n">
        <v>8.779999999999999</v>
      </c>
      <c r="H46" s="73" t="n">
        <v>9.08</v>
      </c>
      <c r="I46" s="66" t="n">
        <v>8.890000000000001</v>
      </c>
      <c r="J46" s="68" t="n">
        <v>9.31</v>
      </c>
      <c r="K46" s="70" t="inlineStr">
        <is>
          <t>B+</t>
        </is>
      </c>
      <c r="L46" s="77" t="inlineStr">
        <is>
          <t>A+</t>
        </is>
      </c>
      <c r="M46" s="78" t="inlineStr">
        <is>
          <t>A+</t>
        </is>
      </c>
      <c r="N46" s="83">
        <f>TRUNC(AVERAGE(D46:J46),2)</f>
        <v/>
      </c>
      <c r="O46" s="85" t="inlineStr">
        <is>
          <t>S</t>
        </is>
      </c>
      <c r="P46" s="87" t="inlineStr">
        <is>
          <t>PROMOVIDO</t>
        </is>
      </c>
      <c r="Q46" s="15" t="n"/>
    </row>
    <row r="47" ht="15" customHeight="1" s="226">
      <c r="A47" s="51" t="n">
        <v>40</v>
      </c>
      <c r="B47" s="148" t="inlineStr">
        <is>
          <t>ZARATE SIAVICHAY LADAY CATALINA</t>
        </is>
      </c>
      <c r="C47" s="148" t="n"/>
      <c r="D47" s="53" t="n">
        <v>7.54</v>
      </c>
      <c r="E47" s="131" t="n">
        <v>7.26</v>
      </c>
      <c r="F47" s="62" t="n">
        <v>7.61</v>
      </c>
      <c r="G47" s="155" t="n">
        <v>8.869999999999999</v>
      </c>
      <c r="H47" s="73" t="n">
        <v>7.79</v>
      </c>
      <c r="I47" s="66" t="n">
        <v>7</v>
      </c>
      <c r="J47" s="68" t="n">
        <v>8.07</v>
      </c>
      <c r="K47" s="70" t="inlineStr">
        <is>
          <t>B+</t>
        </is>
      </c>
      <c r="L47" s="77" t="inlineStr">
        <is>
          <t>B+</t>
        </is>
      </c>
      <c r="M47" s="78" t="inlineStr">
        <is>
          <t>A+</t>
        </is>
      </c>
      <c r="N47" s="83">
        <f>TRUNC(AVERAGE(D47:J47),2)</f>
        <v/>
      </c>
      <c r="O47" s="85" t="inlineStr">
        <is>
          <t>S</t>
        </is>
      </c>
      <c r="P47" s="87" t="inlineStr">
        <is>
          <t>PROMOVIDO</t>
        </is>
      </c>
      <c r="Q47" s="15" t="n"/>
    </row>
    <row r="48" ht="14.25" customHeight="1" s="226">
      <c r="B48" s="13" t="inlineStr">
        <is>
          <t>Promedio</t>
        </is>
      </c>
      <c r="D48" s="150">
        <f>AVERAGE(D9:D47)</f>
        <v/>
      </c>
      <c r="E48" s="131">
        <f>AVERAGE(E9:E47)</f>
        <v/>
      </c>
      <c r="F48" s="202">
        <f>AVERAGE(F9:F47)</f>
        <v/>
      </c>
      <c r="G48" s="222" t="n">
        <v>8.58</v>
      </c>
      <c r="H48" s="152">
        <f>AVERAGE(H9:H47)</f>
        <v/>
      </c>
      <c r="I48" s="136">
        <f>AVERAGE(I9:I47)</f>
        <v/>
      </c>
      <c r="J48" s="136">
        <f>AVERAGE(J9:J47)</f>
        <v/>
      </c>
      <c r="K48" s="154" t="n"/>
      <c r="L48" s="154" t="n"/>
      <c r="M48" s="154" t="n"/>
      <c r="N48" s="136">
        <f>AVERAGE(N9:N47)</f>
        <v/>
      </c>
      <c r="O48" s="154" t="n"/>
    </row>
    <row r="49" ht="14.25" customHeight="1" s="226"/>
    <row r="50" ht="14.25" customHeight="1" s="226">
      <c r="C50" s="229" t="inlineStr">
        <is>
          <t xml:space="preserve">Ing. Sonia Chicaiza Mgtr. </t>
        </is>
      </c>
      <c r="F50" s="230" t="inlineStr">
        <is>
          <t xml:space="preserve">Lcda. Lucia Uzhca Mgtr. </t>
        </is>
      </c>
      <c r="G50" s="231" t="n"/>
      <c r="H50" s="231" t="n"/>
      <c r="I50" s="232" t="n"/>
      <c r="J50" s="147" t="n"/>
      <c r="L50" s="230" t="inlineStr">
        <is>
          <t>Lcdo. Juan  González</t>
        </is>
      </c>
      <c r="M50" s="231" t="n"/>
      <c r="N50" s="231" t="n"/>
      <c r="O50" s="231" t="n"/>
      <c r="P50" s="232" t="n"/>
    </row>
    <row r="51" ht="14.25" customHeight="1" s="226">
      <c r="C51" s="229" t="inlineStr">
        <is>
          <t>Rectora (e)</t>
        </is>
      </c>
      <c r="F51" s="230" t="inlineStr">
        <is>
          <t>Vicerrectora (e) Vespertina</t>
        </is>
      </c>
      <c r="G51" s="231" t="n"/>
      <c r="H51" s="231" t="n"/>
      <c r="I51" s="231" t="n"/>
      <c r="J51" s="232" t="n"/>
      <c r="L51" s="230" t="inlineStr">
        <is>
          <t>Docente Tutor</t>
        </is>
      </c>
      <c r="M51" s="231" t="n"/>
      <c r="N51" s="231" t="n"/>
      <c r="O51" s="232" t="n"/>
      <c r="P51" s="13" t="n"/>
    </row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4.25" customHeight="1" s="226"/>
    <row r="242" ht="14.25" customHeight="1" s="226"/>
    <row r="243" ht="14.25" customHeight="1" s="226"/>
    <row r="244" ht="14.25" customHeight="1" s="226"/>
    <row r="245" ht="14.25" customHeight="1" s="226"/>
    <row r="246" ht="14.2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  <row r="994" ht="15.75" customHeight="1" s="226"/>
    <row r="995" ht="15.75" customHeight="1" s="226"/>
  </sheetData>
  <mergeCells count="13">
    <mergeCell ref="B6:C6"/>
    <mergeCell ref="F50:I50"/>
    <mergeCell ref="I4:J4"/>
    <mergeCell ref="B2:P2"/>
    <mergeCell ref="K3:N3"/>
    <mergeCell ref="F51:J51"/>
    <mergeCell ref="C51:D51"/>
    <mergeCell ref="A1:P1"/>
    <mergeCell ref="C50:D50"/>
    <mergeCell ref="L51:O51"/>
    <mergeCell ref="C3:E3"/>
    <mergeCell ref="L50:P50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4.86" customWidth="1" style="226" min="1" max="1"/>
    <col width="20.43" customWidth="1" style="226" min="2" max="2"/>
    <col width="13.71" customWidth="1" style="226" min="3" max="3"/>
    <col width="6.29" customWidth="1" style="226" min="4" max="4"/>
    <col width="8.140000000000001" customWidth="1" style="226" min="14" max="14"/>
    <col width="7.57" customWidth="1" style="226" min="15" max="15"/>
    <col width="18.71" customWidth="1" style="226" min="16" max="16"/>
    <col width="10.71" customWidth="1" style="226" min="17" max="17"/>
    <col width="14" customWidth="1" style="226" min="18" max="18"/>
  </cols>
  <sheetData>
    <row r="1" ht="72.75" customHeight="1" s="226">
      <c r="A1" s="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 xml:space="preserve">DOCENTE:             </t>
        </is>
      </c>
      <c r="C3" s="7" t="inlineStr">
        <is>
          <t>Lcdo. Marlon Criollo Castro</t>
        </is>
      </c>
      <c r="F3" s="9" t="n"/>
      <c r="G3" s="9" t="n"/>
      <c r="H3" s="9" t="n"/>
      <c r="I3" s="10" t="inlineStr">
        <is>
          <t xml:space="preserve">JORNADA: </t>
        </is>
      </c>
      <c r="K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4" t="inlineStr">
        <is>
          <t>DÉCIMO A</t>
        </is>
      </c>
      <c r="E4" s="9" t="n"/>
      <c r="F4" s="9" t="n"/>
      <c r="G4" s="9" t="n"/>
      <c r="H4" s="9" t="n"/>
      <c r="I4" s="10" t="inlineStr">
        <is>
          <t>TRIMESTRE:</t>
        </is>
      </c>
      <c r="K4" s="15" t="inlineStr">
        <is>
          <t>PRIMERO, SEGUNDO, TERCERO</t>
        </is>
      </c>
      <c r="M4" s="9" t="n"/>
    </row>
    <row r="5" ht="6" customHeight="1" s="226">
      <c r="B5" s="16" t="n"/>
      <c r="C5" s="16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57.5" customHeight="1" s="226">
      <c r="A6" s="21" t="inlineStr">
        <is>
          <t>No</t>
        </is>
      </c>
      <c r="B6" s="233" t="inlineStr">
        <is>
          <t>NOMINA</t>
        </is>
      </c>
      <c r="C6" s="234" t="n"/>
      <c r="D6" s="159" t="inlineStr">
        <is>
          <t>LENGUA Y LITERATURA</t>
        </is>
      </c>
      <c r="E6" s="160" t="inlineStr">
        <is>
          <t>MATEMÁTICA</t>
        </is>
      </c>
      <c r="F6" s="161" t="inlineStr">
        <is>
          <t>CIENCIAS NATURALES</t>
        </is>
      </c>
      <c r="G6" s="162" t="inlineStr">
        <is>
          <t>ESTUDIOS SOCIALES</t>
        </is>
      </c>
      <c r="H6" s="163" t="inlineStr">
        <is>
          <t>INGLÉS</t>
        </is>
      </c>
      <c r="I6" s="164" t="inlineStr">
        <is>
          <t>EDUCACIÓN CULTURAL Y ARTISTICA</t>
        </is>
      </c>
      <c r="J6" s="165" t="inlineStr">
        <is>
          <t>EDUCACIÓN FÍSICA</t>
        </is>
      </c>
      <c r="K6" s="166" t="inlineStr">
        <is>
          <t>ANIMACIÓN A LA LECTURA</t>
        </is>
      </c>
      <c r="L6" s="167" t="inlineStr">
        <is>
          <t>ACOMPAÑAMIENTO INTEGRAL EN EL AULA</t>
        </is>
      </c>
      <c r="M6" s="159" t="inlineStr">
        <is>
          <t>ORIENTACIÓN VOCACIONAL</t>
        </is>
      </c>
      <c r="N6" s="168" t="inlineStr">
        <is>
          <t>PROMEDIO FINAL</t>
        </is>
      </c>
      <c r="O6" s="169" t="inlineStr">
        <is>
          <t>CCOMPORTAMIENTO</t>
        </is>
      </c>
      <c r="P6" s="46" t="inlineStr">
        <is>
          <t>OBSERVACIONES</t>
        </is>
      </c>
    </row>
    <row r="7" ht="14.25" customHeight="1" s="226">
      <c r="A7" s="51" t="n">
        <v>1</v>
      </c>
      <c r="B7" s="170" t="inlineStr">
        <is>
          <t>ARIAS UZHCA JHONY XAVIER</t>
        </is>
      </c>
      <c r="C7" s="171" t="n"/>
      <c r="D7" s="150" t="n">
        <v>8.039999999999999</v>
      </c>
      <c r="E7" s="172" t="n">
        <v>8.9</v>
      </c>
      <c r="F7" s="173" t="n">
        <v>8</v>
      </c>
      <c r="G7" s="155" t="n">
        <v>8.35</v>
      </c>
      <c r="H7" s="174" t="n">
        <v>7.98</v>
      </c>
      <c r="I7" s="175" t="n">
        <v>9.369999999999999</v>
      </c>
      <c r="J7" s="68" t="n">
        <v>8.69</v>
      </c>
      <c r="K7" s="70" t="inlineStr">
        <is>
          <t>A-</t>
        </is>
      </c>
      <c r="L7" s="77" t="inlineStr">
        <is>
          <t>A+</t>
        </is>
      </c>
      <c r="M7" s="75" t="inlineStr">
        <is>
          <t>A+</t>
        </is>
      </c>
      <c r="N7" s="176">
        <f>TRUNC(AVERAGE(D7:J7),2)</f>
        <v/>
      </c>
      <c r="O7" s="178" t="inlineStr">
        <is>
          <t>S</t>
        </is>
      </c>
      <c r="P7" s="87" t="inlineStr">
        <is>
          <t>PROMOVIDO</t>
        </is>
      </c>
      <c r="Q7" s="88" t="n"/>
    </row>
    <row r="8" ht="15" customHeight="1" s="226">
      <c r="A8" s="51" t="n">
        <v>2</v>
      </c>
      <c r="B8" s="121" t="inlineStr">
        <is>
          <t>BARBECHO TELLO DANIELA ABIGAIL</t>
        </is>
      </c>
      <c r="C8" s="200" t="n"/>
      <c r="D8" s="150" t="n">
        <v>9.24</v>
      </c>
      <c r="E8" s="181" t="n">
        <v>8.720000000000001</v>
      </c>
      <c r="F8" s="182" t="n">
        <v>7.98</v>
      </c>
      <c r="G8" s="155" t="n">
        <v>8.789999999999999</v>
      </c>
      <c r="H8" s="174" t="n">
        <v>8.449999999999999</v>
      </c>
      <c r="I8" s="175" t="n">
        <v>9.25</v>
      </c>
      <c r="J8" s="68" t="n">
        <v>8.92</v>
      </c>
      <c r="K8" s="70" t="inlineStr">
        <is>
          <t>A-</t>
        </is>
      </c>
      <c r="L8" s="77" t="inlineStr">
        <is>
          <t>A+</t>
        </is>
      </c>
      <c r="M8" s="95" t="inlineStr">
        <is>
          <t>A+</t>
        </is>
      </c>
      <c r="N8" s="176">
        <f>TRUNC(AVERAGE(D8:J8),2)</f>
        <v/>
      </c>
      <c r="O8" s="178" t="inlineStr">
        <is>
          <t>S</t>
        </is>
      </c>
      <c r="P8" s="87" t="inlineStr">
        <is>
          <t>PROMOVIDO</t>
        </is>
      </c>
      <c r="Q8" s="88" t="n"/>
    </row>
    <row r="9" ht="15" customHeight="1" s="226">
      <c r="A9" s="51" t="n">
        <v>3</v>
      </c>
      <c r="B9" s="121" t="inlineStr">
        <is>
          <t>BERMEO LEMA MARCO ANTONIO</t>
        </is>
      </c>
      <c r="C9" s="200" t="n"/>
      <c r="D9" s="150" t="n">
        <v>7.8</v>
      </c>
      <c r="E9" s="181" t="n">
        <v>7.2</v>
      </c>
      <c r="F9" s="182" t="n">
        <v>7.01</v>
      </c>
      <c r="G9" s="155" t="n">
        <v>8.26</v>
      </c>
      <c r="H9" s="174" t="n">
        <v>7.43</v>
      </c>
      <c r="I9" s="175" t="n">
        <v>8.06</v>
      </c>
      <c r="J9" s="68" t="n">
        <v>8.19</v>
      </c>
      <c r="K9" s="70" t="inlineStr">
        <is>
          <t>A-</t>
        </is>
      </c>
      <c r="L9" s="77" t="inlineStr">
        <is>
          <t>A+</t>
        </is>
      </c>
      <c r="M9" s="95" t="inlineStr">
        <is>
          <t>A+</t>
        </is>
      </c>
      <c r="N9" s="176">
        <f>TRUNC(AVERAGE(D9:J9),2)</f>
        <v/>
      </c>
      <c r="O9" s="178" t="inlineStr">
        <is>
          <t>S</t>
        </is>
      </c>
      <c r="P9" s="87" t="inlineStr">
        <is>
          <t>PROMOVIDO</t>
        </is>
      </c>
      <c r="Q9" s="88" t="n"/>
    </row>
    <row r="10" ht="15" customHeight="1" s="226">
      <c r="A10" s="51" t="n">
        <v>4</v>
      </c>
      <c r="B10" s="121" t="inlineStr">
        <is>
          <t>BERREZUETA MARTOS NICOLAS PAUL</t>
        </is>
      </c>
      <c r="C10" s="200" t="n"/>
      <c r="D10" s="150" t="n">
        <v>7.18</v>
      </c>
      <c r="E10" s="181" t="n">
        <v>7</v>
      </c>
      <c r="F10" s="185" t="n">
        <v>7</v>
      </c>
      <c r="G10" s="155" t="n">
        <v>7.49</v>
      </c>
      <c r="H10" s="174" t="n">
        <v>7.17</v>
      </c>
      <c r="I10" s="175" t="n">
        <v>7.63</v>
      </c>
      <c r="J10" s="68" t="n">
        <v>7.36</v>
      </c>
      <c r="K10" s="70" t="inlineStr">
        <is>
          <t>A-</t>
        </is>
      </c>
      <c r="L10" s="77" t="inlineStr">
        <is>
          <t>A+</t>
        </is>
      </c>
      <c r="M10" s="95" t="inlineStr">
        <is>
          <t>A+</t>
        </is>
      </c>
      <c r="N10" s="176">
        <f>TRUNC(AVERAGE(D10:J10),2)</f>
        <v/>
      </c>
      <c r="O10" s="178" t="inlineStr">
        <is>
          <t>S</t>
        </is>
      </c>
      <c r="P10" s="87" t="inlineStr">
        <is>
          <t xml:space="preserve">PROMOVIDO </t>
        </is>
      </c>
      <c r="Q10" s="88" t="n"/>
    </row>
    <row r="11" ht="15" customHeight="1" s="226">
      <c r="A11" s="51" t="n">
        <v>5</v>
      </c>
      <c r="B11" s="121" t="inlineStr">
        <is>
          <t>CABRERA FAJARDO JOSUE ALEJANDRO</t>
        </is>
      </c>
      <c r="C11" s="200" t="n"/>
      <c r="D11" s="150" t="n">
        <v>9.359999999999999</v>
      </c>
      <c r="E11" s="187" t="n">
        <v>9.06</v>
      </c>
      <c r="F11" s="182" t="n">
        <v>8.02</v>
      </c>
      <c r="G11" s="155" t="n">
        <v>9.07</v>
      </c>
      <c r="H11" s="174" t="n">
        <v>9.57</v>
      </c>
      <c r="I11" s="175" t="n">
        <v>9.300000000000001</v>
      </c>
      <c r="J11" s="68" t="n">
        <v>9.390000000000001</v>
      </c>
      <c r="K11" s="70" t="inlineStr">
        <is>
          <t>A-</t>
        </is>
      </c>
      <c r="L11" s="77" t="inlineStr">
        <is>
          <t>A+</t>
        </is>
      </c>
      <c r="M11" s="95" t="inlineStr">
        <is>
          <t>A+</t>
        </is>
      </c>
      <c r="N11" s="176">
        <f>TRUNC(AVERAGE(D11:J11),2)</f>
        <v/>
      </c>
      <c r="O11" s="178" t="inlineStr">
        <is>
          <t>S</t>
        </is>
      </c>
      <c r="P11" s="87" t="inlineStr">
        <is>
          <t>PROMOVIDO</t>
        </is>
      </c>
      <c r="Q11" s="88" t="n"/>
    </row>
    <row r="12" ht="15" customHeight="1" s="226">
      <c r="A12" s="51" t="n">
        <v>6</v>
      </c>
      <c r="B12" s="121" t="inlineStr">
        <is>
          <t>CAGUANA CASTRO LUIS MATEO</t>
        </is>
      </c>
      <c r="C12" s="200" t="n"/>
      <c r="D12" s="150" t="n">
        <v>8.44</v>
      </c>
      <c r="E12" s="187" t="n">
        <v>8.029999999999999</v>
      </c>
      <c r="F12" s="189" t="n">
        <v>7.37</v>
      </c>
      <c r="G12" s="155" t="n">
        <v>8.49</v>
      </c>
      <c r="H12" s="174" t="n">
        <v>8.32</v>
      </c>
      <c r="I12" s="175" t="n">
        <v>8.34</v>
      </c>
      <c r="J12" s="68" t="n">
        <v>8.109999999999999</v>
      </c>
      <c r="K12" s="70" t="inlineStr">
        <is>
          <t>A-</t>
        </is>
      </c>
      <c r="L12" s="77" t="inlineStr">
        <is>
          <t>A+</t>
        </is>
      </c>
      <c r="M12" s="95" t="inlineStr">
        <is>
          <t>A+</t>
        </is>
      </c>
      <c r="N12" s="176">
        <f>TRUNC(AVERAGE(D12:J12),2)</f>
        <v/>
      </c>
      <c r="O12" s="178" t="inlineStr">
        <is>
          <t>S</t>
        </is>
      </c>
      <c r="P12" s="87" t="inlineStr">
        <is>
          <t>PROMOVIDO</t>
        </is>
      </c>
      <c r="Q12" s="88" t="n"/>
    </row>
    <row r="13" ht="15" customHeight="1" s="226">
      <c r="A13" s="51" t="n">
        <v>7</v>
      </c>
      <c r="B13" s="121" t="inlineStr">
        <is>
          <t>CALLE CAMPOVERDE ERIKA ABIGAHIL</t>
        </is>
      </c>
      <c r="C13" s="200" t="n"/>
      <c r="D13" s="150" t="n">
        <v>9.050000000000001</v>
      </c>
      <c r="E13" s="181" t="n">
        <v>8.19</v>
      </c>
      <c r="F13" s="182" t="n">
        <v>8.31</v>
      </c>
      <c r="G13" s="155" t="n">
        <v>9.24</v>
      </c>
      <c r="H13" s="174" t="n">
        <v>9.300000000000001</v>
      </c>
      <c r="I13" s="175" t="n">
        <v>9.029999999999999</v>
      </c>
      <c r="J13" s="68" t="n">
        <v>9.32</v>
      </c>
      <c r="K13" s="70" t="inlineStr">
        <is>
          <t>A-</t>
        </is>
      </c>
      <c r="L13" s="77" t="inlineStr">
        <is>
          <t>A+</t>
        </is>
      </c>
      <c r="M13" s="95" t="inlineStr">
        <is>
          <t>A+</t>
        </is>
      </c>
      <c r="N13" s="176">
        <f>TRUNC(AVERAGE(D13:J13),2)</f>
        <v/>
      </c>
      <c r="O13" s="178" t="inlineStr">
        <is>
          <t>S</t>
        </is>
      </c>
      <c r="P13" s="87" t="inlineStr">
        <is>
          <t>PROMOVIDO</t>
        </is>
      </c>
      <c r="Q13" s="88" t="n"/>
    </row>
    <row r="14" ht="15" customHeight="1" s="226">
      <c r="A14" s="51" t="n">
        <v>8</v>
      </c>
      <c r="B14" s="121" t="inlineStr">
        <is>
          <t>CAMPOVERDE MARIN ANAHI VALENTINA</t>
        </is>
      </c>
      <c r="C14" s="200" t="n"/>
      <c r="D14" s="150" t="n">
        <v>9.06</v>
      </c>
      <c r="E14" s="181" t="n">
        <v>7.92</v>
      </c>
      <c r="F14" s="192" t="n">
        <v>8.01</v>
      </c>
      <c r="G14" s="155" t="n">
        <v>8.56</v>
      </c>
      <c r="H14" s="174" t="n">
        <v>9.140000000000001</v>
      </c>
      <c r="I14" s="175" t="n">
        <v>9.380000000000001</v>
      </c>
      <c r="J14" s="68" t="n">
        <v>9.67</v>
      </c>
      <c r="K14" s="70" t="inlineStr">
        <is>
          <t>A-</t>
        </is>
      </c>
      <c r="L14" s="77" t="inlineStr">
        <is>
          <t>A+</t>
        </is>
      </c>
      <c r="M14" s="95" t="inlineStr">
        <is>
          <t>A+</t>
        </is>
      </c>
      <c r="N14" s="176">
        <f>TRUNC(AVERAGE(D14:J14),2)</f>
        <v/>
      </c>
      <c r="O14" s="178" t="inlineStr">
        <is>
          <t>S</t>
        </is>
      </c>
      <c r="P14" s="87" t="inlineStr">
        <is>
          <t>PROMOVIDO</t>
        </is>
      </c>
      <c r="Q14" s="88" t="n"/>
    </row>
    <row r="15" ht="15" customHeight="1" s="226">
      <c r="A15" s="51" t="n">
        <v>9</v>
      </c>
      <c r="B15" s="121" t="inlineStr">
        <is>
          <t>CAMPOVERDE PEÑA BETSABETH FERNANDA</t>
        </is>
      </c>
      <c r="C15" s="200" t="n"/>
      <c r="D15" s="150" t="n">
        <v>9.609999999999999</v>
      </c>
      <c r="E15" s="172" t="n">
        <v>9.43</v>
      </c>
      <c r="F15" s="185" t="n">
        <v>9.44</v>
      </c>
      <c r="G15" s="155" t="n">
        <v>9.6</v>
      </c>
      <c r="H15" s="194" t="n">
        <v>9.609999999999999</v>
      </c>
      <c r="I15" s="175" t="n">
        <v>9.529999999999999</v>
      </c>
      <c r="J15" s="68" t="n">
        <v>9.74</v>
      </c>
      <c r="K15" s="70" t="inlineStr">
        <is>
          <t>A+</t>
        </is>
      </c>
      <c r="L15" s="77" t="inlineStr">
        <is>
          <t>A+</t>
        </is>
      </c>
      <c r="M15" s="95" t="inlineStr">
        <is>
          <t>A+</t>
        </is>
      </c>
      <c r="N15" s="176">
        <f>TRUNC(AVERAGE(D15:J15),2)</f>
        <v/>
      </c>
      <c r="O15" s="178" t="inlineStr">
        <is>
          <t>S</t>
        </is>
      </c>
      <c r="P15" s="87" t="inlineStr">
        <is>
          <t>PROMOVIDO</t>
        </is>
      </c>
      <c r="Q15" s="88" t="n"/>
    </row>
    <row r="16" ht="15" customHeight="1" s="226">
      <c r="A16" s="51" t="n">
        <v>10</v>
      </c>
      <c r="B16" s="121" t="inlineStr">
        <is>
          <t>CAMPOVERDE VALDEZ DAVID ANDRES</t>
        </is>
      </c>
      <c r="C16" s="200" t="n"/>
      <c r="D16" s="150" t="n">
        <v>7.63</v>
      </c>
      <c r="E16" s="181" t="n">
        <v>7.17</v>
      </c>
      <c r="F16" s="173" t="n">
        <v>7</v>
      </c>
      <c r="G16" s="155" t="n">
        <v>7.65</v>
      </c>
      <c r="H16" s="194" t="n">
        <v>7.4</v>
      </c>
      <c r="I16" s="175" t="n">
        <v>7.61</v>
      </c>
      <c r="J16" s="68" t="n">
        <v>7.54</v>
      </c>
      <c r="K16" s="70" t="inlineStr">
        <is>
          <t>B+</t>
        </is>
      </c>
      <c r="L16" s="77" t="inlineStr">
        <is>
          <t>A+</t>
        </is>
      </c>
      <c r="M16" s="95" t="inlineStr">
        <is>
          <t>A+</t>
        </is>
      </c>
      <c r="N16" s="176">
        <f>TRUNC(AVERAGE(D16:J16),2)</f>
        <v/>
      </c>
      <c r="O16" s="178" t="inlineStr">
        <is>
          <t>S</t>
        </is>
      </c>
      <c r="P16" s="87" t="inlineStr">
        <is>
          <t>PROMOVIDO</t>
        </is>
      </c>
      <c r="Q16" s="88" t="n"/>
    </row>
    <row r="17" ht="15" customHeight="1" s="226">
      <c r="A17" s="51" t="n">
        <v>11</v>
      </c>
      <c r="B17" s="121" t="inlineStr">
        <is>
          <t>CEDEÑO VALENTIN MATIAS EDUARDO</t>
        </is>
      </c>
      <c r="C17" s="200" t="n"/>
      <c r="D17" s="150" t="n">
        <v>7.18</v>
      </c>
      <c r="E17" s="181" t="n">
        <v>7</v>
      </c>
      <c r="F17" s="185" t="n">
        <v>7</v>
      </c>
      <c r="G17" s="155" t="n">
        <v>7.93</v>
      </c>
      <c r="H17" s="174" t="n">
        <v>7.24</v>
      </c>
      <c r="I17" s="175" t="n">
        <v>7.1</v>
      </c>
      <c r="J17" s="68" t="n">
        <v>7</v>
      </c>
      <c r="K17" s="70" t="inlineStr">
        <is>
          <t>B+</t>
        </is>
      </c>
      <c r="L17" s="77" t="inlineStr">
        <is>
          <t>A+</t>
        </is>
      </c>
      <c r="M17" s="95" t="inlineStr">
        <is>
          <t>A+</t>
        </is>
      </c>
      <c r="N17" s="176">
        <f>TRUNC(AVERAGE(D17:J17),2)</f>
        <v/>
      </c>
      <c r="O17" s="178" t="inlineStr">
        <is>
          <t>S</t>
        </is>
      </c>
      <c r="P17" s="87" t="inlineStr">
        <is>
          <t xml:space="preserve">PROMOVIDO </t>
        </is>
      </c>
      <c r="Q17" s="88" t="n"/>
    </row>
    <row r="18" ht="15" customHeight="1" s="226">
      <c r="A18" s="51" t="n">
        <v>12</v>
      </c>
      <c r="B18" s="121" t="inlineStr">
        <is>
          <t>CHACA CAMPOVERDE DENISE VALESKA</t>
        </is>
      </c>
      <c r="C18" s="200" t="n"/>
      <c r="D18" s="150" t="n">
        <v>9.43</v>
      </c>
      <c r="E18" s="181" t="n">
        <v>9.18</v>
      </c>
      <c r="F18" s="182" t="n">
        <v>9.220000000000001</v>
      </c>
      <c r="G18" s="155" t="n">
        <v>9.42</v>
      </c>
      <c r="H18" s="174" t="n">
        <v>9.42</v>
      </c>
      <c r="I18" s="175" t="n">
        <v>9.91</v>
      </c>
      <c r="J18" s="68" t="n">
        <v>9.92</v>
      </c>
      <c r="K18" s="70" t="inlineStr">
        <is>
          <t>A-</t>
        </is>
      </c>
      <c r="L18" s="77" t="inlineStr">
        <is>
          <t>A+</t>
        </is>
      </c>
      <c r="M18" s="95" t="inlineStr">
        <is>
          <t>A+</t>
        </is>
      </c>
      <c r="N18" s="176">
        <f>TRUNC(AVERAGE(D18:J18),2)</f>
        <v/>
      </c>
      <c r="O18" s="178" t="inlineStr">
        <is>
          <t>S</t>
        </is>
      </c>
      <c r="P18" s="87" t="inlineStr">
        <is>
          <t>PROMOVIDO</t>
        </is>
      </c>
      <c r="Q18" s="88" t="n"/>
    </row>
    <row r="19" ht="15" customHeight="1" s="226">
      <c r="A19" s="51" t="n">
        <v>13</v>
      </c>
      <c r="B19" s="121" t="inlineStr">
        <is>
          <t>CHILLOGALLO PIZARRO STEVEN ADRIAN</t>
        </is>
      </c>
      <c r="C19" s="200" t="n"/>
      <c r="D19" s="150" t="n">
        <v>7.68</v>
      </c>
      <c r="E19" s="181" t="n">
        <v>7.35</v>
      </c>
      <c r="F19" s="192" t="n">
        <v>7.01</v>
      </c>
      <c r="G19" s="155" t="n">
        <v>8.69</v>
      </c>
      <c r="H19" s="174" t="n">
        <v>7.96</v>
      </c>
      <c r="I19" s="175" t="n">
        <v>7.79</v>
      </c>
      <c r="J19" s="68" t="n">
        <v>8.300000000000001</v>
      </c>
      <c r="K19" s="70" t="inlineStr">
        <is>
          <t>B+</t>
        </is>
      </c>
      <c r="L19" s="77" t="inlineStr">
        <is>
          <t>A+</t>
        </is>
      </c>
      <c r="M19" s="95" t="inlineStr">
        <is>
          <t>A+</t>
        </is>
      </c>
      <c r="N19" s="176">
        <f>TRUNC(AVERAGE(D19:J19),2)</f>
        <v/>
      </c>
      <c r="O19" s="178" t="inlineStr">
        <is>
          <t>S</t>
        </is>
      </c>
      <c r="P19" s="87" t="inlineStr">
        <is>
          <t>PROMOVIDO</t>
        </is>
      </c>
      <c r="Q19" s="88" t="n"/>
    </row>
    <row r="20" ht="15" customHeight="1" s="226">
      <c r="A20" s="51" t="n">
        <v>14</v>
      </c>
      <c r="B20" s="121" t="inlineStr">
        <is>
          <t>CORTE PROAÑO JAIME FERNANDO</t>
        </is>
      </c>
      <c r="C20" s="200" t="n"/>
      <c r="D20" s="150" t="n">
        <v>7.27</v>
      </c>
      <c r="E20" s="181" t="n">
        <v>7</v>
      </c>
      <c r="F20" s="182" t="n">
        <v>7.06</v>
      </c>
      <c r="G20" s="155" t="n">
        <v>7.97</v>
      </c>
      <c r="H20" s="174" t="n">
        <v>7.5</v>
      </c>
      <c r="I20" s="175" t="n">
        <v>7</v>
      </c>
      <c r="J20" s="68" t="n">
        <v>7.48</v>
      </c>
      <c r="K20" s="70" t="inlineStr">
        <is>
          <t>A-</t>
        </is>
      </c>
      <c r="L20" s="77" t="inlineStr">
        <is>
          <t>A+</t>
        </is>
      </c>
      <c r="M20" s="95" t="inlineStr">
        <is>
          <t>A+</t>
        </is>
      </c>
      <c r="N20" s="176">
        <f>TRUNC(AVERAGE(D20:J20),2)</f>
        <v/>
      </c>
      <c r="O20" s="178" t="inlineStr">
        <is>
          <t>S</t>
        </is>
      </c>
      <c r="P20" s="87" t="inlineStr">
        <is>
          <t xml:space="preserve">PROMOVIDO </t>
        </is>
      </c>
      <c r="Q20" s="88" t="n"/>
    </row>
    <row r="21" ht="15" customHeight="1" s="226">
      <c r="A21" s="51" t="n">
        <v>15</v>
      </c>
      <c r="B21" s="121" t="inlineStr">
        <is>
          <t>CUEVA UZHCA MARJURY LIZBETH</t>
        </is>
      </c>
      <c r="C21" s="200" t="n"/>
      <c r="D21" s="150" t="n">
        <v>7.75</v>
      </c>
      <c r="E21" s="181" t="n">
        <v>7</v>
      </c>
      <c r="F21" s="185" t="n">
        <v>7</v>
      </c>
      <c r="G21" s="155" t="n">
        <v>7.9</v>
      </c>
      <c r="H21" s="174" t="n">
        <v>8.06</v>
      </c>
      <c r="I21" s="175" t="n">
        <v>8.16</v>
      </c>
      <c r="J21" s="68" t="n">
        <v>8.93</v>
      </c>
      <c r="K21" s="70" t="inlineStr">
        <is>
          <t>A-</t>
        </is>
      </c>
      <c r="L21" s="77" t="inlineStr">
        <is>
          <t>A+</t>
        </is>
      </c>
      <c r="M21" s="95" t="inlineStr">
        <is>
          <t>A+</t>
        </is>
      </c>
      <c r="N21" s="176">
        <f>TRUNC(AVERAGE(D21:J21),2)</f>
        <v/>
      </c>
      <c r="O21" s="178" t="inlineStr">
        <is>
          <t>S</t>
        </is>
      </c>
      <c r="P21" s="87" t="inlineStr">
        <is>
          <t xml:space="preserve">PROMOVIDO </t>
        </is>
      </c>
      <c r="Q21" s="88" t="n"/>
    </row>
    <row r="22" ht="15" customHeight="1" s="226">
      <c r="A22" s="51" t="n">
        <v>16</v>
      </c>
      <c r="B22" s="121" t="inlineStr">
        <is>
          <t>CUMBE JIMENEZ JOSE ANDRES</t>
        </is>
      </c>
      <c r="C22" s="200" t="n"/>
      <c r="D22" s="150" t="n">
        <v>7.71</v>
      </c>
      <c r="E22" s="181" t="n">
        <v>7.37</v>
      </c>
      <c r="F22" s="185" t="n">
        <v>7</v>
      </c>
      <c r="G22" s="155" t="n">
        <v>8.56</v>
      </c>
      <c r="H22" s="174" t="n">
        <v>7.51</v>
      </c>
      <c r="I22" s="175" t="n">
        <v>7</v>
      </c>
      <c r="J22" s="68" t="n">
        <v>7.86</v>
      </c>
      <c r="K22" s="70" t="inlineStr">
        <is>
          <t>A-</t>
        </is>
      </c>
      <c r="L22" s="77" t="inlineStr">
        <is>
          <t>A+</t>
        </is>
      </c>
      <c r="M22" s="95" t="inlineStr">
        <is>
          <t>A+</t>
        </is>
      </c>
      <c r="N22" s="176">
        <f>TRUNC(AVERAGE(D22:J22),2)</f>
        <v/>
      </c>
      <c r="O22" s="178" t="inlineStr">
        <is>
          <t>S</t>
        </is>
      </c>
      <c r="P22" s="87" t="inlineStr">
        <is>
          <t xml:space="preserve">PROMOVIDO </t>
        </is>
      </c>
      <c r="Q22" s="88" t="n"/>
    </row>
    <row r="23" ht="15" customHeight="1" s="226">
      <c r="A23" s="51" t="n">
        <v>17</v>
      </c>
      <c r="B23" s="121" t="inlineStr">
        <is>
          <t>ELIZALDE CRUZ EMILY ALEXANDRA</t>
        </is>
      </c>
      <c r="C23" s="200" t="n"/>
      <c r="D23" s="150" t="n">
        <v>9.539999999999999</v>
      </c>
      <c r="E23" s="181" t="n">
        <v>9.69</v>
      </c>
      <c r="F23" s="185" t="n">
        <v>9.130000000000001</v>
      </c>
      <c r="G23" s="155" t="n">
        <v>9.529999999999999</v>
      </c>
      <c r="H23" s="174" t="n">
        <v>9.57</v>
      </c>
      <c r="I23" s="175" t="n">
        <v>9.25</v>
      </c>
      <c r="J23" s="68" t="n">
        <v>9.6</v>
      </c>
      <c r="K23" s="70" t="inlineStr">
        <is>
          <t>A-</t>
        </is>
      </c>
      <c r="L23" s="77" t="inlineStr">
        <is>
          <t>A+</t>
        </is>
      </c>
      <c r="M23" s="95" t="inlineStr">
        <is>
          <t>A+</t>
        </is>
      </c>
      <c r="N23" s="176">
        <f>TRUNC(AVERAGE(D23:J23),2)</f>
        <v/>
      </c>
      <c r="O23" s="178" t="inlineStr">
        <is>
          <t>S</t>
        </is>
      </c>
      <c r="P23" s="87" t="inlineStr">
        <is>
          <t>PROMOVIDO</t>
        </is>
      </c>
      <c r="Q23" s="88" t="n"/>
    </row>
    <row r="24" ht="15" customHeight="1" s="226">
      <c r="A24" s="51" t="n">
        <v>18</v>
      </c>
      <c r="B24" s="121" t="inlineStr">
        <is>
          <t>FAJARDO PANDIGUANA MILAGROS GUADALUPE</t>
        </is>
      </c>
      <c r="C24" s="200" t="n"/>
      <c r="D24" s="150" t="n">
        <v>8.970000000000001</v>
      </c>
      <c r="E24" s="181" t="n">
        <v>9.23</v>
      </c>
      <c r="F24" s="182" t="n">
        <v>9.220000000000001</v>
      </c>
      <c r="G24" s="155" t="n">
        <v>9.16</v>
      </c>
      <c r="H24" s="174" t="n">
        <v>8.970000000000001</v>
      </c>
      <c r="I24" s="175" t="n">
        <v>9.779999999999999</v>
      </c>
      <c r="J24" s="68" t="n">
        <v>9.720000000000001</v>
      </c>
      <c r="K24" s="70" t="inlineStr">
        <is>
          <t>A-</t>
        </is>
      </c>
      <c r="L24" s="77" t="inlineStr">
        <is>
          <t>A+</t>
        </is>
      </c>
      <c r="M24" s="95" t="inlineStr">
        <is>
          <t>A+</t>
        </is>
      </c>
      <c r="N24" s="176">
        <f>TRUNC(AVERAGE(D24:J24),2)</f>
        <v/>
      </c>
      <c r="O24" s="178" t="inlineStr">
        <is>
          <t>S</t>
        </is>
      </c>
      <c r="P24" s="87" t="inlineStr">
        <is>
          <t>PROMOVIDO</t>
        </is>
      </c>
      <c r="Q24" s="88" t="n"/>
    </row>
    <row r="25" ht="15" customHeight="1" s="226">
      <c r="A25" s="51" t="n">
        <v>19</v>
      </c>
      <c r="B25" s="121" t="inlineStr">
        <is>
          <t>FERNANDEZ FERNANDEZ ANAHI ROSARIO</t>
        </is>
      </c>
      <c r="C25" s="200" t="n"/>
      <c r="D25" s="150" t="n">
        <v>8.800000000000001</v>
      </c>
      <c r="E25" s="181" t="n">
        <v>8.34</v>
      </c>
      <c r="F25" s="182" t="n">
        <v>7.85</v>
      </c>
      <c r="G25" s="155" t="n">
        <v>8.640000000000001</v>
      </c>
      <c r="H25" s="174" t="n">
        <v>8.369999999999999</v>
      </c>
      <c r="I25" s="175" t="n">
        <v>8.98</v>
      </c>
      <c r="J25" s="68" t="n">
        <v>8.699999999999999</v>
      </c>
      <c r="K25" s="70" t="inlineStr">
        <is>
          <t>A-</t>
        </is>
      </c>
      <c r="L25" s="77" t="inlineStr">
        <is>
          <t>A+</t>
        </is>
      </c>
      <c r="M25" s="95" t="inlineStr">
        <is>
          <t>A+</t>
        </is>
      </c>
      <c r="N25" s="176">
        <f>TRUNC(AVERAGE(D25:J25),2)</f>
        <v/>
      </c>
      <c r="O25" s="178" t="inlineStr">
        <is>
          <t>S</t>
        </is>
      </c>
      <c r="P25" s="87" t="inlineStr">
        <is>
          <t>PROMOVIDO</t>
        </is>
      </c>
      <c r="Q25" s="88" t="n"/>
    </row>
    <row r="26" ht="15" customHeight="1" s="226">
      <c r="A26" s="51" t="n">
        <v>20</v>
      </c>
      <c r="B26" s="121" t="inlineStr">
        <is>
          <t>FERNANDEZ NAREA GABRIEL PATRICIO</t>
        </is>
      </c>
      <c r="C26" s="200" t="n"/>
      <c r="D26" s="150" t="n">
        <v>7.84</v>
      </c>
      <c r="E26" s="181" t="n">
        <v>8.17</v>
      </c>
      <c r="F26" s="189" t="n">
        <v>7.23</v>
      </c>
      <c r="G26" s="155" t="n">
        <v>8.4</v>
      </c>
      <c r="H26" s="174" t="n">
        <v>8.27</v>
      </c>
      <c r="I26" s="175" t="n">
        <v>7.97</v>
      </c>
      <c r="J26" s="68" t="n">
        <v>8.279999999999999</v>
      </c>
      <c r="K26" s="70" t="inlineStr">
        <is>
          <t>B+</t>
        </is>
      </c>
      <c r="L26" s="77" t="inlineStr">
        <is>
          <t>A+</t>
        </is>
      </c>
      <c r="M26" s="95" t="inlineStr">
        <is>
          <t>A+</t>
        </is>
      </c>
      <c r="N26" s="176">
        <f>TRUNC(AVERAGE(D26:J26),2)</f>
        <v/>
      </c>
      <c r="O26" s="178" t="inlineStr">
        <is>
          <t>S</t>
        </is>
      </c>
      <c r="P26" s="87" t="inlineStr">
        <is>
          <t>PROMOVIDO</t>
        </is>
      </c>
      <c r="Q26" s="88" t="n"/>
    </row>
    <row r="27" ht="18" customHeight="1" s="226">
      <c r="A27" s="51" t="n">
        <v>21</v>
      </c>
      <c r="B27" s="121" t="inlineStr">
        <is>
          <t>GOMEZ MINUCHE MARYURI YAMILETH</t>
        </is>
      </c>
      <c r="C27" s="200" t="n"/>
      <c r="D27" s="150" t="n">
        <v>8.039999999999999</v>
      </c>
      <c r="E27" s="187" t="n">
        <v>8.039999999999999</v>
      </c>
      <c r="F27" s="182" t="n">
        <v>7.69</v>
      </c>
      <c r="G27" s="155" t="n">
        <v>8.640000000000001</v>
      </c>
      <c r="H27" s="174" t="n">
        <v>8.199999999999999</v>
      </c>
      <c r="I27" s="175" t="n">
        <v>8.69</v>
      </c>
      <c r="J27" s="68" t="n">
        <v>8.699999999999999</v>
      </c>
      <c r="K27" s="70" t="inlineStr">
        <is>
          <t>A+</t>
        </is>
      </c>
      <c r="L27" s="77" t="inlineStr">
        <is>
          <t>A+</t>
        </is>
      </c>
      <c r="M27" s="95" t="inlineStr">
        <is>
          <t>A+</t>
        </is>
      </c>
      <c r="N27" s="176">
        <f>TRUNC(AVERAGE(D27:J27),2)</f>
        <v/>
      </c>
      <c r="O27" s="178" t="inlineStr">
        <is>
          <t>S</t>
        </is>
      </c>
      <c r="P27" s="87" t="inlineStr">
        <is>
          <t>PROMOVIDO</t>
        </is>
      </c>
      <c r="Q27" s="88" t="n"/>
    </row>
    <row r="28" ht="15" customHeight="1" s="226">
      <c r="A28" s="51" t="n">
        <v>22</v>
      </c>
      <c r="B28" s="121" t="inlineStr">
        <is>
          <t>GUAILLAS LEON KAREN AYELEN</t>
        </is>
      </c>
      <c r="C28" s="200" t="n"/>
      <c r="D28" s="150" t="n">
        <v>9.33</v>
      </c>
      <c r="E28" s="187" t="n">
        <v>9.07</v>
      </c>
      <c r="F28" s="182" t="n">
        <v>9.44</v>
      </c>
      <c r="G28" s="155" t="n">
        <v>9.84</v>
      </c>
      <c r="H28" s="174" t="n">
        <v>8.890000000000001</v>
      </c>
      <c r="I28" s="175" t="n">
        <v>9.859999999999999</v>
      </c>
      <c r="J28" s="68" t="n">
        <v>9.66</v>
      </c>
      <c r="K28" s="70" t="inlineStr">
        <is>
          <t>A+</t>
        </is>
      </c>
      <c r="L28" s="77" t="inlineStr">
        <is>
          <t>A+</t>
        </is>
      </c>
      <c r="M28" s="95" t="inlineStr">
        <is>
          <t>A+</t>
        </is>
      </c>
      <c r="N28" s="176">
        <f>TRUNC(AVERAGE(D28:J28),2)</f>
        <v/>
      </c>
      <c r="O28" s="178" t="inlineStr">
        <is>
          <t>S</t>
        </is>
      </c>
      <c r="P28" s="87" t="inlineStr">
        <is>
          <t>PROMOVIDO</t>
        </is>
      </c>
      <c r="Q28" s="88" t="n"/>
    </row>
    <row r="29" ht="18" customHeight="1" s="226">
      <c r="A29" s="51" t="n">
        <v>23</v>
      </c>
      <c r="B29" s="121" t="inlineStr">
        <is>
          <t>GUAMBAÑA AREVALO DAYSI ABIGAIL</t>
        </is>
      </c>
      <c r="C29" s="200" t="n"/>
      <c r="D29" s="150" t="n">
        <v>7.8</v>
      </c>
      <c r="E29" s="181" t="n">
        <v>7</v>
      </c>
      <c r="F29" s="185" t="n">
        <v>7</v>
      </c>
      <c r="G29" s="155" t="n">
        <v>8.42</v>
      </c>
      <c r="H29" s="174" t="n">
        <v>8.050000000000001</v>
      </c>
      <c r="I29" s="175" t="n">
        <v>7.55</v>
      </c>
      <c r="J29" s="68" t="n">
        <v>8.08</v>
      </c>
      <c r="K29" s="70" t="inlineStr">
        <is>
          <t>A-</t>
        </is>
      </c>
      <c r="L29" s="77" t="inlineStr">
        <is>
          <t>A+</t>
        </is>
      </c>
      <c r="M29" s="95" t="inlineStr">
        <is>
          <t>A+</t>
        </is>
      </c>
      <c r="N29" s="176">
        <f>TRUNC(AVERAGE(D29:J29),2)</f>
        <v/>
      </c>
      <c r="O29" s="178" t="inlineStr">
        <is>
          <t>S</t>
        </is>
      </c>
      <c r="P29" s="87" t="inlineStr">
        <is>
          <t xml:space="preserve">PROMOVIDO </t>
        </is>
      </c>
      <c r="Q29" s="88" t="n"/>
    </row>
    <row r="30" ht="15" customHeight="1" s="226">
      <c r="A30" s="51" t="n">
        <v>24</v>
      </c>
      <c r="B30" s="121" t="inlineStr">
        <is>
          <t>GUARTASACA BUENO PAULA ABIGAIL</t>
        </is>
      </c>
      <c r="C30" s="200" t="n"/>
      <c r="D30" s="150" t="n">
        <v>8.710000000000001</v>
      </c>
      <c r="E30" s="181" t="n">
        <v>7.8</v>
      </c>
      <c r="F30" s="182" t="n">
        <v>7.57</v>
      </c>
      <c r="G30" s="155" t="n">
        <v>8.210000000000001</v>
      </c>
      <c r="H30" s="174" t="n">
        <v>8.4</v>
      </c>
      <c r="I30" s="175" t="n">
        <v>7.81</v>
      </c>
      <c r="J30" s="68" t="n">
        <v>8.33</v>
      </c>
      <c r="K30" s="70" t="inlineStr">
        <is>
          <t>A-</t>
        </is>
      </c>
      <c r="L30" s="77" t="inlineStr">
        <is>
          <t>A+</t>
        </is>
      </c>
      <c r="M30" s="95" t="inlineStr">
        <is>
          <t>A+</t>
        </is>
      </c>
      <c r="N30" s="176">
        <f>TRUNC(AVERAGE(D30:J30),2)</f>
        <v/>
      </c>
      <c r="O30" s="178" t="inlineStr">
        <is>
          <t>S</t>
        </is>
      </c>
      <c r="P30" s="87" t="inlineStr">
        <is>
          <t>PROMOVIDO</t>
        </is>
      </c>
      <c r="Q30" s="88" t="n"/>
    </row>
    <row r="31" ht="15" customHeight="1" s="226">
      <c r="A31" s="51" t="n">
        <v>25</v>
      </c>
      <c r="B31" s="121" t="inlineStr">
        <is>
          <t>HERAS REYES KAISER MATIAS</t>
        </is>
      </c>
      <c r="C31" s="200" t="n"/>
      <c r="D31" s="150" t="n">
        <v>7.58</v>
      </c>
      <c r="E31" s="181" t="n">
        <v>7</v>
      </c>
      <c r="F31" s="185" t="n">
        <v>7</v>
      </c>
      <c r="G31" s="155" t="n">
        <v>8.08</v>
      </c>
      <c r="H31" s="174" t="n">
        <v>7.6</v>
      </c>
      <c r="I31" s="175" t="n">
        <v>7.07</v>
      </c>
      <c r="J31" s="68" t="n">
        <v>7.17</v>
      </c>
      <c r="K31" s="70" t="inlineStr">
        <is>
          <t>A-</t>
        </is>
      </c>
      <c r="L31" s="77" t="inlineStr">
        <is>
          <t>A+</t>
        </is>
      </c>
      <c r="M31" s="95" t="inlineStr">
        <is>
          <t>A+</t>
        </is>
      </c>
      <c r="N31" s="176">
        <f>TRUNC(AVERAGE(D31:J31),2)</f>
        <v/>
      </c>
      <c r="O31" s="178" t="inlineStr">
        <is>
          <t>S</t>
        </is>
      </c>
      <c r="P31" s="87" t="inlineStr">
        <is>
          <t>PROMOVIDO</t>
        </is>
      </c>
      <c r="Q31" s="88" t="n"/>
    </row>
    <row r="32" ht="15" customHeight="1" s="226">
      <c r="A32" s="51" t="n">
        <v>26</v>
      </c>
      <c r="B32" s="121" t="inlineStr">
        <is>
          <t>LLANES CUEVA OMAR RICARDO</t>
        </is>
      </c>
      <c r="C32" s="200" t="n"/>
      <c r="D32" s="150" t="n">
        <v>7.83</v>
      </c>
      <c r="E32" s="181" t="n">
        <v>7</v>
      </c>
      <c r="F32" s="185" t="n">
        <v>7</v>
      </c>
      <c r="G32" s="155" t="n">
        <v>7.01</v>
      </c>
      <c r="H32" s="174" t="n">
        <v>7.22</v>
      </c>
      <c r="I32" s="175" t="n">
        <v>7</v>
      </c>
      <c r="J32" s="68" t="n">
        <v>7.44</v>
      </c>
      <c r="K32" s="70" t="inlineStr">
        <is>
          <t>A-</t>
        </is>
      </c>
      <c r="L32" s="77" t="inlineStr">
        <is>
          <t>A+</t>
        </is>
      </c>
      <c r="M32" s="95" t="inlineStr">
        <is>
          <t>A+</t>
        </is>
      </c>
      <c r="N32" s="176">
        <f>TRUNC(AVERAGE(D32:J32),2)</f>
        <v/>
      </c>
      <c r="O32" s="178" t="inlineStr">
        <is>
          <t>S</t>
        </is>
      </c>
      <c r="P32" s="87" t="inlineStr">
        <is>
          <t>PROMOVIDO</t>
        </is>
      </c>
      <c r="Q32" s="88" t="n"/>
    </row>
    <row r="33" ht="15" customHeight="1" s="226">
      <c r="A33" s="51" t="n">
        <v>27</v>
      </c>
      <c r="B33" s="121" t="inlineStr">
        <is>
          <t>LLANGARI GOMEZ JHOEL SANTIAGO</t>
        </is>
      </c>
      <c r="C33" s="200" t="n"/>
      <c r="D33" s="150" t="n">
        <v>7.28</v>
      </c>
      <c r="E33" s="181" t="n">
        <v>7</v>
      </c>
      <c r="F33" s="185" t="n">
        <v>7</v>
      </c>
      <c r="G33" s="155" t="n">
        <v>7.29</v>
      </c>
      <c r="H33" s="174" t="n">
        <v>7.4</v>
      </c>
      <c r="I33" s="175" t="n">
        <v>7.09</v>
      </c>
      <c r="J33" s="68" t="n">
        <v>7.28</v>
      </c>
      <c r="K33" s="70" t="inlineStr">
        <is>
          <t>B+</t>
        </is>
      </c>
      <c r="L33" s="77" t="inlineStr">
        <is>
          <t>A+</t>
        </is>
      </c>
      <c r="M33" s="95" t="inlineStr">
        <is>
          <t>A+</t>
        </is>
      </c>
      <c r="N33" s="176">
        <f>TRUNC(AVERAGE(D33:J33),2)</f>
        <v/>
      </c>
      <c r="O33" s="178" t="inlineStr">
        <is>
          <t>S</t>
        </is>
      </c>
      <c r="P33" s="87" t="inlineStr">
        <is>
          <t>PROMOVIDO</t>
        </is>
      </c>
      <c r="Q33" s="88" t="n"/>
    </row>
    <row r="34" ht="15" customHeight="1" s="226">
      <c r="A34" s="51" t="n">
        <v>28</v>
      </c>
      <c r="B34" s="121" t="inlineStr">
        <is>
          <t>MARCA PULGARIN DAVID SEBASTIAN</t>
        </is>
      </c>
      <c r="C34" s="200" t="n"/>
      <c r="D34" s="150" t="n">
        <v>8.94</v>
      </c>
      <c r="E34" s="181" t="n">
        <v>9.19</v>
      </c>
      <c r="F34" s="192" t="n">
        <v>7.96</v>
      </c>
      <c r="G34" s="155" t="n">
        <v>8.220000000000001</v>
      </c>
      <c r="H34" s="174" t="n">
        <v>9.31</v>
      </c>
      <c r="I34" s="175" t="n">
        <v>7.96</v>
      </c>
      <c r="J34" s="68" t="n">
        <v>8.68</v>
      </c>
      <c r="K34" s="70" t="inlineStr">
        <is>
          <t>A-</t>
        </is>
      </c>
      <c r="L34" s="77" t="inlineStr">
        <is>
          <t>A+</t>
        </is>
      </c>
      <c r="M34" s="95" t="inlineStr">
        <is>
          <t>A+</t>
        </is>
      </c>
      <c r="N34" s="176">
        <f>TRUNC(AVERAGE(D34:J34),2)</f>
        <v/>
      </c>
      <c r="O34" s="178" t="inlineStr">
        <is>
          <t>S</t>
        </is>
      </c>
      <c r="P34" s="87" t="inlineStr">
        <is>
          <t>PROMOVIDO</t>
        </is>
      </c>
      <c r="Q34" s="88" t="n"/>
    </row>
    <row r="35" ht="15" customHeight="1" s="226">
      <c r="A35" s="51" t="n">
        <v>29</v>
      </c>
      <c r="B35" s="121" t="inlineStr">
        <is>
          <t>MENA FAJARDO KLEBER ALBINO</t>
        </is>
      </c>
      <c r="C35" s="200" t="n"/>
      <c r="D35" s="150" t="n">
        <v>7.83</v>
      </c>
      <c r="E35" s="181" t="n">
        <v>7.69</v>
      </c>
      <c r="F35" s="192" t="n">
        <v>7.02</v>
      </c>
      <c r="G35" s="155" t="n">
        <v>8.1</v>
      </c>
      <c r="H35" s="174" t="n">
        <v>7.38</v>
      </c>
      <c r="I35" s="175" t="n">
        <v>7.91</v>
      </c>
      <c r="J35" s="68" t="n">
        <v>8.470000000000001</v>
      </c>
      <c r="K35" s="70" t="inlineStr">
        <is>
          <t>A-</t>
        </is>
      </c>
      <c r="L35" s="77" t="inlineStr">
        <is>
          <t>A+</t>
        </is>
      </c>
      <c r="M35" s="95" t="inlineStr">
        <is>
          <t>A+</t>
        </is>
      </c>
      <c r="N35" s="176">
        <f>TRUNC(AVERAGE(D35:J35),2)</f>
        <v/>
      </c>
      <c r="O35" s="178" t="inlineStr">
        <is>
          <t>S</t>
        </is>
      </c>
      <c r="P35" s="87" t="inlineStr">
        <is>
          <t>PROMOVIDO</t>
        </is>
      </c>
      <c r="Q35" s="88" t="n"/>
    </row>
    <row r="36" ht="15" customHeight="1" s="226">
      <c r="A36" s="51" t="n">
        <v>30</v>
      </c>
      <c r="B36" s="121" t="inlineStr">
        <is>
          <t>MORA SIGUENZA HUGO ALEJANDRO</t>
        </is>
      </c>
      <c r="C36" s="200" t="n"/>
      <c r="D36" s="150" t="n">
        <v>7.33</v>
      </c>
      <c r="E36" s="181" t="n">
        <v>7</v>
      </c>
      <c r="F36" s="182" t="n">
        <v>7.05</v>
      </c>
      <c r="G36" s="155" t="n">
        <v>7.74</v>
      </c>
      <c r="H36" s="174" t="n">
        <v>7.26</v>
      </c>
      <c r="I36" s="175" t="n">
        <v>7.08</v>
      </c>
      <c r="J36" s="68" t="n">
        <v>7.06</v>
      </c>
      <c r="K36" s="70" t="inlineStr">
        <is>
          <t>B+</t>
        </is>
      </c>
      <c r="L36" s="77" t="inlineStr">
        <is>
          <t>A+</t>
        </is>
      </c>
      <c r="M36" s="95" t="inlineStr">
        <is>
          <t>A+</t>
        </is>
      </c>
      <c r="N36" s="176">
        <f>TRUNC(AVERAGE(D36:J36),2)</f>
        <v/>
      </c>
      <c r="O36" s="178" t="inlineStr">
        <is>
          <t>O</t>
        </is>
      </c>
      <c r="P36" s="87" t="inlineStr">
        <is>
          <t>PROMOVIDO</t>
        </is>
      </c>
      <c r="Q36" s="88" t="n"/>
    </row>
    <row r="37" ht="15" customHeight="1" s="226">
      <c r="A37" s="199" t="n">
        <v>31</v>
      </c>
      <c r="B37" s="121" t="inlineStr">
        <is>
          <t>MOROCHO PUCHA JOHNNY PATRICIO</t>
        </is>
      </c>
      <c r="C37" s="200" t="n"/>
      <c r="D37" s="150" t="n">
        <v>7.52</v>
      </c>
      <c r="E37" s="181" t="n">
        <v>7.11</v>
      </c>
      <c r="F37" s="192" t="n">
        <v>7.02</v>
      </c>
      <c r="G37" s="155" t="n">
        <v>7.67</v>
      </c>
      <c r="H37" s="174" t="n">
        <v>7.63</v>
      </c>
      <c r="I37" s="175" t="n">
        <v>7.3</v>
      </c>
      <c r="J37" s="68" t="n">
        <v>7.91</v>
      </c>
      <c r="K37" s="70" t="inlineStr">
        <is>
          <t>B+</t>
        </is>
      </c>
      <c r="L37" s="77" t="inlineStr">
        <is>
          <t>A+</t>
        </is>
      </c>
      <c r="M37" s="95" t="inlineStr">
        <is>
          <t>A+</t>
        </is>
      </c>
      <c r="N37" s="176">
        <f>TRUNC(AVERAGE(D37:J37),2)</f>
        <v/>
      </c>
      <c r="O37" s="178" t="inlineStr">
        <is>
          <t>O</t>
        </is>
      </c>
      <c r="P37" s="87" t="inlineStr">
        <is>
          <t>PROMOVIDO</t>
        </is>
      </c>
      <c r="Q37" s="88" t="n"/>
    </row>
    <row r="38" ht="15" customHeight="1" s="226">
      <c r="A38" s="199" t="n">
        <v>32</v>
      </c>
      <c r="B38" s="121" t="inlineStr">
        <is>
          <t>ORELLANA GUICHAY ALEXANDRA NICOL</t>
        </is>
      </c>
      <c r="C38" s="200" t="n"/>
      <c r="D38" s="150" t="n">
        <v>8.289999999999999</v>
      </c>
      <c r="E38" s="181" t="n">
        <v>8.369999999999999</v>
      </c>
      <c r="F38" s="182" t="n">
        <v>7.8</v>
      </c>
      <c r="G38" s="155" t="n">
        <v>8.48</v>
      </c>
      <c r="H38" s="174" t="n">
        <v>8.84</v>
      </c>
      <c r="I38" s="175" t="n">
        <v>8.630000000000001</v>
      </c>
      <c r="J38" s="68" t="n">
        <v>8.779999999999999</v>
      </c>
      <c r="K38" s="70" t="inlineStr">
        <is>
          <t>B+</t>
        </is>
      </c>
      <c r="L38" s="77" t="inlineStr">
        <is>
          <t>A+</t>
        </is>
      </c>
      <c r="M38" s="95" t="inlineStr">
        <is>
          <t>A+</t>
        </is>
      </c>
      <c r="N38" s="176">
        <f>TRUNC(AVERAGE(D38:J38),2)</f>
        <v/>
      </c>
      <c r="O38" s="178" t="inlineStr">
        <is>
          <t>S</t>
        </is>
      </c>
      <c r="P38" s="87" t="inlineStr">
        <is>
          <t>PROMOVIDO</t>
        </is>
      </c>
      <c r="Q38" s="88" t="n"/>
    </row>
    <row r="39" ht="18" customHeight="1" s="226">
      <c r="A39" s="199" t="n">
        <v>33</v>
      </c>
      <c r="B39" s="121" t="inlineStr">
        <is>
          <t>ORELLANA MENDEZ JOHN ALEXANDER</t>
        </is>
      </c>
      <c r="C39" s="200" t="n"/>
      <c r="D39" s="150" t="n">
        <v>8.23</v>
      </c>
      <c r="E39" s="181" t="n">
        <v>7.67</v>
      </c>
      <c r="F39" s="182" t="n">
        <v>7.41</v>
      </c>
      <c r="G39" s="155" t="n">
        <v>8.800000000000001</v>
      </c>
      <c r="H39" s="174" t="n">
        <v>8.130000000000001</v>
      </c>
      <c r="I39" s="175" t="n">
        <v>8.52</v>
      </c>
      <c r="J39" s="68" t="n">
        <v>8.31</v>
      </c>
      <c r="K39" s="70" t="inlineStr">
        <is>
          <t>A-</t>
        </is>
      </c>
      <c r="L39" s="77" t="inlineStr">
        <is>
          <t>A+</t>
        </is>
      </c>
      <c r="M39" s="95" t="inlineStr">
        <is>
          <t>A+</t>
        </is>
      </c>
      <c r="N39" s="176">
        <f>TRUNC(AVERAGE(D39:J39),2)</f>
        <v/>
      </c>
      <c r="O39" s="178" t="inlineStr">
        <is>
          <t>S</t>
        </is>
      </c>
      <c r="P39" s="87" t="inlineStr">
        <is>
          <t>PROMOVIDO</t>
        </is>
      </c>
      <c r="Q39" s="88" t="n"/>
    </row>
    <row r="40" ht="15" customHeight="1" s="226">
      <c r="A40" s="199" t="n">
        <v>34</v>
      </c>
      <c r="B40" s="121" t="inlineStr">
        <is>
          <t>PASATO UZHCA DENISSE PAOLA</t>
        </is>
      </c>
      <c r="C40" s="200" t="n"/>
      <c r="D40" s="150" t="n">
        <v>8.92</v>
      </c>
      <c r="E40" s="181" t="n">
        <v>8.66</v>
      </c>
      <c r="F40" s="182" t="n">
        <v>8.140000000000001</v>
      </c>
      <c r="G40" s="155" t="n">
        <v>8.699999999999999</v>
      </c>
      <c r="H40" s="174" t="n">
        <v>9</v>
      </c>
      <c r="I40" s="175" t="n">
        <v>9.08</v>
      </c>
      <c r="J40" s="68" t="n">
        <v>8.77</v>
      </c>
      <c r="K40" s="70" t="inlineStr">
        <is>
          <t>A-</t>
        </is>
      </c>
      <c r="L40" s="77" t="inlineStr">
        <is>
          <t>A+</t>
        </is>
      </c>
      <c r="M40" s="95" t="inlineStr">
        <is>
          <t>A+</t>
        </is>
      </c>
      <c r="N40" s="176">
        <f>TRUNC(AVERAGE(D40:J40),2)</f>
        <v/>
      </c>
      <c r="O40" s="178" t="inlineStr">
        <is>
          <t>S</t>
        </is>
      </c>
      <c r="P40" s="87" t="inlineStr">
        <is>
          <t>PROMOVIDO</t>
        </is>
      </c>
      <c r="Q40" s="88" t="n"/>
    </row>
    <row r="41" ht="14.25" customHeight="1" s="226">
      <c r="A41" s="199" t="n">
        <v>35</v>
      </c>
      <c r="B41" s="243" t="inlineStr">
        <is>
          <t>PERALTA LANDI JESSICA PATRICIA</t>
        </is>
      </c>
      <c r="C41" s="200" t="n"/>
      <c r="D41" s="150" t="n">
        <v>9.09</v>
      </c>
      <c r="E41" s="181" t="n">
        <v>8.9</v>
      </c>
      <c r="F41" s="182" t="n">
        <v>8.880000000000001</v>
      </c>
      <c r="G41" s="155" t="n">
        <v>9.69</v>
      </c>
      <c r="H41" s="174" t="n">
        <v>8.68</v>
      </c>
      <c r="I41" s="175" t="n">
        <v>9.23</v>
      </c>
      <c r="J41" s="238" t="n">
        <v>9.67</v>
      </c>
      <c r="K41" s="70" t="inlineStr">
        <is>
          <t>A-</t>
        </is>
      </c>
      <c r="L41" s="77" t="inlineStr">
        <is>
          <t>A+</t>
        </is>
      </c>
      <c r="M41" s="95" t="inlineStr">
        <is>
          <t>A+</t>
        </is>
      </c>
      <c r="N41" s="176">
        <f>TRUNC(AVERAGE(D41:J41),2)</f>
        <v/>
      </c>
      <c r="O41" s="178" t="inlineStr">
        <is>
          <t>S</t>
        </is>
      </c>
      <c r="P41" s="87" t="inlineStr">
        <is>
          <t>PROMOVIDO</t>
        </is>
      </c>
      <c r="Q41" s="88" t="n"/>
    </row>
    <row r="42" ht="15" customHeight="1" s="226">
      <c r="A42" s="199" t="n">
        <v>36</v>
      </c>
      <c r="B42" s="121" t="inlineStr">
        <is>
          <t>PEÑA CEDACERO SALOME GUADALUPE</t>
        </is>
      </c>
      <c r="C42" s="200" t="n"/>
      <c r="D42" s="150" t="n">
        <v>9.210000000000001</v>
      </c>
      <c r="E42" s="187" t="n">
        <v>9.029999999999999</v>
      </c>
      <c r="F42" s="182" t="n">
        <v>8.109999999999999</v>
      </c>
      <c r="G42" s="155" t="n">
        <v>9.470000000000001</v>
      </c>
      <c r="H42" s="174" t="n">
        <v>8.35</v>
      </c>
      <c r="I42" s="175" t="n">
        <v>8.609999999999999</v>
      </c>
      <c r="J42" s="68" t="n">
        <v>8.74</v>
      </c>
      <c r="K42" s="70" t="inlineStr">
        <is>
          <t>A-</t>
        </is>
      </c>
      <c r="L42" s="77" t="inlineStr">
        <is>
          <t>A+</t>
        </is>
      </c>
      <c r="M42" s="95" t="inlineStr">
        <is>
          <t>A+</t>
        </is>
      </c>
      <c r="N42" s="176">
        <f>TRUNC(AVERAGE(D42:J42),2)</f>
        <v/>
      </c>
      <c r="O42" s="178" t="inlineStr">
        <is>
          <t>S</t>
        </is>
      </c>
      <c r="P42" s="87" t="inlineStr">
        <is>
          <t>PROMOVIDO</t>
        </is>
      </c>
      <c r="Q42" s="88" t="n"/>
    </row>
    <row r="43" ht="15" customHeight="1" s="226">
      <c r="A43" s="199" t="n">
        <v>37</v>
      </c>
      <c r="B43" s="247" t="inlineStr">
        <is>
          <t>POZO ZHAÑAY JUAN DE DIOS</t>
        </is>
      </c>
      <c r="C43" s="234" t="n"/>
      <c r="D43" s="150" t="n">
        <v>3.11</v>
      </c>
      <c r="E43" s="208" t="n">
        <v>3.25</v>
      </c>
      <c r="F43" s="185" t="n">
        <v>3.33</v>
      </c>
      <c r="G43" s="155" t="n">
        <v>3.24</v>
      </c>
      <c r="H43" s="209" t="n">
        <v>2.61</v>
      </c>
      <c r="I43" s="175" t="n">
        <v>2.87</v>
      </c>
      <c r="J43" s="68" t="n">
        <v>2.44</v>
      </c>
      <c r="K43" s="70" t="inlineStr">
        <is>
          <t>B+</t>
        </is>
      </c>
      <c r="L43" s="77" t="inlineStr">
        <is>
          <t>B-</t>
        </is>
      </c>
      <c r="M43" s="95" t="inlineStr">
        <is>
          <t>B-</t>
        </is>
      </c>
      <c r="N43" s="248" t="n">
        <v>2.58</v>
      </c>
      <c r="O43" s="178" t="inlineStr">
        <is>
          <t>S</t>
        </is>
      </c>
      <c r="P43" s="87" t="inlineStr">
        <is>
          <t xml:space="preserve">NO PROMOVIDO </t>
        </is>
      </c>
      <c r="Q43" s="88" t="n"/>
    </row>
    <row r="44" ht="15" customHeight="1" s="226">
      <c r="A44" s="199" t="n">
        <v>38</v>
      </c>
      <c r="B44" s="235" t="inlineStr">
        <is>
          <t>SANCHEZ CHALCO ANAHI ALEXANDRA</t>
        </is>
      </c>
      <c r="C44" s="234" t="n"/>
      <c r="D44" s="150" t="n">
        <v>8.369999999999999</v>
      </c>
      <c r="E44" s="187" t="n">
        <v>7.09</v>
      </c>
      <c r="F44" s="182" t="n">
        <v>7.25</v>
      </c>
      <c r="G44" s="155" t="n">
        <v>7.66</v>
      </c>
      <c r="H44" s="193" t="n">
        <v>7</v>
      </c>
      <c r="I44" s="175" t="n">
        <v>7.25</v>
      </c>
      <c r="J44" s="68" t="n">
        <v>8.43</v>
      </c>
      <c r="K44" s="70" t="inlineStr">
        <is>
          <t>A-</t>
        </is>
      </c>
      <c r="L44" s="77" t="inlineStr">
        <is>
          <t>A+</t>
        </is>
      </c>
      <c r="M44" s="95" t="inlineStr">
        <is>
          <t>A+</t>
        </is>
      </c>
      <c r="N44" s="176">
        <f>TRUNC(AVERAGE(D44:J44),2)</f>
        <v/>
      </c>
      <c r="O44" s="178" t="inlineStr">
        <is>
          <t>S</t>
        </is>
      </c>
      <c r="P44" s="87" t="inlineStr">
        <is>
          <t>PROMOVIDO</t>
        </is>
      </c>
      <c r="Q44" s="88" t="n"/>
    </row>
    <row r="45" ht="15" customHeight="1" s="226">
      <c r="A45" s="199" t="n">
        <v>39</v>
      </c>
      <c r="B45" s="236" t="inlineStr">
        <is>
          <t>ZARUMA PAREDES MELANIE CAROLINA</t>
        </is>
      </c>
      <c r="C45" s="234" t="n"/>
      <c r="D45" s="150" t="n">
        <v>9.58</v>
      </c>
      <c r="E45" s="187" t="n">
        <v>9.34</v>
      </c>
      <c r="F45" s="182" t="n">
        <v>9.460000000000001</v>
      </c>
      <c r="G45" s="155" t="n">
        <v>9.19</v>
      </c>
      <c r="H45" s="193" t="n">
        <v>9.42</v>
      </c>
      <c r="I45" s="175" t="n">
        <v>9.779999999999999</v>
      </c>
      <c r="J45" s="68" t="n">
        <v>9.720000000000001</v>
      </c>
      <c r="K45" s="70" t="inlineStr">
        <is>
          <t>A+</t>
        </is>
      </c>
      <c r="L45" s="77" t="inlineStr">
        <is>
          <t>A+</t>
        </is>
      </c>
      <c r="M45" s="95" t="inlineStr">
        <is>
          <t>A+</t>
        </is>
      </c>
      <c r="N45" s="176">
        <f>TRUNC(AVERAGE(D45:J45),2)</f>
        <v/>
      </c>
      <c r="O45" s="178" t="inlineStr">
        <is>
          <t>S</t>
        </is>
      </c>
      <c r="P45" s="87" t="inlineStr">
        <is>
          <t>PROMOVIDO</t>
        </is>
      </c>
      <c r="Q45" s="15" t="n"/>
    </row>
    <row r="46" ht="14.25" customHeight="1" s="226">
      <c r="B46" s="13" t="inlineStr">
        <is>
          <t>Promedio</t>
        </is>
      </c>
      <c r="D46" s="214">
        <f>AVERAGE(D6:D45)</f>
        <v/>
      </c>
      <c r="E46" s="215">
        <f>AVERAGE(E6:E45)</f>
        <v/>
      </c>
      <c r="F46" s="216">
        <f>AVERAGE(F6:F45)</f>
        <v/>
      </c>
      <c r="G46" s="217">
        <f>AVERAGE(G6:G45)</f>
        <v/>
      </c>
      <c r="H46" s="218">
        <f>AVERAGE(H6:H45)</f>
        <v/>
      </c>
      <c r="I46" s="217">
        <f>AVERAGE(I6:I45)</f>
        <v/>
      </c>
      <c r="J46" s="217">
        <f>AVERAGE(J6:J45)</f>
        <v/>
      </c>
      <c r="K46" s="219" t="n"/>
      <c r="L46" s="219" t="n"/>
      <c r="M46" s="219" t="n"/>
      <c r="N46" s="220">
        <f>AVERAGE(N6:N45)</f>
        <v/>
      </c>
      <c r="O46" s="219" t="n"/>
      <c r="P46" s="141" t="n"/>
    </row>
    <row r="47" ht="14.25" customHeight="1" s="226"/>
    <row r="48" ht="14.25" customHeight="1" s="226"/>
    <row r="49" ht="14.25" customHeight="1" s="226">
      <c r="B49" s="229" t="inlineStr">
        <is>
          <t xml:space="preserve">Ing. Sonia Chicaiza Mgtr. </t>
        </is>
      </c>
      <c r="G49" s="230" t="inlineStr">
        <is>
          <t xml:space="preserve">Lcda. Lucia Uzhca Mgtr. </t>
        </is>
      </c>
      <c r="H49" s="231" t="n"/>
      <c r="I49" s="231" t="n"/>
      <c r="J49" s="232" t="n"/>
      <c r="K49" s="147" t="n"/>
      <c r="L49" s="230" t="inlineStr">
        <is>
          <t xml:space="preserve">Lcdo. Marlon Criollo </t>
        </is>
      </c>
      <c r="M49" s="231" t="n"/>
      <c r="N49" s="231" t="n"/>
      <c r="O49" s="231" t="n"/>
      <c r="P49" s="232" t="n"/>
    </row>
    <row r="50" ht="14.25" customHeight="1" s="226">
      <c r="B50" s="229" t="inlineStr">
        <is>
          <t>Rectora (e)</t>
        </is>
      </c>
      <c r="G50" s="230" t="inlineStr">
        <is>
          <t>Vicerrectora (e) Vespertina</t>
        </is>
      </c>
      <c r="H50" s="231" t="n"/>
      <c r="I50" s="231" t="n"/>
      <c r="J50" s="231" t="n"/>
      <c r="K50" s="232" t="n"/>
      <c r="L50" s="230" t="inlineStr">
        <is>
          <t>Docente Tutor</t>
        </is>
      </c>
      <c r="M50" s="231" t="n"/>
      <c r="N50" s="231" t="n"/>
      <c r="O50" s="232" t="n"/>
      <c r="P50" s="13" t="n"/>
    </row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4.25" customHeight="1" s="226"/>
    <row r="242" ht="14.25" customHeight="1" s="226"/>
    <row r="243" ht="14.25" customHeight="1" s="226"/>
    <row r="244" ht="14.25" customHeight="1" s="226"/>
    <row r="245" ht="14.2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</sheetData>
  <mergeCells count="16">
    <mergeCell ref="B6:C6"/>
    <mergeCell ref="L50:O50"/>
    <mergeCell ref="I4:J4"/>
    <mergeCell ref="B44:C44"/>
    <mergeCell ref="B2:P2"/>
    <mergeCell ref="K3:N3"/>
    <mergeCell ref="A1:P1"/>
    <mergeCell ref="G49:J49"/>
    <mergeCell ref="B45:C45"/>
    <mergeCell ref="G50:K50"/>
    <mergeCell ref="L49:P49"/>
    <mergeCell ref="C3:E3"/>
    <mergeCell ref="B50:C50"/>
    <mergeCell ref="B49:C49"/>
    <mergeCell ref="B43:C43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4.86" customWidth="1" style="226" min="1" max="1"/>
    <col width="20.43" customWidth="1" style="226" min="2" max="2"/>
    <col width="13.71" customWidth="1" style="226" min="3" max="3"/>
    <col width="6.29" customWidth="1" style="226" min="4" max="4"/>
    <col width="8.140000000000001" customWidth="1" style="226" min="14" max="14"/>
    <col width="7.57" customWidth="1" style="226" min="15" max="15"/>
    <col width="18.71" customWidth="1" style="226" min="16" max="16"/>
    <col width="14" customWidth="1" style="226" min="17" max="17"/>
  </cols>
  <sheetData>
    <row r="1" ht="72.75" customHeight="1" s="226">
      <c r="A1" s="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6">
      <c r="A2" s="4" t="n"/>
      <c r="B2" s="5" t="inlineStr">
        <is>
          <t>AÑO LECTIVO: 2025-2026</t>
        </is>
      </c>
    </row>
    <row r="3" ht="14.25" customHeight="1" s="226">
      <c r="B3" s="8" t="inlineStr">
        <is>
          <t xml:space="preserve">DOCENTE:             </t>
        </is>
      </c>
      <c r="C3" s="7" t="inlineStr">
        <is>
          <t>MGS. OSCAR OJEDA</t>
        </is>
      </c>
      <c r="F3" s="9" t="n"/>
      <c r="G3" s="9" t="n"/>
      <c r="H3" s="9" t="n"/>
      <c r="I3" s="10" t="inlineStr">
        <is>
          <t xml:space="preserve">JORNADA: </t>
        </is>
      </c>
      <c r="K3" s="11" t="inlineStr">
        <is>
          <t>VESPERTINA</t>
        </is>
      </c>
    </row>
    <row r="4" ht="14.25" customHeight="1" s="226">
      <c r="B4" s="12" t="inlineStr">
        <is>
          <t xml:space="preserve">AÑO DE EGB:        </t>
        </is>
      </c>
      <c r="C4" s="14" t="inlineStr">
        <is>
          <t>DÉCIMO B</t>
        </is>
      </c>
      <c r="E4" s="9" t="n"/>
      <c r="F4" s="9" t="n"/>
      <c r="G4" s="9" t="n"/>
      <c r="H4" s="9" t="n"/>
      <c r="I4" s="10" t="inlineStr">
        <is>
          <t>TRIMESTRE:</t>
        </is>
      </c>
      <c r="K4" s="15" t="inlineStr">
        <is>
          <t>PRIMERO, SEGUNDO, TERCERO</t>
        </is>
      </c>
      <c r="M4" s="9" t="n"/>
    </row>
    <row r="5" ht="6" customHeight="1" s="226">
      <c r="B5" s="16" t="n"/>
      <c r="C5" s="16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57.5" customHeight="1" s="226">
      <c r="A6" s="18" t="inlineStr">
        <is>
          <t>No</t>
        </is>
      </c>
      <c r="B6" s="20" t="inlineStr">
        <is>
          <t>NOMINA</t>
        </is>
      </c>
      <c r="C6" s="22" t="n"/>
      <c r="D6" s="23" t="inlineStr">
        <is>
          <t>LENGUA Y LITERATURA</t>
        </is>
      </c>
      <c r="E6" s="25" t="inlineStr">
        <is>
          <t>MATEMÁTICA</t>
        </is>
      </c>
      <c r="F6" s="177" t="inlineStr">
        <is>
          <t>CIENCIAS NATURALES</t>
        </is>
      </c>
      <c r="G6" s="179" t="inlineStr">
        <is>
          <t>ESTUDIOS SOCIALES</t>
        </is>
      </c>
      <c r="H6" s="31" t="inlineStr">
        <is>
          <t>INGLÉS</t>
        </is>
      </c>
      <c r="I6" s="37" t="inlineStr">
        <is>
          <t>EDUCACIÓN CULTURAL Y ARTISTICA</t>
        </is>
      </c>
      <c r="J6" s="34" t="inlineStr">
        <is>
          <t>EDUCACIÓN FÍSICA</t>
        </is>
      </c>
      <c r="K6" s="39" t="inlineStr">
        <is>
          <t>ANIMACIÓN A LA LECTURA</t>
        </is>
      </c>
      <c r="L6" s="38" t="inlineStr">
        <is>
          <t>ACOMPAÑAMIENTO INTEGRAL EN EL AULA</t>
        </is>
      </c>
      <c r="M6" s="28" t="inlineStr">
        <is>
          <t>ORIENTACIÓN VOCACIONAL</t>
        </is>
      </c>
      <c r="N6" s="43" t="inlineStr">
        <is>
          <t>PROMEDIO FINAL</t>
        </is>
      </c>
      <c r="O6" s="45" t="inlineStr">
        <is>
          <t>CCOMPORTAMIENTO</t>
        </is>
      </c>
      <c r="P6" s="46" t="inlineStr">
        <is>
          <t>OBSERVACIONES</t>
        </is>
      </c>
    </row>
    <row r="7" ht="14.25" customHeight="1" s="226">
      <c r="A7" s="51" t="n">
        <v>1</v>
      </c>
      <c r="B7" s="243" t="inlineStr">
        <is>
          <t>ANGAMARCA VILE ERICK JOEL</t>
        </is>
      </c>
      <c r="C7" s="121" t="n"/>
      <c r="D7" s="150" t="n">
        <v>7.36</v>
      </c>
      <c r="E7" s="183" t="n">
        <v>7.12</v>
      </c>
      <c r="F7" s="184" t="n">
        <v>7.09</v>
      </c>
      <c r="G7" s="238" t="n">
        <v>7.51</v>
      </c>
      <c r="H7" s="81" t="n">
        <v>7.3</v>
      </c>
      <c r="I7" s="66" t="n">
        <v>7.21</v>
      </c>
      <c r="J7" s="68" t="n">
        <v>8.140000000000001</v>
      </c>
      <c r="K7" s="70" t="inlineStr">
        <is>
          <t>B+</t>
        </is>
      </c>
      <c r="L7" s="188" t="inlineStr">
        <is>
          <t>A-</t>
        </is>
      </c>
      <c r="M7" s="150" t="inlineStr">
        <is>
          <t>A-</t>
        </is>
      </c>
      <c r="N7" s="83">
        <f>TRUNC(AVERAGE(D7:J7),2)</f>
        <v/>
      </c>
      <c r="O7" s="85" t="inlineStr">
        <is>
          <t>S</t>
        </is>
      </c>
      <c r="P7" s="87" t="inlineStr">
        <is>
          <t>PROMOVIDO</t>
        </is>
      </c>
    </row>
    <row r="8" ht="15" customHeight="1" s="226">
      <c r="A8" s="51" t="n">
        <v>2</v>
      </c>
      <c r="B8" s="243" t="inlineStr">
        <is>
          <t>AREVALO CUZCO DYLAN SANTIAGO</t>
        </is>
      </c>
      <c r="C8" s="121" t="n"/>
      <c r="D8" s="150" t="n">
        <v>7.56</v>
      </c>
      <c r="E8" s="190" t="n">
        <v>8.17</v>
      </c>
      <c r="F8" s="191" t="n">
        <v>7.7</v>
      </c>
      <c r="G8" s="238" t="n">
        <v>8.119999999999999</v>
      </c>
      <c r="H8" s="193" t="n">
        <v>8.609999999999999</v>
      </c>
      <c r="I8" s="66" t="n">
        <v>7.95</v>
      </c>
      <c r="J8" s="68" t="n">
        <v>8.48</v>
      </c>
      <c r="K8" s="70" t="inlineStr">
        <is>
          <t>A-</t>
        </is>
      </c>
      <c r="L8" s="100" t="inlineStr">
        <is>
          <t>A-</t>
        </is>
      </c>
      <c r="M8" s="150" t="inlineStr">
        <is>
          <t>A-</t>
        </is>
      </c>
      <c r="N8" s="83">
        <f>TRUNC(AVERAGE(D8:J8),2)</f>
        <v/>
      </c>
      <c r="O8" s="85" t="inlineStr">
        <is>
          <t>S</t>
        </is>
      </c>
      <c r="P8" s="87" t="inlineStr">
        <is>
          <t>PROMOVIDO</t>
        </is>
      </c>
    </row>
    <row r="9" ht="15" customHeight="1" s="226">
      <c r="A9" s="51" t="n">
        <v>3</v>
      </c>
      <c r="B9" s="243" t="inlineStr">
        <is>
          <t>CAGUANA LANDY JOHN MATEO</t>
        </is>
      </c>
      <c r="C9" s="121" t="inlineStr">
        <is>
          <t>FD</t>
        </is>
      </c>
      <c r="D9" s="150" t="n">
        <v>7.56</v>
      </c>
      <c r="E9" s="190" t="n">
        <v>7.86</v>
      </c>
      <c r="F9" s="191" t="n">
        <v>7.24</v>
      </c>
      <c r="G9" s="238" t="n">
        <v>7.7</v>
      </c>
      <c r="H9" s="194" t="n">
        <v>7.87</v>
      </c>
      <c r="I9" s="66" t="n">
        <v>7.74</v>
      </c>
      <c r="J9" s="68" t="n">
        <v>8.01</v>
      </c>
      <c r="K9" s="70" t="inlineStr">
        <is>
          <t>B+</t>
        </is>
      </c>
      <c r="L9" s="100" t="inlineStr">
        <is>
          <t>A-</t>
        </is>
      </c>
      <c r="M9" s="150" t="inlineStr">
        <is>
          <t>A-</t>
        </is>
      </c>
      <c r="N9" s="83">
        <f>TRUNC(AVERAGE(D9:J9),2)</f>
        <v/>
      </c>
      <c r="O9" s="85" t="inlineStr">
        <is>
          <t>S</t>
        </is>
      </c>
      <c r="P9" s="87" t="inlineStr">
        <is>
          <t>PROMOVIDO</t>
        </is>
      </c>
    </row>
    <row r="10" ht="15" customHeight="1" s="226">
      <c r="A10" s="51" t="n">
        <v>4</v>
      </c>
      <c r="B10" s="243" t="inlineStr">
        <is>
          <t>CARCHI ZHUNIO JOSTIN ALEXANDER</t>
        </is>
      </c>
      <c r="C10" s="121" t="n"/>
      <c r="D10" s="150" t="n">
        <v>7.48</v>
      </c>
      <c r="E10" s="190" t="n">
        <v>7.26</v>
      </c>
      <c r="F10" s="195" t="n">
        <v>7.05</v>
      </c>
      <c r="G10" s="238" t="n">
        <v>7.45</v>
      </c>
      <c r="H10" s="194" t="n">
        <v>7.64</v>
      </c>
      <c r="I10" s="66" t="n">
        <v>8.23</v>
      </c>
      <c r="J10" s="68" t="n">
        <v>8.050000000000001</v>
      </c>
      <c r="K10" s="70" t="inlineStr">
        <is>
          <t>A-</t>
        </is>
      </c>
      <c r="L10" s="100" t="inlineStr">
        <is>
          <t>A-</t>
        </is>
      </c>
      <c r="M10" s="150" t="inlineStr">
        <is>
          <t>A-</t>
        </is>
      </c>
      <c r="N10" s="238">
        <f>TRUNC(AVERAGE(D10:J10),2)</f>
        <v/>
      </c>
      <c r="O10" s="85" t="inlineStr">
        <is>
          <t>F</t>
        </is>
      </c>
      <c r="P10" s="87" t="inlineStr">
        <is>
          <t>PROMOVIDO</t>
        </is>
      </c>
    </row>
    <row r="11" ht="15" customHeight="1" s="226">
      <c r="A11" s="51" t="n">
        <v>5</v>
      </c>
      <c r="B11" s="243" t="inlineStr">
        <is>
          <t>CHACON GARZON ODALIS ANABEL</t>
        </is>
      </c>
      <c r="C11" s="121" t="n"/>
      <c r="D11" s="150" t="n">
        <v>7.25</v>
      </c>
      <c r="E11" s="190" t="n">
        <v>7.2</v>
      </c>
      <c r="F11" s="196" t="n">
        <v>7</v>
      </c>
      <c r="G11" s="238" t="n">
        <v>7.69</v>
      </c>
      <c r="H11" s="194" t="n">
        <v>7.67</v>
      </c>
      <c r="I11" s="66" t="n">
        <v>7.31</v>
      </c>
      <c r="J11" s="68" t="n">
        <v>8.33</v>
      </c>
      <c r="K11" s="70" t="inlineStr">
        <is>
          <t>B+</t>
        </is>
      </c>
      <c r="L11" s="100" t="inlineStr">
        <is>
          <t>A-</t>
        </is>
      </c>
      <c r="M11" s="150" t="inlineStr">
        <is>
          <t>A-</t>
        </is>
      </c>
      <c r="N11" s="238">
        <f>TRUNC(AVERAGE(D11:J11),2)</f>
        <v/>
      </c>
      <c r="O11" s="85" t="inlineStr">
        <is>
          <t>S</t>
        </is>
      </c>
      <c r="P11" s="87" t="inlineStr">
        <is>
          <t>PROMOVIDO</t>
        </is>
      </c>
    </row>
    <row r="12" ht="15" customHeight="1" s="226">
      <c r="A12" s="51" t="n">
        <v>6</v>
      </c>
      <c r="B12" s="243" t="inlineStr">
        <is>
          <t>CORONADO ZHUNIO LENIN SEBASTIAN</t>
        </is>
      </c>
      <c r="C12" s="121" t="n"/>
      <c r="D12" s="150" t="n">
        <v>7.67</v>
      </c>
      <c r="E12" s="190" t="n">
        <v>8.369999999999999</v>
      </c>
      <c r="F12" s="197" t="n">
        <v>8.07</v>
      </c>
      <c r="G12" s="238" t="n">
        <v>7.96</v>
      </c>
      <c r="H12" s="81" t="n">
        <v>9</v>
      </c>
      <c r="I12" s="66" t="n">
        <v>9.07</v>
      </c>
      <c r="J12" s="68" t="n">
        <v>9.029999999999999</v>
      </c>
      <c r="K12" s="70" t="inlineStr">
        <is>
          <t>A-</t>
        </is>
      </c>
      <c r="L12" s="107" t="inlineStr">
        <is>
          <t>A-</t>
        </is>
      </c>
      <c r="M12" s="150" t="inlineStr">
        <is>
          <t>A+</t>
        </is>
      </c>
      <c r="N12" s="83">
        <f>TRUNC(AVERAGE(D12:J12),2)</f>
        <v/>
      </c>
      <c r="O12" s="85" t="inlineStr">
        <is>
          <t>F</t>
        </is>
      </c>
      <c r="P12" s="87" t="inlineStr">
        <is>
          <t>PROMOVIDO</t>
        </is>
      </c>
    </row>
    <row r="13" ht="15" customHeight="1" s="226">
      <c r="A13" s="51" t="n">
        <v>7</v>
      </c>
      <c r="B13" s="243" t="inlineStr">
        <is>
          <t>CORONEL LOZADA BRENDA CAROLINA</t>
        </is>
      </c>
      <c r="C13" s="121" t="n"/>
      <c r="D13" s="150" t="n">
        <v>7.92</v>
      </c>
      <c r="E13" s="190" t="n">
        <v>8.4</v>
      </c>
      <c r="F13" s="197" t="n">
        <v>7.71</v>
      </c>
      <c r="G13" s="238" t="n">
        <v>9.140000000000001</v>
      </c>
      <c r="H13" s="81" t="n">
        <v>8.9</v>
      </c>
      <c r="I13" s="66" t="n">
        <v>9.550000000000001</v>
      </c>
      <c r="J13" s="68" t="n">
        <v>9.51</v>
      </c>
      <c r="K13" s="70" t="inlineStr">
        <is>
          <t>A-</t>
        </is>
      </c>
      <c r="L13" s="107" t="inlineStr">
        <is>
          <t>A-</t>
        </is>
      </c>
      <c r="M13" s="150" t="inlineStr">
        <is>
          <t>A+</t>
        </is>
      </c>
      <c r="N13" s="238">
        <f>TRUNC(AVERAGE(D13:J13),2)</f>
        <v/>
      </c>
      <c r="O13" s="85" t="inlineStr">
        <is>
          <t>S</t>
        </is>
      </c>
      <c r="P13" s="87" t="inlineStr">
        <is>
          <t>PROMOVIDO</t>
        </is>
      </c>
    </row>
    <row r="14" ht="15" customHeight="1" s="226">
      <c r="A14" s="51" t="n">
        <v>8</v>
      </c>
      <c r="B14" s="243" t="inlineStr">
        <is>
          <t>GOMEZ PERALTA MARIA VICTORIA</t>
        </is>
      </c>
      <c r="C14" s="121" t="n"/>
      <c r="D14" s="150" t="n">
        <v>8.699999999999999</v>
      </c>
      <c r="E14" s="190" t="n">
        <v>8.6</v>
      </c>
      <c r="F14" s="197" t="n">
        <v>8.029999999999999</v>
      </c>
      <c r="G14" s="238" t="n">
        <v>9.33</v>
      </c>
      <c r="H14" s="81" t="n">
        <v>8.84</v>
      </c>
      <c r="I14" s="66" t="n">
        <v>8.84</v>
      </c>
      <c r="J14" s="68" t="n">
        <v>8.52</v>
      </c>
      <c r="K14" s="70" t="inlineStr">
        <is>
          <t>A+</t>
        </is>
      </c>
      <c r="L14" s="107" t="inlineStr">
        <is>
          <t>A-</t>
        </is>
      </c>
      <c r="M14" s="150" t="inlineStr">
        <is>
          <t>A-</t>
        </is>
      </c>
      <c r="N14" s="238">
        <f>TRUNC(AVERAGE(D14:J14),2)</f>
        <v/>
      </c>
      <c r="O14" s="85" t="inlineStr">
        <is>
          <t>S</t>
        </is>
      </c>
      <c r="P14" s="87" t="inlineStr">
        <is>
          <t>PROMOVIDO</t>
        </is>
      </c>
    </row>
    <row r="15" ht="15" customHeight="1" s="226">
      <c r="A15" s="51" t="n">
        <v>9</v>
      </c>
      <c r="B15" s="243" t="inlineStr">
        <is>
          <t>JARA GONZALEZ BRAD LEANDRO</t>
        </is>
      </c>
      <c r="C15" s="121" t="n"/>
      <c r="D15" s="150" t="n">
        <v>7.28</v>
      </c>
      <c r="E15" s="183" t="n">
        <v>7.08</v>
      </c>
      <c r="F15" s="195" t="n">
        <v>7.05</v>
      </c>
      <c r="G15" s="238" t="n">
        <v>7.87</v>
      </c>
      <c r="H15" s="81" t="n">
        <v>8.17</v>
      </c>
      <c r="I15" s="66" t="n">
        <v>7.54</v>
      </c>
      <c r="J15" s="68" t="n">
        <v>7.92</v>
      </c>
      <c r="K15" s="70" t="inlineStr">
        <is>
          <t>B-</t>
        </is>
      </c>
      <c r="L15" s="107" t="inlineStr">
        <is>
          <t>A-</t>
        </is>
      </c>
      <c r="M15" s="150" t="inlineStr">
        <is>
          <t>A-</t>
        </is>
      </c>
      <c r="N15" s="238">
        <f>TRUNC(AVERAGE(D15:J15),2)</f>
        <v/>
      </c>
      <c r="O15" s="85" t="inlineStr">
        <is>
          <t>S</t>
        </is>
      </c>
      <c r="P15" s="87" t="inlineStr">
        <is>
          <t>PROMOVIDO</t>
        </is>
      </c>
    </row>
    <row r="16" ht="15" customHeight="1" s="226">
      <c r="A16" s="51" t="n">
        <v>10</v>
      </c>
      <c r="B16" s="243" t="inlineStr">
        <is>
          <t>LEON SIAVICHAY DIEGO ESTALIN</t>
        </is>
      </c>
      <c r="C16" s="121" t="n"/>
      <c r="D16" s="150" t="n">
        <v>7.51</v>
      </c>
      <c r="E16" s="198" t="n">
        <v>8.02</v>
      </c>
      <c r="F16" s="191" t="n">
        <v>8.369999999999999</v>
      </c>
      <c r="G16" s="238" t="n">
        <v>8.44</v>
      </c>
      <c r="H16" s="81" t="n">
        <v>7.99</v>
      </c>
      <c r="I16" s="66" t="n">
        <v>8.630000000000001</v>
      </c>
      <c r="J16" s="68" t="n">
        <v>8.789999999999999</v>
      </c>
      <c r="K16" s="70" t="inlineStr">
        <is>
          <t>B+</t>
        </is>
      </c>
      <c r="L16" s="107" t="inlineStr">
        <is>
          <t>A-</t>
        </is>
      </c>
      <c r="M16" s="150" t="inlineStr">
        <is>
          <t>A-</t>
        </is>
      </c>
      <c r="N16" s="83">
        <f>TRUNC(AVERAGE(D16:J16),2)</f>
        <v/>
      </c>
      <c r="O16" s="85" t="inlineStr">
        <is>
          <t>S</t>
        </is>
      </c>
      <c r="P16" s="87" t="inlineStr">
        <is>
          <t>PROMOVIDO</t>
        </is>
      </c>
    </row>
    <row r="17" ht="15" customHeight="1" s="226">
      <c r="A17" s="51" t="n">
        <v>11</v>
      </c>
      <c r="B17" s="243" t="inlineStr">
        <is>
          <t>LOPEZ PERALTA PABLO ANDRES</t>
        </is>
      </c>
      <c r="C17" s="121" t="n"/>
      <c r="D17" s="150" t="n">
        <v>7.25</v>
      </c>
      <c r="E17" s="190" t="n">
        <v>7.29</v>
      </c>
      <c r="F17" s="249" t="n">
        <v>7.02</v>
      </c>
      <c r="G17" s="238" t="n">
        <v>7.27</v>
      </c>
      <c r="H17" s="81" t="n">
        <v>7.27</v>
      </c>
      <c r="I17" s="66" t="n">
        <v>7.12</v>
      </c>
      <c r="J17" s="68" t="n">
        <v>8.07</v>
      </c>
      <c r="K17" s="70" t="inlineStr">
        <is>
          <t>B-</t>
        </is>
      </c>
      <c r="L17" s="100" t="inlineStr">
        <is>
          <t>A-</t>
        </is>
      </c>
      <c r="M17" s="150" t="inlineStr">
        <is>
          <t>A-</t>
        </is>
      </c>
      <c r="N17" s="238">
        <f>TRUNC(AVERAGE(D17:J17),2)</f>
        <v/>
      </c>
      <c r="O17" s="85" t="inlineStr">
        <is>
          <t>F</t>
        </is>
      </c>
      <c r="P17" s="87" t="inlineStr">
        <is>
          <t>PROMOVIDO</t>
        </is>
      </c>
    </row>
    <row r="18" ht="15" customHeight="1" s="226">
      <c r="A18" s="51" t="n">
        <v>12</v>
      </c>
      <c r="B18" s="243" t="inlineStr">
        <is>
          <t>MAYANCELA ROMERO ANGELES CAMILA</t>
        </is>
      </c>
      <c r="C18" s="121" t="n"/>
      <c r="D18" s="150" t="n">
        <v>7.34</v>
      </c>
      <c r="E18" s="198" t="n">
        <v>8.09</v>
      </c>
      <c r="F18" s="195" t="n">
        <v>7.28</v>
      </c>
      <c r="G18" s="238" t="n">
        <v>7.79</v>
      </c>
      <c r="H18" s="81" t="n">
        <v>7.61</v>
      </c>
      <c r="I18" s="66" t="n">
        <v>8.09</v>
      </c>
      <c r="J18" s="68" t="n">
        <v>8.26</v>
      </c>
      <c r="K18" s="70" t="inlineStr">
        <is>
          <t>B+</t>
        </is>
      </c>
      <c r="L18" s="107" t="inlineStr">
        <is>
          <t>A-</t>
        </is>
      </c>
      <c r="M18" s="150" t="inlineStr">
        <is>
          <t>A-</t>
        </is>
      </c>
      <c r="N18" s="238">
        <f>TRUNC(AVERAGE(D18:J18),2)</f>
        <v/>
      </c>
      <c r="O18" s="85" t="inlineStr">
        <is>
          <t>S</t>
        </is>
      </c>
      <c r="P18" s="87" t="inlineStr">
        <is>
          <t>PROMOVIDO</t>
        </is>
      </c>
    </row>
    <row r="19" ht="15" customHeight="1" s="226">
      <c r="A19" s="51" t="n">
        <v>13</v>
      </c>
      <c r="B19" s="243" t="inlineStr">
        <is>
          <t>MENDEZ LANDI EMILY DOMENICA</t>
        </is>
      </c>
      <c r="C19" s="121" t="n"/>
      <c r="D19" s="150" t="n">
        <v>9</v>
      </c>
      <c r="E19" s="190" t="n">
        <v>9.49</v>
      </c>
      <c r="F19" s="197" t="n">
        <v>8.949999999999999</v>
      </c>
      <c r="G19" s="238" t="n">
        <v>9.59</v>
      </c>
      <c r="H19" s="81" t="n">
        <v>9.460000000000001</v>
      </c>
      <c r="I19" s="66" t="n">
        <v>9.609999999999999</v>
      </c>
      <c r="J19" s="68" t="n">
        <v>9.66</v>
      </c>
      <c r="K19" s="70" t="inlineStr">
        <is>
          <t>A-</t>
        </is>
      </c>
      <c r="L19" s="100" t="inlineStr">
        <is>
          <t>A-</t>
        </is>
      </c>
      <c r="M19" s="150" t="inlineStr">
        <is>
          <t>A+</t>
        </is>
      </c>
      <c r="N19" s="83">
        <f>TRUNC(AVERAGE(D19:J19),2)</f>
        <v/>
      </c>
      <c r="O19" s="85" t="inlineStr">
        <is>
          <t>S</t>
        </is>
      </c>
      <c r="P19" s="87" t="inlineStr">
        <is>
          <t>PROMOVIDO</t>
        </is>
      </c>
    </row>
    <row r="20" ht="15" customHeight="1" s="226">
      <c r="A20" s="51" t="n">
        <v>14</v>
      </c>
      <c r="B20" s="243" t="inlineStr">
        <is>
          <t>MOROCHO URGILES BRIANA ANELY</t>
        </is>
      </c>
      <c r="C20" s="121" t="n"/>
      <c r="D20" s="150" t="n">
        <v>7.48</v>
      </c>
      <c r="E20" s="190" t="n">
        <v>7</v>
      </c>
      <c r="F20" s="191" t="n">
        <v>7</v>
      </c>
      <c r="G20" s="238" t="n">
        <v>8.25</v>
      </c>
      <c r="H20" s="81" t="n">
        <v>7</v>
      </c>
      <c r="I20" s="66" t="n">
        <v>7.02</v>
      </c>
      <c r="J20" s="68" t="n">
        <v>8.18</v>
      </c>
      <c r="K20" s="70" t="inlineStr">
        <is>
          <t>B-</t>
        </is>
      </c>
      <c r="L20" s="100" t="inlineStr">
        <is>
          <t>A-</t>
        </is>
      </c>
      <c r="M20" s="150" t="inlineStr">
        <is>
          <t>A-</t>
        </is>
      </c>
      <c r="N20" s="238">
        <f>TRUNC(AVERAGE(D20:J20),2)</f>
        <v/>
      </c>
      <c r="O20" s="85" t="inlineStr">
        <is>
          <t>O</t>
        </is>
      </c>
      <c r="P20" s="87" t="inlineStr">
        <is>
          <t>PROMOVIDO</t>
        </is>
      </c>
    </row>
    <row r="21" ht="15" customHeight="1" s="226">
      <c r="A21" s="51" t="n">
        <v>15</v>
      </c>
      <c r="B21" s="121" t="inlineStr">
        <is>
          <t>NACIPUCHA LEMA DANNY ANDRES</t>
        </is>
      </c>
      <c r="C21" s="121" t="n"/>
      <c r="D21" s="150" t="n">
        <v>7.33</v>
      </c>
      <c r="E21" s="190" t="n">
        <v>7</v>
      </c>
      <c r="F21" s="191" t="n">
        <v>7</v>
      </c>
      <c r="G21" s="155" t="n">
        <v>7.37</v>
      </c>
      <c r="H21" s="81" t="n">
        <v>7</v>
      </c>
      <c r="I21" s="66" t="n">
        <v>7.01</v>
      </c>
      <c r="J21" s="68" t="n">
        <v>7.49</v>
      </c>
      <c r="K21" s="70" t="inlineStr">
        <is>
          <t>A-</t>
        </is>
      </c>
      <c r="L21" s="100" t="inlineStr">
        <is>
          <t>A-</t>
        </is>
      </c>
      <c r="M21" s="150" t="inlineStr">
        <is>
          <t>A-</t>
        </is>
      </c>
      <c r="N21" s="83">
        <f>TRUNC(AVERAGE(D21:J21),2)</f>
        <v/>
      </c>
      <c r="O21" s="85" t="inlineStr">
        <is>
          <t>S</t>
        </is>
      </c>
      <c r="P21" s="87" t="inlineStr">
        <is>
          <t>PROMOVIDO</t>
        </is>
      </c>
    </row>
    <row r="22" ht="15" customHeight="1" s="226">
      <c r="A22" s="51" t="n">
        <v>16</v>
      </c>
      <c r="B22" s="243" t="inlineStr">
        <is>
          <t>NAULA QUIZHPE ALAN JOSUE</t>
        </is>
      </c>
      <c r="C22" s="121" t="n"/>
      <c r="D22" s="150" t="n">
        <v>9.44</v>
      </c>
      <c r="E22" s="190" t="n">
        <v>9.699999999999999</v>
      </c>
      <c r="F22" s="191" t="n">
        <v>9.07</v>
      </c>
      <c r="G22" s="238" t="n">
        <v>9.73</v>
      </c>
      <c r="H22" s="81" t="n">
        <v>9.57</v>
      </c>
      <c r="I22" s="66" t="n">
        <v>9.699999999999999</v>
      </c>
      <c r="J22" s="68" t="n">
        <v>9.83</v>
      </c>
      <c r="K22" s="70" t="inlineStr">
        <is>
          <t>A+</t>
        </is>
      </c>
      <c r="L22" s="107" t="inlineStr">
        <is>
          <t>A+</t>
        </is>
      </c>
      <c r="M22" s="150" t="inlineStr">
        <is>
          <t>A+</t>
        </is>
      </c>
      <c r="N22" s="238">
        <f>TRUNC(AVERAGE(D22:J22),2)</f>
        <v/>
      </c>
      <c r="O22" s="85" t="inlineStr">
        <is>
          <t>S</t>
        </is>
      </c>
      <c r="P22" s="87" t="inlineStr">
        <is>
          <t>PROMOVIDO</t>
        </is>
      </c>
    </row>
    <row r="23" ht="15" customHeight="1" s="226">
      <c r="A23" s="51" t="n">
        <v>17</v>
      </c>
      <c r="B23" s="243" t="inlineStr">
        <is>
          <t>NIVELO ORTIZ AMANDA VICTORIA</t>
        </is>
      </c>
      <c r="C23" s="121" t="n"/>
      <c r="D23" s="150" t="n">
        <v>9.52</v>
      </c>
      <c r="E23" s="190" t="n">
        <v>9.65</v>
      </c>
      <c r="F23" s="197" t="n">
        <v>8.94</v>
      </c>
      <c r="G23" s="238" t="n">
        <v>9.140000000000001</v>
      </c>
      <c r="H23" s="81" t="n">
        <v>9.630000000000001</v>
      </c>
      <c r="I23" s="66" t="n">
        <v>9.779999999999999</v>
      </c>
      <c r="J23" s="68" t="n">
        <v>9.859999999999999</v>
      </c>
      <c r="K23" s="70" t="inlineStr">
        <is>
          <t>A+</t>
        </is>
      </c>
      <c r="L23" s="100" t="inlineStr">
        <is>
          <t>A-</t>
        </is>
      </c>
      <c r="M23" s="150" t="inlineStr">
        <is>
          <t>A+</t>
        </is>
      </c>
      <c r="N23" s="238">
        <f>TRUNC(AVERAGE(D23:J23),2)</f>
        <v/>
      </c>
      <c r="O23" s="85" t="inlineStr">
        <is>
          <t>S</t>
        </is>
      </c>
      <c r="P23" s="87" t="inlineStr">
        <is>
          <t>PROMOVIDO</t>
        </is>
      </c>
    </row>
    <row r="24" ht="15" customHeight="1" s="226">
      <c r="A24" s="51" t="n"/>
      <c r="B24" s="200" t="inlineStr">
        <is>
          <t>NIVICELA ESPINOZA LEIDY SULI</t>
        </is>
      </c>
      <c r="C24" s="201" t="n"/>
      <c r="D24" s="150" t="n">
        <v>8.109999999999999</v>
      </c>
      <c r="E24" s="131" t="n">
        <v>7.67</v>
      </c>
      <c r="F24" s="202" t="n">
        <v>7</v>
      </c>
      <c r="G24" s="222" t="n">
        <v>8.279999999999999</v>
      </c>
      <c r="H24" s="223" t="n">
        <v>7.79</v>
      </c>
      <c r="I24" s="66" t="n">
        <v>8.56</v>
      </c>
      <c r="J24" s="224" t="n">
        <v>8.09</v>
      </c>
      <c r="K24" s="70" t="inlineStr">
        <is>
          <t>B-</t>
        </is>
      </c>
      <c r="L24" s="100" t="inlineStr">
        <is>
          <t>A-</t>
        </is>
      </c>
      <c r="M24" s="205" t="inlineStr">
        <is>
          <t>A-</t>
        </is>
      </c>
      <c r="N24" s="83">
        <f>TRUNC(AVERAGE(D24:J24),2)</f>
        <v/>
      </c>
      <c r="O24" s="206" t="inlineStr">
        <is>
          <t>O</t>
        </is>
      </c>
      <c r="P24" s="87" t="inlineStr">
        <is>
          <t>PROMOVIDO</t>
        </is>
      </c>
    </row>
    <row r="25" ht="15" customHeight="1" s="226">
      <c r="A25" s="51" t="n">
        <v>18</v>
      </c>
      <c r="B25" s="243" t="inlineStr">
        <is>
          <t>PACHAR PIZARRO JESSICA ESTEFANIA</t>
        </is>
      </c>
      <c r="C25" s="121" t="n"/>
      <c r="D25" s="150" t="n">
        <v>8.630000000000001</v>
      </c>
      <c r="E25" s="190" t="n">
        <v>8.390000000000001</v>
      </c>
      <c r="F25" s="195" t="n">
        <v>8.48</v>
      </c>
      <c r="G25" s="238" t="n">
        <v>9.380000000000001</v>
      </c>
      <c r="H25" s="81" t="n">
        <v>8.9</v>
      </c>
      <c r="I25" s="238" t="n">
        <v>9.779999999999999</v>
      </c>
      <c r="J25" s="68" t="n">
        <v>9.76</v>
      </c>
      <c r="K25" s="70" t="inlineStr">
        <is>
          <t>A+</t>
        </is>
      </c>
      <c r="L25" s="107" t="inlineStr">
        <is>
          <t>A-</t>
        </is>
      </c>
      <c r="M25" s="150" t="inlineStr">
        <is>
          <t>A+</t>
        </is>
      </c>
      <c r="N25" s="238">
        <f>TRUNC(AVERAGE(D25:J25),2)</f>
        <v/>
      </c>
      <c r="O25" s="85" t="inlineStr">
        <is>
          <t>S</t>
        </is>
      </c>
      <c r="P25" s="87" t="inlineStr">
        <is>
          <t>PROMOVIDO</t>
        </is>
      </c>
    </row>
    <row r="26" ht="15" customHeight="1" s="226">
      <c r="A26" s="51" t="n">
        <v>19</v>
      </c>
      <c r="B26" s="243" t="inlineStr">
        <is>
          <t>PALACIOS GUTIERREZ MARIA BELEN</t>
        </is>
      </c>
      <c r="C26" s="121" t="n"/>
      <c r="D26" s="150" t="n">
        <v>7.96</v>
      </c>
      <c r="E26" s="190" t="n">
        <v>7.8</v>
      </c>
      <c r="F26" s="191" t="n">
        <v>7.73</v>
      </c>
      <c r="G26" s="238" t="n">
        <v>8.699999999999999</v>
      </c>
      <c r="H26" s="211" t="n">
        <v>8.15</v>
      </c>
      <c r="I26" s="66" t="n">
        <v>8.75</v>
      </c>
      <c r="J26" s="68" t="n">
        <v>9.18</v>
      </c>
      <c r="K26" s="70" t="inlineStr">
        <is>
          <t>A-</t>
        </is>
      </c>
      <c r="L26" s="107" t="inlineStr">
        <is>
          <t>A-</t>
        </is>
      </c>
      <c r="M26" s="150" t="inlineStr">
        <is>
          <t>A+</t>
        </is>
      </c>
      <c r="N26" s="238">
        <f>TRUNC(AVERAGE(D26:J26),2)</f>
        <v/>
      </c>
      <c r="O26" s="85" t="inlineStr">
        <is>
          <t>O</t>
        </is>
      </c>
      <c r="P26" s="87" t="inlineStr">
        <is>
          <t>PROMOVIDO</t>
        </is>
      </c>
    </row>
    <row r="27" ht="15" customHeight="1" s="226">
      <c r="A27" s="51" t="n">
        <v>20</v>
      </c>
      <c r="B27" s="243" t="inlineStr">
        <is>
          <t>PIZARRO IDROVO JHONATAN XAVIER</t>
        </is>
      </c>
      <c r="C27" s="121" t="n"/>
      <c r="D27" s="150" t="n">
        <v>8.859999999999999</v>
      </c>
      <c r="E27" s="190" t="n">
        <v>8.550000000000001</v>
      </c>
      <c r="F27" s="191" t="n">
        <v>8.19</v>
      </c>
      <c r="G27" s="238" t="n">
        <v>9.15</v>
      </c>
      <c r="H27" s="212" t="n">
        <v>8.84</v>
      </c>
      <c r="I27" s="66" t="n">
        <v>9.27</v>
      </c>
      <c r="J27" s="68" t="n">
        <v>9.529999999999999</v>
      </c>
      <c r="K27" s="70" t="inlineStr">
        <is>
          <t>A-</t>
        </is>
      </c>
      <c r="L27" s="107" t="inlineStr">
        <is>
          <t>A-</t>
        </is>
      </c>
      <c r="M27" s="150" t="inlineStr">
        <is>
          <t>A+</t>
        </is>
      </c>
      <c r="N27" s="238">
        <f>TRUNC(AVERAGE(D27:J27),2)</f>
        <v/>
      </c>
      <c r="O27" s="85" t="inlineStr">
        <is>
          <t>S</t>
        </is>
      </c>
      <c r="P27" s="87" t="inlineStr">
        <is>
          <t>PROMOVIDO</t>
        </is>
      </c>
    </row>
    <row r="28" ht="18" customHeight="1" s="226">
      <c r="A28" s="51" t="n">
        <v>21</v>
      </c>
      <c r="B28" s="121" t="inlineStr">
        <is>
          <t>PUETATE PLASENCIA PATRICIA NAYELI</t>
        </is>
      </c>
      <c r="C28" s="121" t="n"/>
      <c r="D28" s="150" t="n">
        <v>8.26</v>
      </c>
      <c r="E28" s="190" t="n">
        <v>8.33</v>
      </c>
      <c r="F28" s="195" t="n">
        <v>8.98</v>
      </c>
      <c r="G28" s="155" t="n">
        <v>9.529999999999999</v>
      </c>
      <c r="H28" s="212" t="n">
        <v>8.890000000000001</v>
      </c>
      <c r="I28" s="66" t="n">
        <v>8.09</v>
      </c>
      <c r="J28" s="68" t="n">
        <v>8.73</v>
      </c>
      <c r="K28" s="70" t="inlineStr">
        <is>
          <t>A-</t>
        </is>
      </c>
      <c r="L28" s="107" t="inlineStr">
        <is>
          <t>A-</t>
        </is>
      </c>
      <c r="M28" s="150" t="inlineStr">
        <is>
          <t>A-</t>
        </is>
      </c>
      <c r="N28" s="83">
        <f>TRUNC(AVERAGE(D28:J28),2)</f>
        <v/>
      </c>
      <c r="O28" s="85" t="inlineStr">
        <is>
          <t>S</t>
        </is>
      </c>
      <c r="P28" s="87" t="inlineStr">
        <is>
          <t>PROMOVIDO</t>
        </is>
      </c>
    </row>
    <row r="29" ht="15" customHeight="1" s="226">
      <c r="A29" s="51" t="n">
        <v>22</v>
      </c>
      <c r="B29" s="243" t="inlineStr">
        <is>
          <t>PUMA RAMON JHOSTIN ADRIAN</t>
        </is>
      </c>
      <c r="C29" s="121" t="n"/>
      <c r="D29" s="150" t="n">
        <v>8.17</v>
      </c>
      <c r="E29" s="190" t="n">
        <v>7.55</v>
      </c>
      <c r="F29" s="191" t="n">
        <v>7.7</v>
      </c>
      <c r="G29" s="238" t="n">
        <v>7.86</v>
      </c>
      <c r="H29" s="212" t="n">
        <v>7.85</v>
      </c>
      <c r="I29" s="66" t="n">
        <v>8.67</v>
      </c>
      <c r="J29" s="68" t="n">
        <v>9.279999999999999</v>
      </c>
      <c r="K29" s="70" t="inlineStr">
        <is>
          <t>A-</t>
        </is>
      </c>
      <c r="L29" s="100" t="inlineStr">
        <is>
          <t>A-</t>
        </is>
      </c>
      <c r="M29" s="150" t="inlineStr">
        <is>
          <t>A-</t>
        </is>
      </c>
      <c r="N29" s="83">
        <f>TRUNC(AVERAGE(D29:J29),2)</f>
        <v/>
      </c>
      <c r="O29" s="85" t="inlineStr">
        <is>
          <t>S</t>
        </is>
      </c>
      <c r="P29" s="87" t="inlineStr">
        <is>
          <t>PROMOVIDO</t>
        </is>
      </c>
    </row>
    <row r="30" ht="18" customHeight="1" s="226">
      <c r="A30" s="51" t="n">
        <v>23</v>
      </c>
      <c r="B30" s="121" t="inlineStr">
        <is>
          <t>QUIZHPI MOROCHO JOSUE MATIAS</t>
        </is>
      </c>
      <c r="C30" s="121" t="n"/>
      <c r="D30" s="150" t="n">
        <v>7.19</v>
      </c>
      <c r="E30" s="190" t="n">
        <v>7.15</v>
      </c>
      <c r="F30" s="196" t="n">
        <v>7</v>
      </c>
      <c r="G30" s="155" t="n">
        <v>7.7</v>
      </c>
      <c r="H30" s="212" t="n">
        <v>7.49</v>
      </c>
      <c r="I30" s="66" t="n">
        <v>7.86</v>
      </c>
      <c r="J30" s="68" t="n">
        <v>8.26</v>
      </c>
      <c r="K30" s="70" t="inlineStr">
        <is>
          <t>B+</t>
        </is>
      </c>
      <c r="L30" s="107" t="inlineStr">
        <is>
          <t>A-</t>
        </is>
      </c>
      <c r="M30" s="150" t="inlineStr">
        <is>
          <t>A-</t>
        </is>
      </c>
      <c r="N30" s="83">
        <f>TRUNC(AVERAGE(D30:J30),2)</f>
        <v/>
      </c>
      <c r="O30" s="85" t="inlineStr">
        <is>
          <t>F</t>
        </is>
      </c>
      <c r="P30" s="87" t="inlineStr">
        <is>
          <t>PROMOVIDO</t>
        </is>
      </c>
    </row>
    <row r="31" ht="15" customHeight="1" s="226">
      <c r="A31" s="51" t="n">
        <v>24</v>
      </c>
      <c r="B31" s="121" t="inlineStr">
        <is>
          <t>RAMIREZ JEREZ JOSKARY SARAI</t>
        </is>
      </c>
      <c r="C31" s="121" t="n"/>
      <c r="D31" s="150" t="n">
        <v>8.09</v>
      </c>
      <c r="E31" s="190" t="n">
        <v>8.25</v>
      </c>
      <c r="F31" s="197" t="n">
        <v>7.86</v>
      </c>
      <c r="G31" s="155" t="n">
        <v>9.52</v>
      </c>
      <c r="H31" s="212" t="n">
        <v>9.19</v>
      </c>
      <c r="I31" s="66" t="n">
        <v>8.66</v>
      </c>
      <c r="J31" s="68" t="n">
        <v>9.380000000000001</v>
      </c>
      <c r="K31" s="70" t="inlineStr">
        <is>
          <t>B+</t>
        </is>
      </c>
      <c r="L31" s="100" t="inlineStr">
        <is>
          <t>A-</t>
        </is>
      </c>
      <c r="M31" s="150" t="inlineStr">
        <is>
          <t>A+</t>
        </is>
      </c>
      <c r="N31" s="83">
        <f>TRUNC(AVERAGE(D31:J31),2)</f>
        <v/>
      </c>
      <c r="O31" s="85" t="inlineStr">
        <is>
          <t>F</t>
        </is>
      </c>
      <c r="P31" s="87" t="inlineStr">
        <is>
          <t>PROMOVIDO</t>
        </is>
      </c>
    </row>
    <row r="32" ht="15" customHeight="1" s="226">
      <c r="A32" s="51" t="n">
        <v>26</v>
      </c>
      <c r="B32" s="243" t="inlineStr">
        <is>
          <t>ROMERO RAMON KENNYN GABRIEL</t>
        </is>
      </c>
      <c r="C32" s="121" t="n"/>
      <c r="D32" s="150" t="n">
        <v>8.449999999999999</v>
      </c>
      <c r="E32" s="190" t="n">
        <v>8.16</v>
      </c>
      <c r="F32" s="197" t="n">
        <v>8.109999999999999</v>
      </c>
      <c r="G32" s="238" t="n">
        <v>9.140000000000001</v>
      </c>
      <c r="H32" s="212" t="n">
        <v>8.41</v>
      </c>
      <c r="I32" s="66" t="n">
        <v>9.25</v>
      </c>
      <c r="J32" s="68" t="n">
        <v>9.359999999999999</v>
      </c>
      <c r="K32" s="70" t="inlineStr">
        <is>
          <t>A-</t>
        </is>
      </c>
      <c r="L32" s="100" t="inlineStr">
        <is>
          <t>A-</t>
        </is>
      </c>
      <c r="M32" s="150" t="inlineStr">
        <is>
          <t>A+</t>
        </is>
      </c>
      <c r="N32" s="83">
        <f>TRUNC(AVERAGE(D32:J32),2)</f>
        <v/>
      </c>
      <c r="O32" s="85" t="inlineStr">
        <is>
          <t>S</t>
        </is>
      </c>
      <c r="P32" s="87" t="inlineStr">
        <is>
          <t>PROMOVIDO</t>
        </is>
      </c>
    </row>
    <row r="33" ht="15" customHeight="1" s="226">
      <c r="A33" s="51" t="n">
        <v>27</v>
      </c>
      <c r="B33" s="243" t="inlineStr">
        <is>
          <t>SANTANDER SIGUENCIA DAYANA PATRICIA</t>
        </is>
      </c>
      <c r="C33" s="121" t="n"/>
      <c r="D33" s="150" t="n">
        <v>8.9</v>
      </c>
      <c r="E33" s="190" t="n">
        <v>8.529999999999999</v>
      </c>
      <c r="F33" s="197" t="n">
        <v>8.73</v>
      </c>
      <c r="G33" s="238" t="n">
        <v>9.57</v>
      </c>
      <c r="H33" s="212" t="n">
        <v>9.01</v>
      </c>
      <c r="I33" s="66" t="n">
        <v>9.609999999999999</v>
      </c>
      <c r="J33" s="68" t="n">
        <v>9.59</v>
      </c>
      <c r="K33" s="70" t="inlineStr">
        <is>
          <t>A-</t>
        </is>
      </c>
      <c r="L33" s="107" t="inlineStr">
        <is>
          <t>A-</t>
        </is>
      </c>
      <c r="M33" s="150" t="inlineStr">
        <is>
          <t>A+</t>
        </is>
      </c>
      <c r="N33" s="238">
        <f>TRUNC(AVERAGE(D33:J33),2)</f>
        <v/>
      </c>
      <c r="O33" s="85" t="inlineStr">
        <is>
          <t>S</t>
        </is>
      </c>
      <c r="P33" s="87" t="inlineStr">
        <is>
          <t>PROMOVIDO</t>
        </is>
      </c>
    </row>
    <row r="34" ht="15" customHeight="1" s="226">
      <c r="A34" s="51" t="n">
        <v>28</v>
      </c>
      <c r="B34" s="243" t="inlineStr">
        <is>
          <t>SIBRI CHIQUI ANTOLINI JAVIER</t>
        </is>
      </c>
      <c r="C34" s="121" t="n"/>
      <c r="D34" s="150" t="n">
        <v>7.42</v>
      </c>
      <c r="E34" s="190" t="n">
        <v>7.46</v>
      </c>
      <c r="F34" s="197" t="n">
        <v>7.42</v>
      </c>
      <c r="G34" s="238" t="n">
        <v>8.449999999999999</v>
      </c>
      <c r="H34" s="212" t="n">
        <v>8.07</v>
      </c>
      <c r="I34" s="66" t="n">
        <v>7.94</v>
      </c>
      <c r="J34" s="68" t="n">
        <v>8.75</v>
      </c>
      <c r="K34" s="70" t="inlineStr">
        <is>
          <t>B-</t>
        </is>
      </c>
      <c r="L34" s="100" t="inlineStr">
        <is>
          <t>A-</t>
        </is>
      </c>
      <c r="M34" s="150" t="inlineStr">
        <is>
          <t>A-</t>
        </is>
      </c>
      <c r="N34" s="238">
        <f>TRUNC(AVERAGE(D34:J34),2)</f>
        <v/>
      </c>
      <c r="O34" s="85" t="inlineStr">
        <is>
          <t>S</t>
        </is>
      </c>
      <c r="P34" s="87" t="inlineStr">
        <is>
          <t>PROMOVIDO</t>
        </is>
      </c>
    </row>
    <row r="35" ht="15" customHeight="1" s="226">
      <c r="A35" s="51" t="n">
        <v>29</v>
      </c>
      <c r="B35" s="243" t="inlineStr">
        <is>
          <t>TENESACA GUAMAN DIANA ESTEFANIA</t>
        </is>
      </c>
      <c r="C35" s="121" t="n"/>
      <c r="D35" s="150" t="n">
        <v>8.380000000000001</v>
      </c>
      <c r="E35" s="190" t="n">
        <v>8.43</v>
      </c>
      <c r="F35" s="197" t="n">
        <v>7.06</v>
      </c>
      <c r="G35" s="238" t="n">
        <v>7.93</v>
      </c>
      <c r="H35" s="212" t="n">
        <v>8.27</v>
      </c>
      <c r="I35" s="66" t="n">
        <v>8.49</v>
      </c>
      <c r="J35" s="68" t="n">
        <v>8.390000000000001</v>
      </c>
      <c r="K35" s="70" t="inlineStr">
        <is>
          <t>B+</t>
        </is>
      </c>
      <c r="L35" s="100" t="inlineStr">
        <is>
          <t>A-</t>
        </is>
      </c>
      <c r="M35" s="150" t="inlineStr">
        <is>
          <t>A-</t>
        </is>
      </c>
      <c r="N35" s="238">
        <f>TRUNC(AVERAGE(D35:J35),2)</f>
        <v/>
      </c>
      <c r="O35" s="85" t="inlineStr">
        <is>
          <t>S</t>
        </is>
      </c>
      <c r="P35" s="87" t="inlineStr">
        <is>
          <t>PROMOVIDO</t>
        </is>
      </c>
    </row>
    <row r="36" ht="15" customHeight="1" s="226">
      <c r="A36" s="51" t="n">
        <v>30</v>
      </c>
      <c r="B36" s="121" t="inlineStr">
        <is>
          <t>VASQUEZ ASMAL ANGEL RAFAEL</t>
        </is>
      </c>
      <c r="C36" s="121" t="n"/>
      <c r="D36" s="150" t="n">
        <v>7.09</v>
      </c>
      <c r="E36" s="198" t="n">
        <v>7.07</v>
      </c>
      <c r="F36" s="191" t="n">
        <v>7.04</v>
      </c>
      <c r="G36" s="155" t="n">
        <v>7.71</v>
      </c>
      <c r="H36" s="212" t="n">
        <v>7.75</v>
      </c>
      <c r="I36" s="66" t="n">
        <v>7.64</v>
      </c>
      <c r="J36" s="68" t="n">
        <v>8.699999999999999</v>
      </c>
      <c r="K36" s="70" t="inlineStr">
        <is>
          <t>B+</t>
        </is>
      </c>
      <c r="L36" s="100" t="inlineStr">
        <is>
          <t>A-</t>
        </is>
      </c>
      <c r="M36" s="150" t="inlineStr">
        <is>
          <t>A-</t>
        </is>
      </c>
      <c r="N36" s="83">
        <f>TRUNC(AVERAGE(D36:J36),2)</f>
        <v/>
      </c>
      <c r="O36" s="85" t="inlineStr">
        <is>
          <t>F</t>
        </is>
      </c>
      <c r="P36" s="87" t="inlineStr">
        <is>
          <t>PROMOVIDO</t>
        </is>
      </c>
    </row>
    <row r="37" ht="15" customHeight="1" s="226">
      <c r="A37" s="51" t="n">
        <v>31</v>
      </c>
      <c r="B37" s="243" t="inlineStr">
        <is>
          <t>VASQUEZ MATUTE JOHN JAIRO</t>
        </is>
      </c>
      <c r="C37" s="121" t="n"/>
      <c r="D37" s="150" t="n">
        <v>8.01</v>
      </c>
      <c r="E37" s="198" t="n">
        <v>8.07</v>
      </c>
      <c r="F37" s="197" t="n">
        <v>7.54</v>
      </c>
      <c r="G37" s="238" t="n">
        <v>9.109999999999999</v>
      </c>
      <c r="H37" s="212" t="n">
        <v>8.06</v>
      </c>
      <c r="I37" s="66" t="n">
        <v>8.31</v>
      </c>
      <c r="J37" s="68" t="n">
        <v>8.69</v>
      </c>
      <c r="K37" s="70" t="inlineStr">
        <is>
          <t>A-</t>
        </is>
      </c>
      <c r="L37" s="100" t="inlineStr">
        <is>
          <t>A-</t>
        </is>
      </c>
      <c r="M37" s="150" t="inlineStr">
        <is>
          <t>A-</t>
        </is>
      </c>
      <c r="N37" s="238">
        <f>TRUNC(AVERAGE(D37:J37),2)</f>
        <v/>
      </c>
      <c r="O37" s="85" t="inlineStr">
        <is>
          <t>F</t>
        </is>
      </c>
      <c r="P37" s="87" t="inlineStr">
        <is>
          <t>PROMOVIDO</t>
        </is>
      </c>
    </row>
    <row r="38" ht="15" customHeight="1" s="226">
      <c r="A38" s="51" t="n">
        <v>32</v>
      </c>
      <c r="B38" s="243" t="inlineStr">
        <is>
          <t>VIZHÑAY CEDACERO GISSELIE ANABEL</t>
        </is>
      </c>
      <c r="C38" s="121" t="n"/>
      <c r="D38" s="150" t="n">
        <v>7.88</v>
      </c>
      <c r="E38" s="190" t="n">
        <v>7.87</v>
      </c>
      <c r="F38" s="195" t="n">
        <v>7.53</v>
      </c>
      <c r="G38" s="238" t="n">
        <v>8.16</v>
      </c>
      <c r="H38" s="221" t="n">
        <v>8.59</v>
      </c>
      <c r="I38" s="66" t="n">
        <v>8.56</v>
      </c>
      <c r="J38" s="68" t="n">
        <v>9.210000000000001</v>
      </c>
      <c r="K38" s="70" t="inlineStr">
        <is>
          <t>A-</t>
        </is>
      </c>
      <c r="L38" s="107" t="inlineStr">
        <is>
          <t>A-</t>
        </is>
      </c>
      <c r="M38" s="150" t="inlineStr">
        <is>
          <t>A-</t>
        </is>
      </c>
      <c r="N38" s="238">
        <f>TRUNC(AVERAGE(D38:J38),2)</f>
        <v/>
      </c>
      <c r="O38" s="85" t="inlineStr">
        <is>
          <t>S</t>
        </is>
      </c>
      <c r="P38" s="87" t="inlineStr">
        <is>
          <t>PROMOVIDO</t>
        </is>
      </c>
    </row>
    <row r="39" ht="18" customHeight="1" s="226">
      <c r="A39" s="51" t="n">
        <v>33</v>
      </c>
      <c r="B39" s="243" t="inlineStr">
        <is>
          <t>WAMPASH ATARIGUANA MICHAEL ANDERSON</t>
        </is>
      </c>
      <c r="C39" s="121" t="n"/>
      <c r="D39" s="150" t="n">
        <v>8.050000000000001</v>
      </c>
      <c r="E39" s="190" t="n">
        <v>7.52</v>
      </c>
      <c r="F39" s="197" t="n">
        <v>7.72</v>
      </c>
      <c r="G39" s="238" t="n">
        <v>8.16</v>
      </c>
      <c r="H39" s="221" t="n">
        <v>8.44</v>
      </c>
      <c r="I39" s="66" t="n">
        <v>8.91</v>
      </c>
      <c r="J39" s="68" t="n">
        <v>8.529999999999999</v>
      </c>
      <c r="K39" s="70" t="inlineStr">
        <is>
          <t>A-</t>
        </is>
      </c>
      <c r="L39" s="107" t="inlineStr">
        <is>
          <t>A-</t>
        </is>
      </c>
      <c r="M39" s="150" t="inlineStr">
        <is>
          <t>A-</t>
        </is>
      </c>
      <c r="N39" s="83">
        <f>TRUNC(AVERAGE(D39:J39),2)</f>
        <v/>
      </c>
      <c r="O39" s="85" t="inlineStr">
        <is>
          <t>O</t>
        </is>
      </c>
      <c r="P39" s="87" t="inlineStr">
        <is>
          <t>PROMOVIDO</t>
        </is>
      </c>
    </row>
    <row r="40" ht="15" customHeight="1" s="226">
      <c r="A40" s="51" t="n">
        <v>34</v>
      </c>
      <c r="B40" s="243" t="inlineStr">
        <is>
          <t>ZHINDON MENDEZ KAREN SOFIA</t>
        </is>
      </c>
      <c r="C40" s="121" t="n"/>
      <c r="D40" s="150" t="n">
        <v>8.51</v>
      </c>
      <c r="E40" s="190" t="n">
        <v>8.99</v>
      </c>
      <c r="F40" s="197" t="n">
        <v>8.68</v>
      </c>
      <c r="G40" s="238" t="n">
        <v>9.199999999999999</v>
      </c>
      <c r="H40" s="221" t="n">
        <v>8.91</v>
      </c>
      <c r="I40" s="66" t="n">
        <v>9.56</v>
      </c>
      <c r="J40" s="68" t="n">
        <v>9.44</v>
      </c>
      <c r="K40" s="70" t="inlineStr">
        <is>
          <t>A-</t>
        </is>
      </c>
      <c r="L40" s="107" t="inlineStr">
        <is>
          <t>A-</t>
        </is>
      </c>
      <c r="M40" s="150" t="inlineStr">
        <is>
          <t>A+</t>
        </is>
      </c>
      <c r="N40" s="83">
        <f>TRUNC(AVERAGE(D40:J40),2)</f>
        <v/>
      </c>
      <c r="O40" s="85" t="inlineStr">
        <is>
          <t>S</t>
        </is>
      </c>
      <c r="P40" s="87" t="inlineStr">
        <is>
          <t>PROMOVIDO</t>
        </is>
      </c>
    </row>
    <row r="41" ht="14.25" customHeight="1" s="226">
      <c r="A41" s="51" t="n">
        <v>35</v>
      </c>
      <c r="B41" s="250" t="inlineStr">
        <is>
          <t>ZHININ CORAYZACA ADRIANA DAMARIS</t>
        </is>
      </c>
      <c r="C41" s="148" t="n"/>
      <c r="D41" s="150" t="n">
        <v>7.86</v>
      </c>
      <c r="E41" s="251" t="n">
        <v>7.78</v>
      </c>
      <c r="F41" s="197" t="n">
        <v>7.94</v>
      </c>
      <c r="G41" s="238" t="n">
        <v>8.06</v>
      </c>
      <c r="H41" s="221" t="n">
        <v>8.26</v>
      </c>
      <c r="I41" s="66" t="n">
        <v>9.09</v>
      </c>
      <c r="J41" s="68" t="n">
        <v>8.699999999999999</v>
      </c>
      <c r="K41" s="70" t="inlineStr">
        <is>
          <t>A-</t>
        </is>
      </c>
      <c r="L41" s="100" t="inlineStr">
        <is>
          <t>A-</t>
        </is>
      </c>
      <c r="M41" s="150" t="inlineStr">
        <is>
          <t>A-</t>
        </is>
      </c>
      <c r="N41" s="238">
        <f>TRUNC(AVERAGE(D41:J41),2)</f>
        <v/>
      </c>
      <c r="O41" s="85" t="inlineStr">
        <is>
          <t>O</t>
        </is>
      </c>
      <c r="P41" s="87" t="inlineStr">
        <is>
          <t>PROMOVIDO</t>
        </is>
      </c>
    </row>
    <row r="42" ht="14.25" customHeight="1" s="226">
      <c r="A42" s="51" t="n">
        <v>36</v>
      </c>
      <c r="B42" s="250" t="inlineStr">
        <is>
          <t>ZUMBA CAGUANA NATHALY GISELLA</t>
        </is>
      </c>
      <c r="C42" s="148" t="n"/>
      <c r="D42" s="150" t="n">
        <v>9.32</v>
      </c>
      <c r="E42" s="190" t="n">
        <v>9.15</v>
      </c>
      <c r="F42" s="191" t="n">
        <v>9.73</v>
      </c>
      <c r="G42" s="238" t="n">
        <v>9.77</v>
      </c>
      <c r="H42" s="221" t="n">
        <v>9.58</v>
      </c>
      <c r="I42" s="66" t="n">
        <v>9.880000000000001</v>
      </c>
      <c r="J42" s="68" t="n">
        <v>9.85</v>
      </c>
      <c r="K42" s="70" t="inlineStr">
        <is>
          <t>A-</t>
        </is>
      </c>
      <c r="L42" s="107" t="inlineStr">
        <is>
          <t>A+</t>
        </is>
      </c>
      <c r="M42" s="150" t="inlineStr">
        <is>
          <t>A+</t>
        </is>
      </c>
      <c r="N42" s="83">
        <f>TRUNC(AVERAGE(D42:J42),2)</f>
        <v/>
      </c>
      <c r="O42" s="85" t="inlineStr">
        <is>
          <t>S</t>
        </is>
      </c>
      <c r="P42" s="87" t="inlineStr">
        <is>
          <t>PROMOVIDO</t>
        </is>
      </c>
    </row>
    <row r="43" ht="14.25" customHeight="1" s="226">
      <c r="A43" s="51" t="n">
        <v>37</v>
      </c>
      <c r="B43" s="250" t="inlineStr">
        <is>
          <t>ZUMBA CHABLAY ANTONY ISMAEL</t>
        </is>
      </c>
      <c r="C43" s="148" t="n"/>
      <c r="D43" s="150" t="n">
        <v>7.69</v>
      </c>
      <c r="E43" s="198" t="n">
        <v>7.81</v>
      </c>
      <c r="F43" s="184" t="n">
        <v>7.4</v>
      </c>
      <c r="G43" s="238" t="n">
        <v>8.69</v>
      </c>
      <c r="H43" s="221" t="n">
        <v>8.039999999999999</v>
      </c>
      <c r="I43" s="66" t="n">
        <v>8.609999999999999</v>
      </c>
      <c r="J43" s="68" t="n">
        <v>8.630000000000001</v>
      </c>
      <c r="K43" s="70" t="inlineStr">
        <is>
          <t>B+</t>
        </is>
      </c>
      <c r="L43" s="100" t="inlineStr">
        <is>
          <t>A-</t>
        </is>
      </c>
      <c r="M43" s="150" t="inlineStr">
        <is>
          <t>A-</t>
        </is>
      </c>
      <c r="N43" s="83">
        <f>TRUNC(AVERAGE(D43:J43),2)</f>
        <v/>
      </c>
      <c r="O43" s="85" t="inlineStr">
        <is>
          <t>S</t>
        </is>
      </c>
      <c r="P43" s="87" t="inlineStr">
        <is>
          <t>PROMOVIDO</t>
        </is>
      </c>
    </row>
    <row r="44" ht="14.25" customHeight="1" s="226">
      <c r="B44" s="13" t="inlineStr">
        <is>
          <t>Promedio</t>
        </is>
      </c>
      <c r="D44" s="150">
        <f>AVERAGE(D6:D43)</f>
        <v/>
      </c>
      <c r="E44" s="131">
        <f>AVERAGE(E6:E43)</f>
        <v/>
      </c>
      <c r="F44" s="202">
        <f>AVERAGE(F6:F43)</f>
        <v/>
      </c>
      <c r="G44" s="222">
        <f>AVERAGE(G6:G43)</f>
        <v/>
      </c>
      <c r="H44" s="223">
        <f>AVERAGE(H6:H43)</f>
        <v/>
      </c>
      <c r="I44" s="137">
        <f>AVERAGE(I6:I43)</f>
        <v/>
      </c>
      <c r="J44" s="224">
        <f>AVERAGE(J6:J43)</f>
        <v/>
      </c>
      <c r="K44" s="225" t="inlineStr">
        <is>
          <t>B+</t>
        </is>
      </c>
      <c r="L44" s="154" t="n"/>
      <c r="M44" s="154" t="n"/>
      <c r="N44" s="136">
        <f>AVERAGE(N6:N43)</f>
        <v/>
      </c>
      <c r="O44" s="154" t="n"/>
    </row>
    <row r="45" ht="14.25" customHeight="1" s="226"/>
    <row r="46" ht="14.25" customHeight="1" s="226"/>
    <row r="47" ht="14.25" customHeight="1" s="226">
      <c r="B47" s="229" t="inlineStr">
        <is>
          <t xml:space="preserve">Ing. Sonia Chicaiza Mgtr. </t>
        </is>
      </c>
      <c r="G47" s="230" t="inlineStr">
        <is>
          <t xml:space="preserve">Lcda. Lucia Uzhca Mgtr. </t>
        </is>
      </c>
      <c r="H47" s="231" t="n"/>
      <c r="I47" s="231" t="n"/>
      <c r="J47" s="232" t="n"/>
      <c r="K47" s="147" t="n"/>
      <c r="L47" s="230" t="inlineStr">
        <is>
          <t xml:space="preserve">Lcdo. Oscar Ojeda Mgtr. </t>
        </is>
      </c>
      <c r="M47" s="231" t="n"/>
      <c r="N47" s="231" t="n"/>
      <c r="O47" s="231" t="n"/>
      <c r="P47" s="232" t="n"/>
    </row>
    <row r="48" ht="14.25" customHeight="1" s="226">
      <c r="B48" s="229" t="inlineStr">
        <is>
          <t>Rectora (e)</t>
        </is>
      </c>
      <c r="G48" s="230" t="inlineStr">
        <is>
          <t>Vicerrectora (e) Vespertina</t>
        </is>
      </c>
      <c r="H48" s="231" t="n"/>
      <c r="I48" s="231" t="n"/>
      <c r="J48" s="231" t="n"/>
      <c r="K48" s="232" t="n"/>
      <c r="L48" s="230" t="inlineStr">
        <is>
          <t>Docente Tutor</t>
        </is>
      </c>
      <c r="M48" s="231" t="n"/>
      <c r="N48" s="231" t="n"/>
      <c r="O48" s="232" t="n"/>
      <c r="P48" s="13" t="n"/>
    </row>
    <row r="49" ht="14.25" customHeight="1" s="226"/>
    <row r="50" ht="14.25" customHeight="1" s="226"/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4.25" customHeight="1" s="226"/>
    <row r="222" ht="14.25" customHeight="1" s="226"/>
    <row r="223" ht="14.25" customHeight="1" s="226"/>
    <row r="224" ht="14.25" customHeight="1" s="226"/>
    <row r="225" ht="14.25" customHeight="1" s="226"/>
    <row r="226" ht="14.25" customHeight="1" s="226"/>
    <row r="227" ht="14.25" customHeight="1" s="226"/>
    <row r="228" ht="14.25" customHeight="1" s="226"/>
    <row r="229" ht="14.25" customHeight="1" s="226"/>
    <row r="230" ht="14.25" customHeight="1" s="226"/>
    <row r="231" ht="14.25" customHeight="1" s="226"/>
    <row r="232" ht="14.25" customHeight="1" s="226"/>
    <row r="233" ht="14.25" customHeight="1" s="226"/>
    <row r="234" ht="14.25" customHeight="1" s="226"/>
    <row r="235" ht="14.25" customHeight="1" s="226"/>
    <row r="236" ht="14.25" customHeight="1" s="226"/>
    <row r="237" ht="14.25" customHeight="1" s="226"/>
    <row r="238" ht="14.25" customHeight="1" s="226"/>
    <row r="239" ht="14.25" customHeight="1" s="226"/>
    <row r="240" ht="14.25" customHeight="1" s="226"/>
    <row r="241" ht="15.75" customHeight="1" s="226"/>
    <row r="242" ht="15.75" customHeight="1" s="226"/>
    <row r="243" ht="15.75" customHeight="1" s="226"/>
    <row r="244" ht="15.75" customHeight="1" s="226"/>
    <row r="245" ht="15.7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  <row r="994" ht="15.75" customHeight="1" s="226"/>
    <row r="995" ht="15.75" customHeight="1" s="226"/>
    <row r="996" ht="15.75" customHeight="1" s="226"/>
    <row r="997" ht="15.75" customHeight="1" s="226"/>
  </sheetData>
  <mergeCells count="12">
    <mergeCell ref="B47:C47"/>
    <mergeCell ref="B48:C48"/>
    <mergeCell ref="I4:J4"/>
    <mergeCell ref="B2:P2"/>
    <mergeCell ref="K3:N3"/>
    <mergeCell ref="A1:P1"/>
    <mergeCell ref="L48:O48"/>
    <mergeCell ref="I3:J3"/>
    <mergeCell ref="G47:J47"/>
    <mergeCell ref="C3:E3"/>
    <mergeCell ref="L47:P47"/>
    <mergeCell ref="G48:K48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26" min="1" max="2"/>
    <col width="80.86" customWidth="1" style="226" min="3" max="3"/>
    <col width="10.71" customWidth="1" style="226" min="4" max="6"/>
    <col width="14" customWidth="1" style="226" min="7" max="26"/>
  </cols>
  <sheetData>
    <row r="1" ht="14.25" customHeight="1" s="226"/>
    <row r="2" ht="14.25" customHeight="1" s="226">
      <c r="B2" s="15" t="inlineStr">
        <is>
          <t>S</t>
        </is>
      </c>
      <c r="C2" s="15" t="inlineStr">
        <is>
          <t>Transforma los desacuerdos en oportunidades de crecimiento y cooperación.</t>
        </is>
      </c>
    </row>
    <row r="3" ht="14.25" customHeight="1" s="226">
      <c r="B3" s="15" t="inlineStr">
        <is>
          <t>F</t>
        </is>
      </c>
      <c r="C3" s="15" t="inlineStr">
        <is>
          <t>Se involucra y participa en iniciativas que favorecen la convivencia pacífica.</t>
        </is>
      </c>
    </row>
    <row r="4" ht="14.25" customHeight="1" s="226">
      <c r="B4" s="15" t="inlineStr">
        <is>
          <t>O</t>
        </is>
      </c>
      <c r="C4" s="15" t="inlineStr">
        <is>
          <t>Demuestra habilidades para llegar a acuerdos y asumir compromisos.</t>
        </is>
      </c>
    </row>
    <row r="5" ht="14.25" customHeight="1" s="226">
      <c r="B5" s="15" t="inlineStr">
        <is>
          <t>N</t>
        </is>
      </c>
      <c r="C5" s="15" t="inlineStr">
        <is>
          <t>Muestra limitaciones para llegar a acuerdos y asumir compromisos.</t>
        </is>
      </c>
    </row>
    <row r="6" ht="14.25" customHeight="1" s="226"/>
    <row r="7" ht="14.25" customHeight="1" s="226"/>
    <row r="8" ht="14.25" customHeight="1" s="226"/>
    <row r="9" ht="14.25" customHeight="1" s="226"/>
    <row r="10" ht="14.25" customHeight="1" s="226"/>
    <row r="11" ht="14.25" customHeight="1" s="226"/>
    <row r="12" ht="14.25" customHeight="1" s="226"/>
    <row r="13" ht="14.25" customHeight="1" s="226"/>
    <row r="14" ht="14.25" customHeight="1" s="226"/>
    <row r="15" ht="14.25" customHeight="1" s="226"/>
    <row r="16" ht="14.25" customHeight="1" s="226"/>
    <row r="17" ht="14.25" customHeight="1" s="226"/>
    <row r="18" ht="14.25" customHeight="1" s="226"/>
    <row r="19" ht="14.25" customHeight="1" s="226"/>
    <row r="20" ht="14.25" customHeight="1" s="226"/>
    <row r="21" ht="14.25" customHeight="1" s="226"/>
    <row r="22" ht="14.25" customHeight="1" s="226"/>
    <row r="23" ht="14.25" customHeight="1" s="226"/>
    <row r="24" ht="14.25" customHeight="1" s="226"/>
    <row r="25" ht="14.25" customHeight="1" s="226"/>
    <row r="26" ht="14.25" customHeight="1" s="226"/>
    <row r="27" ht="14.25" customHeight="1" s="226"/>
    <row r="28" ht="14.25" customHeight="1" s="226"/>
    <row r="29" ht="14.25" customHeight="1" s="226"/>
    <row r="30" ht="14.25" customHeight="1" s="226"/>
    <row r="31" ht="14.25" customHeight="1" s="226"/>
    <row r="32" ht="14.25" customHeight="1" s="226"/>
    <row r="33" ht="14.25" customHeight="1" s="226"/>
    <row r="34" ht="14.25" customHeight="1" s="226"/>
    <row r="35" ht="14.25" customHeight="1" s="226"/>
    <row r="36" ht="14.25" customHeight="1" s="226"/>
    <row r="37" ht="14.25" customHeight="1" s="226"/>
    <row r="38" ht="14.25" customHeight="1" s="226"/>
    <row r="39" ht="14.25" customHeight="1" s="226"/>
    <row r="40" ht="14.25" customHeight="1" s="226"/>
    <row r="41" ht="14.25" customHeight="1" s="226"/>
    <row r="42" ht="14.25" customHeight="1" s="226"/>
    <row r="43" ht="14.25" customHeight="1" s="226"/>
    <row r="44" ht="14.25" customHeight="1" s="226"/>
    <row r="45" ht="14.25" customHeight="1" s="226"/>
    <row r="46" ht="14.25" customHeight="1" s="226"/>
    <row r="47" ht="14.25" customHeight="1" s="226"/>
    <row r="48" ht="14.25" customHeight="1" s="226"/>
    <row r="49" ht="14.25" customHeight="1" s="226"/>
    <row r="50" ht="14.25" customHeight="1" s="226"/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5.75" customHeight="1" s="226"/>
    <row r="222" ht="15.75" customHeight="1" s="226"/>
    <row r="223" ht="15.75" customHeight="1" s="226"/>
    <row r="224" ht="15.75" customHeight="1" s="226"/>
    <row r="225" ht="15.75" customHeight="1" s="226"/>
    <row r="226" ht="15.75" customHeight="1" s="226"/>
    <row r="227" ht="15.75" customHeight="1" s="226"/>
    <row r="228" ht="15.75" customHeight="1" s="226"/>
    <row r="229" ht="15.75" customHeight="1" s="226"/>
    <row r="230" ht="15.75" customHeight="1" s="226"/>
    <row r="231" ht="15.75" customHeight="1" s="226"/>
    <row r="232" ht="15.75" customHeight="1" s="226"/>
    <row r="233" ht="15.75" customHeight="1" s="226"/>
    <row r="234" ht="15.75" customHeight="1" s="226"/>
    <row r="235" ht="15.75" customHeight="1" s="226"/>
    <row r="236" ht="15.75" customHeight="1" s="226"/>
    <row r="237" ht="15.75" customHeight="1" s="226"/>
    <row r="238" ht="15.75" customHeight="1" s="226"/>
    <row r="239" ht="15.75" customHeight="1" s="226"/>
    <row r="240" ht="15.75" customHeight="1" s="226"/>
    <row r="241" ht="15.75" customHeight="1" s="226"/>
    <row r="242" ht="15.75" customHeight="1" s="226"/>
    <row r="243" ht="15.75" customHeight="1" s="226"/>
    <row r="244" ht="15.75" customHeight="1" s="226"/>
    <row r="245" ht="15.7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  <row r="994" ht="15.75" customHeight="1" s="226"/>
    <row r="995" ht="15.75" customHeight="1" s="226"/>
    <row r="996" ht="15.75" customHeight="1" s="226"/>
    <row r="997" ht="15.75" customHeight="1" s="226"/>
    <row r="998" ht="15.75" customHeight="1" s="226"/>
    <row r="999" ht="15.75" customHeight="1" s="226"/>
    <row r="1000" ht="15.75" customHeight="1" s="226"/>
  </sheetData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4:E1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26" min="1" max="4"/>
    <col width="184.29" customWidth="1" style="226" min="5" max="5"/>
    <col width="10.71" customWidth="1" style="226" min="6" max="6"/>
    <col width="14" customWidth="1" style="226" min="7" max="26"/>
  </cols>
  <sheetData>
    <row r="1" ht="14.25" customHeight="1" s="226"/>
    <row r="2" ht="14.25" customHeight="1" s="226"/>
    <row r="3" ht="14.25" customHeight="1" s="226"/>
    <row r="4" ht="14.25" customHeight="1" s="226">
      <c r="D4" s="88" t="inlineStr">
        <is>
          <t>A+</t>
        </is>
      </c>
      <c r="E4" s="186" t="inlineStr">
        <is>
          <t>Demuestra dominio y comprensión de las habilidades, conocimientos y procedimientos desarrollados con capacidad para aplicarlos en situaciones prácticas y de la cotidianidad, simples y complejas, de forma independiente y colectiva.</t>
        </is>
      </c>
    </row>
    <row r="5" ht="17.25" customHeight="1" s="226">
      <c r="D5" s="88" t="inlineStr">
        <is>
          <t>A-</t>
        </is>
      </c>
      <c r="E5" s="186" t="inlineStr">
        <is>
          <t>Demuestra comprensión de habilidades y conocimientos desarrollados para aplicarlos en situaciones de la cotidianidad, de forma independiente y colectiva.</t>
        </is>
      </c>
    </row>
    <row r="6" ht="14.25" customHeight="1" s="226">
      <c r="D6" s="88" t="inlineStr">
        <is>
          <t>B+</t>
        </is>
      </c>
      <c r="E6" s="15" t="inlineStr">
        <is>
          <t>Aplica sus habilidades en situaciones comunes y predecibles, simples y no complejas de forma independiente. Evidencia habilidades para trabajar en equipo y de manera colaborativa, siguiendo instrucciones.</t>
        </is>
      </c>
    </row>
    <row r="7" ht="30.75" customHeight="1" s="226">
      <c r="D7" s="88" t="inlineStr">
        <is>
          <t>B-</t>
        </is>
      </c>
      <c r="E7" s="186" t="inlineStr">
        <is>
      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      </is>
      </c>
    </row>
    <row r="8" ht="14.25" customHeight="1" s="226">
      <c r="D8" s="15" t="inlineStr">
        <is>
          <t>C+</t>
        </is>
      </c>
      <c r="E8" s="186" t="inlineStr">
        <is>
          <t>Demuestra habilidades, conocimientos y procedimientos de manera integral, predominando el trabajo individual al trabajo en equipo. Requiere apoyo del equipo docente para el aprendizaje mediado.</t>
        </is>
      </c>
    </row>
    <row r="9" ht="14.25" customHeight="1" s="226">
      <c r="D9" s="15" t="inlineStr">
        <is>
          <t>C-</t>
        </is>
      </c>
      <c r="E9" s="186" t="inlineStr">
        <is>
          <t>Resuelve tareas o actividades simples sobre la base de sus habilidades, conocimientos y procedimientos adquiridos. Evidencia habilidades básicas de trabajo en equipo. Requiere apoyo del equipo docente para el aprendizaje mediado.</t>
        </is>
      </c>
    </row>
    <row r="10" ht="14.25" customHeight="1" s="226">
      <c r="D10" s="15" t="inlineStr">
        <is>
          <t>D+</t>
        </is>
      </c>
      <c r="E10" s="186" t="inlineStr">
        <is>
          <t>Resuelve tareas o actividades simples sobre la base de sus habilidades, conocimientos y procedimientos adquiridos guiados con el docente. Evidencia limitaciones para trabajar en equipo.</t>
        </is>
      </c>
    </row>
    <row r="11" ht="14.25" customHeight="1" s="226">
      <c r="D11" s="15" t="inlineStr">
        <is>
          <t>D-</t>
        </is>
      </c>
      <c r="E11" s="186" t="inlineStr">
        <is>
          <t>Realiza tareas simples, demuestra dificultad para seguir instrucciones y completarlas, requiriendo la orientación frecuente del equipo docente.</t>
        </is>
      </c>
    </row>
    <row r="12" ht="14.25" customHeight="1" s="226">
      <c r="D12" s="15" t="inlineStr">
        <is>
          <t>E+</t>
        </is>
      </c>
      <c r="E12" s="186" t="inlineStr">
        <is>
          <t>Demuestra dificultades para desarrollar tareas simples y complejas a partir de las habilidades, conocimientos y procedimientos. Requiere intervención permanente del equipo docente para la culminación de sus tareas.</t>
        </is>
      </c>
    </row>
    <row r="13" ht="14.25" customHeight="1" s="226">
      <c r="D13" s="15" t="inlineStr">
        <is>
          <t>E-</t>
        </is>
      </c>
      <c r="E13" s="186" t="inlineStr">
        <is>
          <t>Expone un desarrollo inicial de conocimientos, habilidades y procedimientos para aplicarlos. Requiere intervención inmediata y apoyo continuo del equipo docente para completar las tareas o actividades asignadas.</t>
        </is>
      </c>
    </row>
    <row r="14" ht="14.25" customHeight="1" s="226"/>
    <row r="15" ht="14.25" customHeight="1" s="226"/>
    <row r="16" ht="14.25" customHeight="1" s="226"/>
    <row r="17" ht="14.25" customHeight="1" s="226"/>
    <row r="18" ht="14.25" customHeight="1" s="226"/>
    <row r="19" ht="14.25" customHeight="1" s="226"/>
    <row r="20" ht="14.25" customHeight="1" s="226"/>
    <row r="21" ht="14.25" customHeight="1" s="226"/>
    <row r="22" ht="14.25" customHeight="1" s="226"/>
    <row r="23" ht="14.25" customHeight="1" s="226"/>
    <row r="24" ht="14.25" customHeight="1" s="226"/>
    <row r="25" ht="14.25" customHeight="1" s="226"/>
    <row r="26" ht="14.25" customHeight="1" s="226"/>
    <row r="27" ht="14.25" customHeight="1" s="226"/>
    <row r="28" ht="14.25" customHeight="1" s="226"/>
    <row r="29" ht="14.25" customHeight="1" s="226"/>
    <row r="30" ht="14.25" customHeight="1" s="226"/>
    <row r="31" ht="14.25" customHeight="1" s="226"/>
    <row r="32" ht="14.25" customHeight="1" s="226"/>
    <row r="33" ht="14.25" customHeight="1" s="226"/>
    <row r="34" ht="14.25" customHeight="1" s="226"/>
    <row r="35" ht="14.25" customHeight="1" s="226"/>
    <row r="36" ht="14.25" customHeight="1" s="226"/>
    <row r="37" ht="14.25" customHeight="1" s="226"/>
    <row r="38" ht="14.25" customHeight="1" s="226"/>
    <row r="39" ht="14.25" customHeight="1" s="226"/>
    <row r="40" ht="14.25" customHeight="1" s="226"/>
    <row r="41" ht="14.25" customHeight="1" s="226"/>
    <row r="42" ht="14.25" customHeight="1" s="226"/>
    <row r="43" ht="14.25" customHeight="1" s="226"/>
    <row r="44" ht="14.25" customHeight="1" s="226"/>
    <row r="45" ht="14.25" customHeight="1" s="226"/>
    <row r="46" ht="14.25" customHeight="1" s="226"/>
    <row r="47" ht="14.25" customHeight="1" s="226"/>
    <row r="48" ht="14.25" customHeight="1" s="226"/>
    <row r="49" ht="14.25" customHeight="1" s="226"/>
    <row r="50" ht="14.25" customHeight="1" s="226"/>
    <row r="51" ht="14.25" customHeight="1" s="226"/>
    <row r="52" ht="14.25" customHeight="1" s="226"/>
    <row r="53" ht="14.25" customHeight="1" s="226"/>
    <row r="54" ht="14.25" customHeight="1" s="226"/>
    <row r="55" ht="14.25" customHeight="1" s="226"/>
    <row r="56" ht="14.25" customHeight="1" s="226"/>
    <row r="57" ht="14.25" customHeight="1" s="226"/>
    <row r="58" ht="14.25" customHeight="1" s="226"/>
    <row r="59" ht="14.25" customHeight="1" s="226"/>
    <row r="60" ht="14.25" customHeight="1" s="226"/>
    <row r="61" ht="14.25" customHeight="1" s="226"/>
    <row r="62" ht="14.25" customHeight="1" s="226"/>
    <row r="63" ht="14.25" customHeight="1" s="226"/>
    <row r="64" ht="14.25" customHeight="1" s="226"/>
    <row r="65" ht="14.25" customHeight="1" s="226"/>
    <row r="66" ht="14.25" customHeight="1" s="226"/>
    <row r="67" ht="14.25" customHeight="1" s="226"/>
    <row r="68" ht="14.25" customHeight="1" s="226"/>
    <row r="69" ht="14.25" customHeight="1" s="226"/>
    <row r="70" ht="14.25" customHeight="1" s="226"/>
    <row r="71" ht="14.25" customHeight="1" s="226"/>
    <row r="72" ht="14.25" customHeight="1" s="226"/>
    <row r="73" ht="14.25" customHeight="1" s="226"/>
    <row r="74" ht="14.25" customHeight="1" s="226"/>
    <row r="75" ht="14.25" customHeight="1" s="226"/>
    <row r="76" ht="14.25" customHeight="1" s="226"/>
    <row r="77" ht="14.25" customHeight="1" s="226"/>
    <row r="78" ht="14.25" customHeight="1" s="226"/>
    <row r="79" ht="14.25" customHeight="1" s="226"/>
    <row r="80" ht="14.25" customHeight="1" s="226"/>
    <row r="81" ht="14.25" customHeight="1" s="226"/>
    <row r="82" ht="14.25" customHeight="1" s="226"/>
    <row r="83" ht="14.25" customHeight="1" s="226"/>
    <row r="84" ht="14.25" customHeight="1" s="226"/>
    <row r="85" ht="14.25" customHeight="1" s="226"/>
    <row r="86" ht="14.25" customHeight="1" s="226"/>
    <row r="87" ht="14.25" customHeight="1" s="226"/>
    <row r="88" ht="14.25" customHeight="1" s="226"/>
    <row r="89" ht="14.25" customHeight="1" s="226"/>
    <row r="90" ht="14.25" customHeight="1" s="226"/>
    <row r="91" ht="14.25" customHeight="1" s="226"/>
    <row r="92" ht="14.25" customHeight="1" s="226"/>
    <row r="93" ht="14.25" customHeight="1" s="226"/>
    <row r="94" ht="14.25" customHeight="1" s="226"/>
    <row r="95" ht="14.25" customHeight="1" s="226"/>
    <row r="96" ht="14.25" customHeight="1" s="226"/>
    <row r="97" ht="14.25" customHeight="1" s="226"/>
    <row r="98" ht="14.25" customHeight="1" s="226"/>
    <row r="99" ht="14.25" customHeight="1" s="226"/>
    <row r="100" ht="14.25" customHeight="1" s="226"/>
    <row r="101" ht="14.25" customHeight="1" s="226"/>
    <row r="102" ht="14.25" customHeight="1" s="226"/>
    <row r="103" ht="14.25" customHeight="1" s="226"/>
    <row r="104" ht="14.25" customHeight="1" s="226"/>
    <row r="105" ht="14.25" customHeight="1" s="226"/>
    <row r="106" ht="14.25" customHeight="1" s="226"/>
    <row r="107" ht="14.25" customHeight="1" s="226"/>
    <row r="108" ht="14.25" customHeight="1" s="226"/>
    <row r="109" ht="14.25" customHeight="1" s="226"/>
    <row r="110" ht="14.25" customHeight="1" s="226"/>
    <row r="111" ht="14.25" customHeight="1" s="226"/>
    <row r="112" ht="14.25" customHeight="1" s="226"/>
    <row r="113" ht="14.25" customHeight="1" s="226"/>
    <row r="114" ht="14.25" customHeight="1" s="226"/>
    <row r="115" ht="14.25" customHeight="1" s="226"/>
    <row r="116" ht="14.25" customHeight="1" s="226"/>
    <row r="117" ht="14.25" customHeight="1" s="226"/>
    <row r="118" ht="14.25" customHeight="1" s="226"/>
    <row r="119" ht="14.25" customHeight="1" s="226"/>
    <row r="120" ht="14.25" customHeight="1" s="226"/>
    <row r="121" ht="14.25" customHeight="1" s="226"/>
    <row r="122" ht="14.25" customHeight="1" s="226"/>
    <row r="123" ht="14.25" customHeight="1" s="226"/>
    <row r="124" ht="14.25" customHeight="1" s="226"/>
    <row r="125" ht="14.25" customHeight="1" s="226"/>
    <row r="126" ht="14.25" customHeight="1" s="226"/>
    <row r="127" ht="14.25" customHeight="1" s="226"/>
    <row r="128" ht="14.25" customHeight="1" s="226"/>
    <row r="129" ht="14.25" customHeight="1" s="226"/>
    <row r="130" ht="14.25" customHeight="1" s="226"/>
    <row r="131" ht="14.25" customHeight="1" s="226"/>
    <row r="132" ht="14.25" customHeight="1" s="226"/>
    <row r="133" ht="14.25" customHeight="1" s="226"/>
    <row r="134" ht="14.25" customHeight="1" s="226"/>
    <row r="135" ht="14.25" customHeight="1" s="226"/>
    <row r="136" ht="14.25" customHeight="1" s="226"/>
    <row r="137" ht="14.25" customHeight="1" s="226"/>
    <row r="138" ht="14.25" customHeight="1" s="226"/>
    <row r="139" ht="14.25" customHeight="1" s="226"/>
    <row r="140" ht="14.25" customHeight="1" s="226"/>
    <row r="141" ht="14.25" customHeight="1" s="226"/>
    <row r="142" ht="14.25" customHeight="1" s="226"/>
    <row r="143" ht="14.25" customHeight="1" s="226"/>
    <row r="144" ht="14.25" customHeight="1" s="226"/>
    <row r="145" ht="14.25" customHeight="1" s="226"/>
    <row r="146" ht="14.25" customHeight="1" s="226"/>
    <row r="147" ht="14.25" customHeight="1" s="226"/>
    <row r="148" ht="14.25" customHeight="1" s="226"/>
    <row r="149" ht="14.25" customHeight="1" s="226"/>
    <row r="150" ht="14.25" customHeight="1" s="226"/>
    <row r="151" ht="14.25" customHeight="1" s="226"/>
    <row r="152" ht="14.25" customHeight="1" s="226"/>
    <row r="153" ht="14.25" customHeight="1" s="226"/>
    <row r="154" ht="14.25" customHeight="1" s="226"/>
    <row r="155" ht="14.25" customHeight="1" s="226"/>
    <row r="156" ht="14.25" customHeight="1" s="226"/>
    <row r="157" ht="14.25" customHeight="1" s="226"/>
    <row r="158" ht="14.25" customHeight="1" s="226"/>
    <row r="159" ht="14.25" customHeight="1" s="226"/>
    <row r="160" ht="14.25" customHeight="1" s="226"/>
    <row r="161" ht="14.25" customHeight="1" s="226"/>
    <row r="162" ht="14.25" customHeight="1" s="226"/>
    <row r="163" ht="14.25" customHeight="1" s="226"/>
    <row r="164" ht="14.25" customHeight="1" s="226"/>
    <row r="165" ht="14.25" customHeight="1" s="226"/>
    <row r="166" ht="14.25" customHeight="1" s="226"/>
    <row r="167" ht="14.25" customHeight="1" s="226"/>
    <row r="168" ht="14.25" customHeight="1" s="226"/>
    <row r="169" ht="14.25" customHeight="1" s="226"/>
    <row r="170" ht="14.25" customHeight="1" s="226"/>
    <row r="171" ht="14.25" customHeight="1" s="226"/>
    <row r="172" ht="14.25" customHeight="1" s="226"/>
    <row r="173" ht="14.25" customHeight="1" s="226"/>
    <row r="174" ht="14.25" customHeight="1" s="226"/>
    <row r="175" ht="14.25" customHeight="1" s="226"/>
    <row r="176" ht="14.25" customHeight="1" s="226"/>
    <row r="177" ht="14.25" customHeight="1" s="226"/>
    <row r="178" ht="14.25" customHeight="1" s="226"/>
    <row r="179" ht="14.25" customHeight="1" s="226"/>
    <row r="180" ht="14.25" customHeight="1" s="226"/>
    <row r="181" ht="14.25" customHeight="1" s="226"/>
    <row r="182" ht="14.25" customHeight="1" s="226"/>
    <row r="183" ht="14.25" customHeight="1" s="226"/>
    <row r="184" ht="14.25" customHeight="1" s="226"/>
    <row r="185" ht="14.25" customHeight="1" s="226"/>
    <row r="186" ht="14.25" customHeight="1" s="226"/>
    <row r="187" ht="14.25" customHeight="1" s="226"/>
    <row r="188" ht="14.25" customHeight="1" s="226"/>
    <row r="189" ht="14.25" customHeight="1" s="226"/>
    <row r="190" ht="14.25" customHeight="1" s="226"/>
    <row r="191" ht="14.25" customHeight="1" s="226"/>
    <row r="192" ht="14.25" customHeight="1" s="226"/>
    <row r="193" ht="14.25" customHeight="1" s="226"/>
    <row r="194" ht="14.25" customHeight="1" s="226"/>
    <row r="195" ht="14.25" customHeight="1" s="226"/>
    <row r="196" ht="14.25" customHeight="1" s="226"/>
    <row r="197" ht="14.25" customHeight="1" s="226"/>
    <row r="198" ht="14.25" customHeight="1" s="226"/>
    <row r="199" ht="14.25" customHeight="1" s="226"/>
    <row r="200" ht="14.25" customHeight="1" s="226"/>
    <row r="201" ht="14.25" customHeight="1" s="226"/>
    <row r="202" ht="14.25" customHeight="1" s="226"/>
    <row r="203" ht="14.25" customHeight="1" s="226"/>
    <row r="204" ht="14.25" customHeight="1" s="226"/>
    <row r="205" ht="14.25" customHeight="1" s="226"/>
    <row r="206" ht="14.25" customHeight="1" s="226"/>
    <row r="207" ht="14.25" customHeight="1" s="226"/>
    <row r="208" ht="14.25" customHeight="1" s="226"/>
    <row r="209" ht="14.25" customHeight="1" s="226"/>
    <row r="210" ht="14.25" customHeight="1" s="226"/>
    <row r="211" ht="14.25" customHeight="1" s="226"/>
    <row r="212" ht="14.25" customHeight="1" s="226"/>
    <row r="213" ht="14.25" customHeight="1" s="226"/>
    <row r="214" ht="14.25" customHeight="1" s="226"/>
    <row r="215" ht="14.25" customHeight="1" s="226"/>
    <row r="216" ht="14.25" customHeight="1" s="226"/>
    <row r="217" ht="14.25" customHeight="1" s="226"/>
    <row r="218" ht="14.25" customHeight="1" s="226"/>
    <row r="219" ht="14.25" customHeight="1" s="226"/>
    <row r="220" ht="14.25" customHeight="1" s="226"/>
    <row r="221" ht="15.75" customHeight="1" s="226"/>
    <row r="222" ht="15.75" customHeight="1" s="226"/>
    <row r="223" ht="15.75" customHeight="1" s="226"/>
    <row r="224" ht="15.75" customHeight="1" s="226"/>
    <row r="225" ht="15.75" customHeight="1" s="226"/>
    <row r="226" ht="15.75" customHeight="1" s="226"/>
    <row r="227" ht="15.75" customHeight="1" s="226"/>
    <row r="228" ht="15.75" customHeight="1" s="226"/>
    <row r="229" ht="15.75" customHeight="1" s="226"/>
    <row r="230" ht="15.75" customHeight="1" s="226"/>
    <row r="231" ht="15.75" customHeight="1" s="226"/>
    <row r="232" ht="15.75" customHeight="1" s="226"/>
    <row r="233" ht="15.75" customHeight="1" s="226"/>
    <row r="234" ht="15.75" customHeight="1" s="226"/>
    <row r="235" ht="15.75" customHeight="1" s="226"/>
    <row r="236" ht="15.75" customHeight="1" s="226"/>
    <row r="237" ht="15.75" customHeight="1" s="226"/>
    <row r="238" ht="15.75" customHeight="1" s="226"/>
    <row r="239" ht="15.75" customHeight="1" s="226"/>
    <row r="240" ht="15.75" customHeight="1" s="226"/>
    <row r="241" ht="15.75" customHeight="1" s="226"/>
    <row r="242" ht="15.75" customHeight="1" s="226"/>
    <row r="243" ht="15.75" customHeight="1" s="226"/>
    <row r="244" ht="15.75" customHeight="1" s="226"/>
    <row r="245" ht="15.75" customHeight="1" s="226"/>
    <row r="246" ht="15.75" customHeight="1" s="226"/>
    <row r="247" ht="15.75" customHeight="1" s="226"/>
    <row r="248" ht="15.75" customHeight="1" s="226"/>
    <row r="249" ht="15.75" customHeight="1" s="226"/>
    <row r="250" ht="15.75" customHeight="1" s="226"/>
    <row r="251" ht="15.75" customHeight="1" s="226"/>
    <row r="252" ht="15.75" customHeight="1" s="226"/>
    <row r="253" ht="15.75" customHeight="1" s="226"/>
    <row r="254" ht="15.75" customHeight="1" s="226"/>
    <row r="255" ht="15.75" customHeight="1" s="226"/>
    <row r="256" ht="15.75" customHeight="1" s="226"/>
    <row r="257" ht="15.75" customHeight="1" s="226"/>
    <row r="258" ht="15.75" customHeight="1" s="226"/>
    <row r="259" ht="15.75" customHeight="1" s="226"/>
    <row r="260" ht="15.75" customHeight="1" s="226"/>
    <row r="261" ht="15.75" customHeight="1" s="226"/>
    <row r="262" ht="15.75" customHeight="1" s="226"/>
    <row r="263" ht="15.75" customHeight="1" s="226"/>
    <row r="264" ht="15.75" customHeight="1" s="226"/>
    <row r="265" ht="15.75" customHeight="1" s="226"/>
    <row r="266" ht="15.75" customHeight="1" s="226"/>
    <row r="267" ht="15.75" customHeight="1" s="226"/>
    <row r="268" ht="15.75" customHeight="1" s="226"/>
    <row r="269" ht="15.75" customHeight="1" s="226"/>
    <row r="270" ht="15.75" customHeight="1" s="226"/>
    <row r="271" ht="15.75" customHeight="1" s="226"/>
    <row r="272" ht="15.75" customHeight="1" s="226"/>
    <row r="273" ht="15.75" customHeight="1" s="226"/>
    <row r="274" ht="15.75" customHeight="1" s="226"/>
    <row r="275" ht="15.75" customHeight="1" s="226"/>
    <row r="276" ht="15.75" customHeight="1" s="226"/>
    <row r="277" ht="15.75" customHeight="1" s="226"/>
    <row r="278" ht="15.75" customHeight="1" s="226"/>
    <row r="279" ht="15.75" customHeight="1" s="226"/>
    <row r="280" ht="15.75" customHeight="1" s="226"/>
    <row r="281" ht="15.75" customHeight="1" s="226"/>
    <row r="282" ht="15.75" customHeight="1" s="226"/>
    <row r="283" ht="15.75" customHeight="1" s="226"/>
    <row r="284" ht="15.75" customHeight="1" s="226"/>
    <row r="285" ht="15.75" customHeight="1" s="226"/>
    <row r="286" ht="15.75" customHeight="1" s="226"/>
    <row r="287" ht="15.75" customHeight="1" s="226"/>
    <row r="288" ht="15.75" customHeight="1" s="226"/>
    <row r="289" ht="15.75" customHeight="1" s="226"/>
    <row r="290" ht="15.75" customHeight="1" s="226"/>
    <row r="291" ht="15.75" customHeight="1" s="226"/>
    <row r="292" ht="15.75" customHeight="1" s="226"/>
    <row r="293" ht="15.75" customHeight="1" s="226"/>
    <row r="294" ht="15.75" customHeight="1" s="226"/>
    <row r="295" ht="15.75" customHeight="1" s="226"/>
    <row r="296" ht="15.75" customHeight="1" s="226"/>
    <row r="297" ht="15.75" customHeight="1" s="226"/>
    <row r="298" ht="15.75" customHeight="1" s="226"/>
    <row r="299" ht="15.75" customHeight="1" s="226"/>
    <row r="300" ht="15.75" customHeight="1" s="226"/>
    <row r="301" ht="15.75" customHeight="1" s="226"/>
    <row r="302" ht="15.75" customHeight="1" s="226"/>
    <row r="303" ht="15.75" customHeight="1" s="226"/>
    <row r="304" ht="15.75" customHeight="1" s="226"/>
    <row r="305" ht="15.75" customHeight="1" s="226"/>
    <row r="306" ht="15.75" customHeight="1" s="226"/>
    <row r="307" ht="15.75" customHeight="1" s="226"/>
    <row r="308" ht="15.75" customHeight="1" s="226"/>
    <row r="309" ht="15.75" customHeight="1" s="226"/>
    <row r="310" ht="15.75" customHeight="1" s="226"/>
    <row r="311" ht="15.75" customHeight="1" s="226"/>
    <row r="312" ht="15.75" customHeight="1" s="226"/>
    <row r="313" ht="15.75" customHeight="1" s="226"/>
    <row r="314" ht="15.75" customHeight="1" s="226"/>
    <row r="315" ht="15.75" customHeight="1" s="226"/>
    <row r="316" ht="15.75" customHeight="1" s="226"/>
    <row r="317" ht="15.75" customHeight="1" s="226"/>
    <row r="318" ht="15.75" customHeight="1" s="226"/>
    <row r="319" ht="15.75" customHeight="1" s="226"/>
    <row r="320" ht="15.75" customHeight="1" s="226"/>
    <row r="321" ht="15.75" customHeight="1" s="226"/>
    <row r="322" ht="15.75" customHeight="1" s="226"/>
    <row r="323" ht="15.75" customHeight="1" s="226"/>
    <row r="324" ht="15.75" customHeight="1" s="226"/>
    <row r="325" ht="15.75" customHeight="1" s="226"/>
    <row r="326" ht="15.75" customHeight="1" s="226"/>
    <row r="327" ht="15.75" customHeight="1" s="226"/>
    <row r="328" ht="15.75" customHeight="1" s="226"/>
    <row r="329" ht="15.75" customHeight="1" s="226"/>
    <row r="330" ht="15.75" customHeight="1" s="226"/>
    <row r="331" ht="15.75" customHeight="1" s="226"/>
    <row r="332" ht="15.75" customHeight="1" s="226"/>
    <row r="333" ht="15.75" customHeight="1" s="226"/>
    <row r="334" ht="15.75" customHeight="1" s="226"/>
    <row r="335" ht="15.75" customHeight="1" s="226"/>
    <row r="336" ht="15.75" customHeight="1" s="226"/>
    <row r="337" ht="15.75" customHeight="1" s="226"/>
    <row r="338" ht="15.75" customHeight="1" s="226"/>
    <row r="339" ht="15.75" customHeight="1" s="226"/>
    <row r="340" ht="15.75" customHeight="1" s="226"/>
    <row r="341" ht="15.75" customHeight="1" s="226"/>
    <row r="342" ht="15.75" customHeight="1" s="226"/>
    <row r="343" ht="15.75" customHeight="1" s="226"/>
    <row r="344" ht="15.75" customHeight="1" s="226"/>
    <row r="345" ht="15.75" customHeight="1" s="226"/>
    <row r="346" ht="15.75" customHeight="1" s="226"/>
    <row r="347" ht="15.75" customHeight="1" s="226"/>
    <row r="348" ht="15.75" customHeight="1" s="226"/>
    <row r="349" ht="15.75" customHeight="1" s="226"/>
    <row r="350" ht="15.75" customHeight="1" s="226"/>
    <row r="351" ht="15.75" customHeight="1" s="226"/>
    <row r="352" ht="15.75" customHeight="1" s="226"/>
    <row r="353" ht="15.75" customHeight="1" s="226"/>
    <row r="354" ht="15.75" customHeight="1" s="226"/>
    <row r="355" ht="15.75" customHeight="1" s="226"/>
    <row r="356" ht="15.75" customHeight="1" s="226"/>
    <row r="357" ht="15.75" customHeight="1" s="226"/>
    <row r="358" ht="15.75" customHeight="1" s="226"/>
    <row r="359" ht="15.75" customHeight="1" s="226"/>
    <row r="360" ht="15.75" customHeight="1" s="226"/>
    <row r="361" ht="15.75" customHeight="1" s="226"/>
    <row r="362" ht="15.75" customHeight="1" s="226"/>
    <row r="363" ht="15.75" customHeight="1" s="226"/>
    <row r="364" ht="15.75" customHeight="1" s="226"/>
    <row r="365" ht="15.75" customHeight="1" s="226"/>
    <row r="366" ht="15.75" customHeight="1" s="226"/>
    <row r="367" ht="15.75" customHeight="1" s="226"/>
    <row r="368" ht="15.75" customHeight="1" s="226"/>
    <row r="369" ht="15.75" customHeight="1" s="226"/>
    <row r="370" ht="15.75" customHeight="1" s="226"/>
    <row r="371" ht="15.75" customHeight="1" s="226"/>
    <row r="372" ht="15.75" customHeight="1" s="226"/>
    <row r="373" ht="15.75" customHeight="1" s="226"/>
    <row r="374" ht="15.75" customHeight="1" s="226"/>
    <row r="375" ht="15.75" customHeight="1" s="226"/>
    <row r="376" ht="15.75" customHeight="1" s="226"/>
    <row r="377" ht="15.75" customHeight="1" s="226"/>
    <row r="378" ht="15.75" customHeight="1" s="226"/>
    <row r="379" ht="15.75" customHeight="1" s="226"/>
    <row r="380" ht="15.75" customHeight="1" s="226"/>
    <row r="381" ht="15.75" customHeight="1" s="226"/>
    <row r="382" ht="15.75" customHeight="1" s="226"/>
    <row r="383" ht="15.75" customHeight="1" s="226"/>
    <row r="384" ht="15.75" customHeight="1" s="226"/>
    <row r="385" ht="15.75" customHeight="1" s="226"/>
    <row r="386" ht="15.75" customHeight="1" s="226"/>
    <row r="387" ht="15.75" customHeight="1" s="226"/>
    <row r="388" ht="15.75" customHeight="1" s="226"/>
    <row r="389" ht="15.75" customHeight="1" s="226"/>
    <row r="390" ht="15.75" customHeight="1" s="226"/>
    <row r="391" ht="15.75" customHeight="1" s="226"/>
    <row r="392" ht="15.75" customHeight="1" s="226"/>
    <row r="393" ht="15.75" customHeight="1" s="226"/>
    <row r="394" ht="15.75" customHeight="1" s="226"/>
    <row r="395" ht="15.75" customHeight="1" s="226"/>
    <row r="396" ht="15.75" customHeight="1" s="226"/>
    <row r="397" ht="15.75" customHeight="1" s="226"/>
    <row r="398" ht="15.75" customHeight="1" s="226"/>
    <row r="399" ht="15.75" customHeight="1" s="226"/>
    <row r="400" ht="15.75" customHeight="1" s="226"/>
    <row r="401" ht="15.75" customHeight="1" s="226"/>
    <row r="402" ht="15.75" customHeight="1" s="226"/>
    <row r="403" ht="15.75" customHeight="1" s="226"/>
    <row r="404" ht="15.75" customHeight="1" s="226"/>
    <row r="405" ht="15.75" customHeight="1" s="226"/>
    <row r="406" ht="15.75" customHeight="1" s="226"/>
    <row r="407" ht="15.75" customHeight="1" s="226"/>
    <row r="408" ht="15.75" customHeight="1" s="226"/>
    <row r="409" ht="15.75" customHeight="1" s="226"/>
    <row r="410" ht="15.75" customHeight="1" s="226"/>
    <row r="411" ht="15.75" customHeight="1" s="226"/>
    <row r="412" ht="15.75" customHeight="1" s="226"/>
    <row r="413" ht="15.75" customHeight="1" s="226"/>
    <row r="414" ht="15.75" customHeight="1" s="226"/>
    <row r="415" ht="15.75" customHeight="1" s="226"/>
    <row r="416" ht="15.75" customHeight="1" s="226"/>
    <row r="417" ht="15.75" customHeight="1" s="226"/>
    <row r="418" ht="15.75" customHeight="1" s="226"/>
    <row r="419" ht="15.75" customHeight="1" s="226"/>
    <row r="420" ht="15.75" customHeight="1" s="226"/>
    <row r="421" ht="15.75" customHeight="1" s="226"/>
    <row r="422" ht="15.75" customHeight="1" s="226"/>
    <row r="423" ht="15.75" customHeight="1" s="226"/>
    <row r="424" ht="15.75" customHeight="1" s="226"/>
    <row r="425" ht="15.75" customHeight="1" s="226"/>
    <row r="426" ht="15.75" customHeight="1" s="226"/>
    <row r="427" ht="15.75" customHeight="1" s="226"/>
    <row r="428" ht="15.75" customHeight="1" s="226"/>
    <row r="429" ht="15.75" customHeight="1" s="226"/>
    <row r="430" ht="15.75" customHeight="1" s="226"/>
    <row r="431" ht="15.75" customHeight="1" s="226"/>
    <row r="432" ht="15.75" customHeight="1" s="226"/>
    <row r="433" ht="15.75" customHeight="1" s="226"/>
    <row r="434" ht="15.75" customHeight="1" s="226"/>
    <row r="435" ht="15.75" customHeight="1" s="226"/>
    <row r="436" ht="15.75" customHeight="1" s="226"/>
    <row r="437" ht="15.75" customHeight="1" s="226"/>
    <row r="438" ht="15.75" customHeight="1" s="226"/>
    <row r="439" ht="15.75" customHeight="1" s="226"/>
    <row r="440" ht="15.75" customHeight="1" s="226"/>
    <row r="441" ht="15.75" customHeight="1" s="226"/>
    <row r="442" ht="15.75" customHeight="1" s="226"/>
    <row r="443" ht="15.75" customHeight="1" s="226"/>
    <row r="444" ht="15.75" customHeight="1" s="226"/>
    <row r="445" ht="15.75" customHeight="1" s="226"/>
    <row r="446" ht="15.75" customHeight="1" s="226"/>
    <row r="447" ht="15.75" customHeight="1" s="226"/>
    <row r="448" ht="15.75" customHeight="1" s="226"/>
    <row r="449" ht="15.75" customHeight="1" s="226"/>
    <row r="450" ht="15.75" customHeight="1" s="226"/>
    <row r="451" ht="15.75" customHeight="1" s="226"/>
    <row r="452" ht="15.75" customHeight="1" s="226"/>
    <row r="453" ht="15.75" customHeight="1" s="226"/>
    <row r="454" ht="15.75" customHeight="1" s="226"/>
    <row r="455" ht="15.75" customHeight="1" s="226"/>
    <row r="456" ht="15.75" customHeight="1" s="226"/>
    <row r="457" ht="15.75" customHeight="1" s="226"/>
    <row r="458" ht="15.75" customHeight="1" s="226"/>
    <row r="459" ht="15.75" customHeight="1" s="226"/>
    <row r="460" ht="15.75" customHeight="1" s="226"/>
    <row r="461" ht="15.75" customHeight="1" s="226"/>
    <row r="462" ht="15.75" customHeight="1" s="226"/>
    <row r="463" ht="15.75" customHeight="1" s="226"/>
    <row r="464" ht="15.75" customHeight="1" s="226"/>
    <row r="465" ht="15.75" customHeight="1" s="226"/>
    <row r="466" ht="15.75" customHeight="1" s="226"/>
    <row r="467" ht="15.75" customHeight="1" s="226"/>
    <row r="468" ht="15.75" customHeight="1" s="226"/>
    <row r="469" ht="15.75" customHeight="1" s="226"/>
    <row r="470" ht="15.75" customHeight="1" s="226"/>
    <row r="471" ht="15.75" customHeight="1" s="226"/>
    <row r="472" ht="15.75" customHeight="1" s="226"/>
    <row r="473" ht="15.75" customHeight="1" s="226"/>
    <row r="474" ht="15.75" customHeight="1" s="226"/>
    <row r="475" ht="15.75" customHeight="1" s="226"/>
    <row r="476" ht="15.75" customHeight="1" s="226"/>
    <row r="477" ht="15.75" customHeight="1" s="226"/>
    <row r="478" ht="15.75" customHeight="1" s="226"/>
    <row r="479" ht="15.75" customHeight="1" s="226"/>
    <row r="480" ht="15.75" customHeight="1" s="226"/>
    <row r="481" ht="15.75" customHeight="1" s="226"/>
    <row r="482" ht="15.75" customHeight="1" s="226"/>
    <row r="483" ht="15.75" customHeight="1" s="226"/>
    <row r="484" ht="15.75" customHeight="1" s="226"/>
    <row r="485" ht="15.75" customHeight="1" s="226"/>
    <row r="486" ht="15.75" customHeight="1" s="226"/>
    <row r="487" ht="15.75" customHeight="1" s="226"/>
    <row r="488" ht="15.75" customHeight="1" s="226"/>
    <row r="489" ht="15.75" customHeight="1" s="226"/>
    <row r="490" ht="15.75" customHeight="1" s="226"/>
    <row r="491" ht="15.75" customHeight="1" s="226"/>
    <row r="492" ht="15.75" customHeight="1" s="226"/>
    <row r="493" ht="15.75" customHeight="1" s="226"/>
    <row r="494" ht="15.75" customHeight="1" s="226"/>
    <row r="495" ht="15.75" customHeight="1" s="226"/>
    <row r="496" ht="15.75" customHeight="1" s="226"/>
    <row r="497" ht="15.75" customHeight="1" s="226"/>
    <row r="498" ht="15.75" customHeight="1" s="226"/>
    <row r="499" ht="15.75" customHeight="1" s="226"/>
    <row r="500" ht="15.75" customHeight="1" s="226"/>
    <row r="501" ht="15.75" customHeight="1" s="226"/>
    <row r="502" ht="15.75" customHeight="1" s="226"/>
    <row r="503" ht="15.75" customHeight="1" s="226"/>
    <row r="504" ht="15.75" customHeight="1" s="226"/>
    <row r="505" ht="15.75" customHeight="1" s="226"/>
    <row r="506" ht="15.75" customHeight="1" s="226"/>
    <row r="507" ht="15.75" customHeight="1" s="226"/>
    <row r="508" ht="15.75" customHeight="1" s="226"/>
    <row r="509" ht="15.75" customHeight="1" s="226"/>
    <row r="510" ht="15.75" customHeight="1" s="226"/>
    <row r="511" ht="15.75" customHeight="1" s="226"/>
    <row r="512" ht="15.75" customHeight="1" s="226"/>
    <row r="513" ht="15.75" customHeight="1" s="226"/>
    <row r="514" ht="15.75" customHeight="1" s="226"/>
    <row r="515" ht="15.75" customHeight="1" s="226"/>
    <row r="516" ht="15.75" customHeight="1" s="226"/>
    <row r="517" ht="15.75" customHeight="1" s="226"/>
    <row r="518" ht="15.75" customHeight="1" s="226"/>
    <row r="519" ht="15.75" customHeight="1" s="226"/>
    <row r="520" ht="15.75" customHeight="1" s="226"/>
    <row r="521" ht="15.75" customHeight="1" s="226"/>
    <row r="522" ht="15.75" customHeight="1" s="226"/>
    <row r="523" ht="15.75" customHeight="1" s="226"/>
    <row r="524" ht="15.75" customHeight="1" s="226"/>
    <row r="525" ht="15.75" customHeight="1" s="226"/>
    <row r="526" ht="15.75" customHeight="1" s="226"/>
    <row r="527" ht="15.75" customHeight="1" s="226"/>
    <row r="528" ht="15.75" customHeight="1" s="226"/>
    <row r="529" ht="15.75" customHeight="1" s="226"/>
    <row r="530" ht="15.75" customHeight="1" s="226"/>
    <row r="531" ht="15.75" customHeight="1" s="226"/>
    <row r="532" ht="15.75" customHeight="1" s="226"/>
    <row r="533" ht="15.75" customHeight="1" s="226"/>
    <row r="534" ht="15.75" customHeight="1" s="226"/>
    <row r="535" ht="15.75" customHeight="1" s="226"/>
    <row r="536" ht="15.75" customHeight="1" s="226"/>
    <row r="537" ht="15.75" customHeight="1" s="226"/>
    <row r="538" ht="15.75" customHeight="1" s="226"/>
    <row r="539" ht="15.75" customHeight="1" s="226"/>
    <row r="540" ht="15.75" customHeight="1" s="226"/>
    <row r="541" ht="15.75" customHeight="1" s="226"/>
    <row r="542" ht="15.75" customHeight="1" s="226"/>
    <row r="543" ht="15.75" customHeight="1" s="226"/>
    <row r="544" ht="15.75" customHeight="1" s="226"/>
    <row r="545" ht="15.75" customHeight="1" s="226"/>
    <row r="546" ht="15.75" customHeight="1" s="226"/>
    <row r="547" ht="15.75" customHeight="1" s="226"/>
    <row r="548" ht="15.75" customHeight="1" s="226"/>
    <row r="549" ht="15.75" customHeight="1" s="226"/>
    <row r="550" ht="15.75" customHeight="1" s="226"/>
    <row r="551" ht="15.75" customHeight="1" s="226"/>
    <row r="552" ht="15.75" customHeight="1" s="226"/>
    <row r="553" ht="15.75" customHeight="1" s="226"/>
    <row r="554" ht="15.75" customHeight="1" s="226"/>
    <row r="555" ht="15.75" customHeight="1" s="226"/>
    <row r="556" ht="15.75" customHeight="1" s="226"/>
    <row r="557" ht="15.75" customHeight="1" s="226"/>
    <row r="558" ht="15.75" customHeight="1" s="226"/>
    <row r="559" ht="15.75" customHeight="1" s="226"/>
    <row r="560" ht="15.75" customHeight="1" s="226"/>
    <row r="561" ht="15.75" customHeight="1" s="226"/>
    <row r="562" ht="15.75" customHeight="1" s="226"/>
    <row r="563" ht="15.75" customHeight="1" s="226"/>
    <row r="564" ht="15.75" customHeight="1" s="226"/>
    <row r="565" ht="15.75" customHeight="1" s="226"/>
    <row r="566" ht="15.75" customHeight="1" s="226"/>
    <row r="567" ht="15.75" customHeight="1" s="226"/>
    <row r="568" ht="15.75" customHeight="1" s="226"/>
    <row r="569" ht="15.75" customHeight="1" s="226"/>
    <row r="570" ht="15.75" customHeight="1" s="226"/>
    <row r="571" ht="15.75" customHeight="1" s="226"/>
    <row r="572" ht="15.75" customHeight="1" s="226"/>
    <row r="573" ht="15.75" customHeight="1" s="226"/>
    <row r="574" ht="15.75" customHeight="1" s="226"/>
    <row r="575" ht="15.75" customHeight="1" s="226"/>
    <row r="576" ht="15.75" customHeight="1" s="226"/>
    <row r="577" ht="15.75" customHeight="1" s="226"/>
    <row r="578" ht="15.75" customHeight="1" s="226"/>
    <row r="579" ht="15.75" customHeight="1" s="226"/>
    <row r="580" ht="15.75" customHeight="1" s="226"/>
    <row r="581" ht="15.75" customHeight="1" s="226"/>
    <row r="582" ht="15.75" customHeight="1" s="226"/>
    <row r="583" ht="15.75" customHeight="1" s="226"/>
    <row r="584" ht="15.75" customHeight="1" s="226"/>
    <row r="585" ht="15.75" customHeight="1" s="226"/>
    <row r="586" ht="15.75" customHeight="1" s="226"/>
    <row r="587" ht="15.75" customHeight="1" s="226"/>
    <row r="588" ht="15.75" customHeight="1" s="226"/>
    <row r="589" ht="15.75" customHeight="1" s="226"/>
    <row r="590" ht="15.75" customHeight="1" s="226"/>
    <row r="591" ht="15.75" customHeight="1" s="226"/>
    <row r="592" ht="15.75" customHeight="1" s="226"/>
    <row r="593" ht="15.75" customHeight="1" s="226"/>
    <row r="594" ht="15.75" customHeight="1" s="226"/>
    <row r="595" ht="15.75" customHeight="1" s="226"/>
    <row r="596" ht="15.75" customHeight="1" s="226"/>
    <row r="597" ht="15.75" customHeight="1" s="226"/>
    <row r="598" ht="15.75" customHeight="1" s="226"/>
    <row r="599" ht="15.75" customHeight="1" s="226"/>
    <row r="600" ht="15.75" customHeight="1" s="226"/>
    <row r="601" ht="15.75" customHeight="1" s="226"/>
    <row r="602" ht="15.75" customHeight="1" s="226"/>
    <row r="603" ht="15.75" customHeight="1" s="226"/>
    <row r="604" ht="15.75" customHeight="1" s="226"/>
    <row r="605" ht="15.75" customHeight="1" s="226"/>
    <row r="606" ht="15.75" customHeight="1" s="226"/>
    <row r="607" ht="15.75" customHeight="1" s="226"/>
    <row r="608" ht="15.75" customHeight="1" s="226"/>
    <row r="609" ht="15.75" customHeight="1" s="226"/>
    <row r="610" ht="15.75" customHeight="1" s="226"/>
    <row r="611" ht="15.75" customHeight="1" s="226"/>
    <row r="612" ht="15.75" customHeight="1" s="226"/>
    <row r="613" ht="15.75" customHeight="1" s="226"/>
    <row r="614" ht="15.75" customHeight="1" s="226"/>
    <row r="615" ht="15.75" customHeight="1" s="226"/>
    <row r="616" ht="15.75" customHeight="1" s="226"/>
    <row r="617" ht="15.75" customHeight="1" s="226"/>
    <row r="618" ht="15.75" customHeight="1" s="226"/>
    <row r="619" ht="15.75" customHeight="1" s="226"/>
    <row r="620" ht="15.75" customHeight="1" s="226"/>
    <row r="621" ht="15.75" customHeight="1" s="226"/>
    <row r="622" ht="15.75" customHeight="1" s="226"/>
    <row r="623" ht="15.75" customHeight="1" s="226"/>
    <row r="624" ht="15.75" customHeight="1" s="226"/>
    <row r="625" ht="15.75" customHeight="1" s="226"/>
    <row r="626" ht="15.75" customHeight="1" s="226"/>
    <row r="627" ht="15.75" customHeight="1" s="226"/>
    <row r="628" ht="15.75" customHeight="1" s="226"/>
    <row r="629" ht="15.75" customHeight="1" s="226"/>
    <row r="630" ht="15.75" customHeight="1" s="226"/>
    <row r="631" ht="15.75" customHeight="1" s="226"/>
    <row r="632" ht="15.75" customHeight="1" s="226"/>
    <row r="633" ht="15.75" customHeight="1" s="226"/>
    <row r="634" ht="15.75" customHeight="1" s="226"/>
    <row r="635" ht="15.75" customHeight="1" s="226"/>
    <row r="636" ht="15.75" customHeight="1" s="226"/>
    <row r="637" ht="15.75" customHeight="1" s="226"/>
    <row r="638" ht="15.75" customHeight="1" s="226"/>
    <row r="639" ht="15.75" customHeight="1" s="226"/>
    <row r="640" ht="15.75" customHeight="1" s="226"/>
    <row r="641" ht="15.75" customHeight="1" s="226"/>
    <row r="642" ht="15.75" customHeight="1" s="226"/>
    <row r="643" ht="15.75" customHeight="1" s="226"/>
    <row r="644" ht="15.75" customHeight="1" s="226"/>
    <row r="645" ht="15.75" customHeight="1" s="226"/>
    <row r="646" ht="15.75" customHeight="1" s="226"/>
    <row r="647" ht="15.75" customHeight="1" s="226"/>
    <row r="648" ht="15.75" customHeight="1" s="226"/>
    <row r="649" ht="15.75" customHeight="1" s="226"/>
    <row r="650" ht="15.75" customHeight="1" s="226"/>
    <row r="651" ht="15.75" customHeight="1" s="226"/>
    <row r="652" ht="15.75" customHeight="1" s="226"/>
    <row r="653" ht="15.75" customHeight="1" s="226"/>
    <row r="654" ht="15.75" customHeight="1" s="226"/>
    <row r="655" ht="15.75" customHeight="1" s="226"/>
    <row r="656" ht="15.75" customHeight="1" s="226"/>
    <row r="657" ht="15.75" customHeight="1" s="226"/>
    <row r="658" ht="15.75" customHeight="1" s="226"/>
    <row r="659" ht="15.75" customHeight="1" s="226"/>
    <row r="660" ht="15.75" customHeight="1" s="226"/>
    <row r="661" ht="15.75" customHeight="1" s="226"/>
    <row r="662" ht="15.75" customHeight="1" s="226"/>
    <row r="663" ht="15.75" customHeight="1" s="226"/>
    <row r="664" ht="15.75" customHeight="1" s="226"/>
    <row r="665" ht="15.75" customHeight="1" s="226"/>
    <row r="666" ht="15.75" customHeight="1" s="226"/>
    <row r="667" ht="15.75" customHeight="1" s="226"/>
    <row r="668" ht="15.75" customHeight="1" s="226"/>
    <row r="669" ht="15.75" customHeight="1" s="226"/>
    <row r="670" ht="15.75" customHeight="1" s="226"/>
    <row r="671" ht="15.75" customHeight="1" s="226"/>
    <row r="672" ht="15.75" customHeight="1" s="226"/>
    <row r="673" ht="15.75" customHeight="1" s="226"/>
    <row r="674" ht="15.75" customHeight="1" s="226"/>
    <row r="675" ht="15.75" customHeight="1" s="226"/>
    <row r="676" ht="15.75" customHeight="1" s="226"/>
    <row r="677" ht="15.75" customHeight="1" s="226"/>
    <row r="678" ht="15.75" customHeight="1" s="226"/>
    <row r="679" ht="15.75" customHeight="1" s="226"/>
    <row r="680" ht="15.75" customHeight="1" s="226"/>
    <row r="681" ht="15.75" customHeight="1" s="226"/>
    <row r="682" ht="15.75" customHeight="1" s="226"/>
    <row r="683" ht="15.75" customHeight="1" s="226"/>
    <row r="684" ht="15.75" customHeight="1" s="226"/>
    <row r="685" ht="15.75" customHeight="1" s="226"/>
    <row r="686" ht="15.75" customHeight="1" s="226"/>
    <row r="687" ht="15.75" customHeight="1" s="226"/>
    <row r="688" ht="15.75" customHeight="1" s="226"/>
    <row r="689" ht="15.75" customHeight="1" s="226"/>
    <row r="690" ht="15.75" customHeight="1" s="226"/>
    <row r="691" ht="15.75" customHeight="1" s="226"/>
    <row r="692" ht="15.75" customHeight="1" s="226"/>
    <row r="693" ht="15.75" customHeight="1" s="226"/>
    <row r="694" ht="15.75" customHeight="1" s="226"/>
    <row r="695" ht="15.75" customHeight="1" s="226"/>
    <row r="696" ht="15.75" customHeight="1" s="226"/>
    <row r="697" ht="15.75" customHeight="1" s="226"/>
    <row r="698" ht="15.75" customHeight="1" s="226"/>
    <row r="699" ht="15.75" customHeight="1" s="226"/>
    <row r="700" ht="15.75" customHeight="1" s="226"/>
    <row r="701" ht="15.75" customHeight="1" s="226"/>
    <row r="702" ht="15.75" customHeight="1" s="226"/>
    <row r="703" ht="15.75" customHeight="1" s="226"/>
    <row r="704" ht="15.75" customHeight="1" s="226"/>
    <row r="705" ht="15.75" customHeight="1" s="226"/>
    <row r="706" ht="15.75" customHeight="1" s="226"/>
    <row r="707" ht="15.75" customHeight="1" s="226"/>
    <row r="708" ht="15.75" customHeight="1" s="226"/>
    <row r="709" ht="15.75" customHeight="1" s="226"/>
    <row r="710" ht="15.75" customHeight="1" s="226"/>
    <row r="711" ht="15.75" customHeight="1" s="226"/>
    <row r="712" ht="15.75" customHeight="1" s="226"/>
    <row r="713" ht="15.75" customHeight="1" s="226"/>
    <row r="714" ht="15.75" customHeight="1" s="226"/>
    <row r="715" ht="15.75" customHeight="1" s="226"/>
    <row r="716" ht="15.75" customHeight="1" s="226"/>
    <row r="717" ht="15.75" customHeight="1" s="226"/>
    <row r="718" ht="15.75" customHeight="1" s="226"/>
    <row r="719" ht="15.75" customHeight="1" s="226"/>
    <row r="720" ht="15.75" customHeight="1" s="226"/>
    <row r="721" ht="15.75" customHeight="1" s="226"/>
    <row r="722" ht="15.75" customHeight="1" s="226"/>
    <row r="723" ht="15.75" customHeight="1" s="226"/>
    <row r="724" ht="15.75" customHeight="1" s="226"/>
    <row r="725" ht="15.75" customHeight="1" s="226"/>
    <row r="726" ht="15.75" customHeight="1" s="226"/>
    <row r="727" ht="15.75" customHeight="1" s="226"/>
    <row r="728" ht="15.75" customHeight="1" s="226"/>
    <row r="729" ht="15.75" customHeight="1" s="226"/>
    <row r="730" ht="15.75" customHeight="1" s="226"/>
    <row r="731" ht="15.75" customHeight="1" s="226"/>
    <row r="732" ht="15.75" customHeight="1" s="226"/>
    <row r="733" ht="15.75" customHeight="1" s="226"/>
    <row r="734" ht="15.75" customHeight="1" s="226"/>
    <row r="735" ht="15.75" customHeight="1" s="226"/>
    <row r="736" ht="15.75" customHeight="1" s="226"/>
    <row r="737" ht="15.75" customHeight="1" s="226"/>
    <row r="738" ht="15.75" customHeight="1" s="226"/>
    <row r="739" ht="15.75" customHeight="1" s="226"/>
    <row r="740" ht="15.75" customHeight="1" s="226"/>
    <row r="741" ht="15.75" customHeight="1" s="226"/>
    <row r="742" ht="15.75" customHeight="1" s="226"/>
    <row r="743" ht="15.75" customHeight="1" s="226"/>
    <row r="744" ht="15.75" customHeight="1" s="226"/>
    <row r="745" ht="15.75" customHeight="1" s="226"/>
    <row r="746" ht="15.75" customHeight="1" s="226"/>
    <row r="747" ht="15.75" customHeight="1" s="226"/>
    <row r="748" ht="15.75" customHeight="1" s="226"/>
    <row r="749" ht="15.75" customHeight="1" s="226"/>
    <row r="750" ht="15.75" customHeight="1" s="226"/>
    <row r="751" ht="15.75" customHeight="1" s="226"/>
    <row r="752" ht="15.75" customHeight="1" s="226"/>
    <row r="753" ht="15.75" customHeight="1" s="226"/>
    <row r="754" ht="15.75" customHeight="1" s="226"/>
    <row r="755" ht="15.75" customHeight="1" s="226"/>
    <row r="756" ht="15.75" customHeight="1" s="226"/>
    <row r="757" ht="15.75" customHeight="1" s="226"/>
    <row r="758" ht="15.75" customHeight="1" s="226"/>
    <row r="759" ht="15.75" customHeight="1" s="226"/>
    <row r="760" ht="15.75" customHeight="1" s="226"/>
    <row r="761" ht="15.75" customHeight="1" s="226"/>
    <row r="762" ht="15.75" customHeight="1" s="226"/>
    <row r="763" ht="15.75" customHeight="1" s="226"/>
    <row r="764" ht="15.75" customHeight="1" s="226"/>
    <row r="765" ht="15.75" customHeight="1" s="226"/>
    <row r="766" ht="15.75" customHeight="1" s="226"/>
    <row r="767" ht="15.75" customHeight="1" s="226"/>
    <row r="768" ht="15.75" customHeight="1" s="226"/>
    <row r="769" ht="15.75" customHeight="1" s="226"/>
    <row r="770" ht="15.75" customHeight="1" s="226"/>
    <row r="771" ht="15.75" customHeight="1" s="226"/>
    <row r="772" ht="15.75" customHeight="1" s="226"/>
    <row r="773" ht="15.75" customHeight="1" s="226"/>
    <row r="774" ht="15.75" customHeight="1" s="226"/>
    <row r="775" ht="15.75" customHeight="1" s="226"/>
    <row r="776" ht="15.75" customHeight="1" s="226"/>
    <row r="777" ht="15.75" customHeight="1" s="226"/>
    <row r="778" ht="15.75" customHeight="1" s="226"/>
    <row r="779" ht="15.75" customHeight="1" s="226"/>
    <row r="780" ht="15.75" customHeight="1" s="226"/>
    <row r="781" ht="15.75" customHeight="1" s="226"/>
    <row r="782" ht="15.75" customHeight="1" s="226"/>
    <row r="783" ht="15.75" customHeight="1" s="226"/>
    <row r="784" ht="15.75" customHeight="1" s="226"/>
    <row r="785" ht="15.75" customHeight="1" s="226"/>
    <row r="786" ht="15.75" customHeight="1" s="226"/>
    <row r="787" ht="15.75" customHeight="1" s="226"/>
    <row r="788" ht="15.75" customHeight="1" s="226"/>
    <row r="789" ht="15.75" customHeight="1" s="226"/>
    <row r="790" ht="15.75" customHeight="1" s="226"/>
    <row r="791" ht="15.75" customHeight="1" s="226"/>
    <row r="792" ht="15.75" customHeight="1" s="226"/>
    <row r="793" ht="15.75" customHeight="1" s="226"/>
    <row r="794" ht="15.75" customHeight="1" s="226"/>
    <row r="795" ht="15.75" customHeight="1" s="226"/>
    <row r="796" ht="15.75" customHeight="1" s="226"/>
    <row r="797" ht="15.75" customHeight="1" s="226"/>
    <row r="798" ht="15.75" customHeight="1" s="226"/>
    <row r="799" ht="15.75" customHeight="1" s="226"/>
    <row r="800" ht="15.75" customHeight="1" s="226"/>
    <row r="801" ht="15.75" customHeight="1" s="226"/>
    <row r="802" ht="15.75" customHeight="1" s="226"/>
    <row r="803" ht="15.75" customHeight="1" s="226"/>
    <row r="804" ht="15.75" customHeight="1" s="226"/>
    <row r="805" ht="15.75" customHeight="1" s="226"/>
    <row r="806" ht="15.75" customHeight="1" s="226"/>
    <row r="807" ht="15.75" customHeight="1" s="226"/>
    <row r="808" ht="15.75" customHeight="1" s="226"/>
    <row r="809" ht="15.75" customHeight="1" s="226"/>
    <row r="810" ht="15.75" customHeight="1" s="226"/>
    <row r="811" ht="15.75" customHeight="1" s="226"/>
    <row r="812" ht="15.75" customHeight="1" s="226"/>
    <row r="813" ht="15.75" customHeight="1" s="226"/>
    <row r="814" ht="15.75" customHeight="1" s="226"/>
    <row r="815" ht="15.75" customHeight="1" s="226"/>
    <row r="816" ht="15.75" customHeight="1" s="226"/>
    <row r="817" ht="15.75" customHeight="1" s="226"/>
    <row r="818" ht="15.75" customHeight="1" s="226"/>
    <row r="819" ht="15.75" customHeight="1" s="226"/>
    <row r="820" ht="15.75" customHeight="1" s="226"/>
    <row r="821" ht="15.75" customHeight="1" s="226"/>
    <row r="822" ht="15.75" customHeight="1" s="226"/>
    <row r="823" ht="15.75" customHeight="1" s="226"/>
    <row r="824" ht="15.75" customHeight="1" s="226"/>
    <row r="825" ht="15.75" customHeight="1" s="226"/>
    <row r="826" ht="15.75" customHeight="1" s="226"/>
    <row r="827" ht="15.75" customHeight="1" s="226"/>
    <row r="828" ht="15.75" customHeight="1" s="226"/>
    <row r="829" ht="15.75" customHeight="1" s="226"/>
    <row r="830" ht="15.75" customHeight="1" s="226"/>
    <row r="831" ht="15.75" customHeight="1" s="226"/>
    <row r="832" ht="15.75" customHeight="1" s="226"/>
    <row r="833" ht="15.75" customHeight="1" s="226"/>
    <row r="834" ht="15.75" customHeight="1" s="226"/>
    <row r="835" ht="15.75" customHeight="1" s="226"/>
    <row r="836" ht="15.75" customHeight="1" s="226"/>
    <row r="837" ht="15.75" customHeight="1" s="226"/>
    <row r="838" ht="15.75" customHeight="1" s="226"/>
    <row r="839" ht="15.75" customHeight="1" s="226"/>
    <row r="840" ht="15.75" customHeight="1" s="226"/>
    <row r="841" ht="15.75" customHeight="1" s="226"/>
    <row r="842" ht="15.75" customHeight="1" s="226"/>
    <row r="843" ht="15.75" customHeight="1" s="226"/>
    <row r="844" ht="15.75" customHeight="1" s="226"/>
    <row r="845" ht="15.75" customHeight="1" s="226"/>
    <row r="846" ht="15.75" customHeight="1" s="226"/>
    <row r="847" ht="15.75" customHeight="1" s="226"/>
    <row r="848" ht="15.75" customHeight="1" s="226"/>
    <row r="849" ht="15.75" customHeight="1" s="226"/>
    <row r="850" ht="15.75" customHeight="1" s="226"/>
    <row r="851" ht="15.75" customHeight="1" s="226"/>
    <row r="852" ht="15.75" customHeight="1" s="226"/>
    <row r="853" ht="15.75" customHeight="1" s="226"/>
    <row r="854" ht="15.75" customHeight="1" s="226"/>
    <row r="855" ht="15.75" customHeight="1" s="226"/>
    <row r="856" ht="15.75" customHeight="1" s="226"/>
    <row r="857" ht="15.75" customHeight="1" s="226"/>
    <row r="858" ht="15.75" customHeight="1" s="226"/>
    <row r="859" ht="15.75" customHeight="1" s="226"/>
    <row r="860" ht="15.75" customHeight="1" s="226"/>
    <row r="861" ht="15.75" customHeight="1" s="226"/>
    <row r="862" ht="15.75" customHeight="1" s="226"/>
    <row r="863" ht="15.75" customHeight="1" s="226"/>
    <row r="864" ht="15.75" customHeight="1" s="226"/>
    <row r="865" ht="15.75" customHeight="1" s="226"/>
    <row r="866" ht="15.75" customHeight="1" s="226"/>
    <row r="867" ht="15.75" customHeight="1" s="226"/>
    <row r="868" ht="15.75" customHeight="1" s="226"/>
    <row r="869" ht="15.75" customHeight="1" s="226"/>
    <row r="870" ht="15.75" customHeight="1" s="226"/>
    <row r="871" ht="15.75" customHeight="1" s="226"/>
    <row r="872" ht="15.75" customHeight="1" s="226"/>
    <row r="873" ht="15.75" customHeight="1" s="226"/>
    <row r="874" ht="15.75" customHeight="1" s="226"/>
    <row r="875" ht="15.75" customHeight="1" s="226"/>
    <row r="876" ht="15.75" customHeight="1" s="226"/>
    <row r="877" ht="15.75" customHeight="1" s="226"/>
    <row r="878" ht="15.75" customHeight="1" s="226"/>
    <row r="879" ht="15.75" customHeight="1" s="226"/>
    <row r="880" ht="15.75" customHeight="1" s="226"/>
    <row r="881" ht="15.75" customHeight="1" s="226"/>
    <row r="882" ht="15.75" customHeight="1" s="226"/>
    <row r="883" ht="15.75" customHeight="1" s="226"/>
    <row r="884" ht="15.75" customHeight="1" s="226"/>
    <row r="885" ht="15.75" customHeight="1" s="226"/>
    <row r="886" ht="15.75" customHeight="1" s="226"/>
    <row r="887" ht="15.75" customHeight="1" s="226"/>
    <row r="888" ht="15.75" customHeight="1" s="226"/>
    <row r="889" ht="15.75" customHeight="1" s="226"/>
    <row r="890" ht="15.75" customHeight="1" s="226"/>
    <row r="891" ht="15.75" customHeight="1" s="226"/>
    <row r="892" ht="15.75" customHeight="1" s="226"/>
    <row r="893" ht="15.75" customHeight="1" s="226"/>
    <row r="894" ht="15.75" customHeight="1" s="226"/>
    <row r="895" ht="15.75" customHeight="1" s="226"/>
    <row r="896" ht="15.75" customHeight="1" s="226"/>
    <row r="897" ht="15.75" customHeight="1" s="226"/>
    <row r="898" ht="15.75" customHeight="1" s="226"/>
    <row r="899" ht="15.75" customHeight="1" s="226"/>
    <row r="900" ht="15.75" customHeight="1" s="226"/>
    <row r="901" ht="15.75" customHeight="1" s="226"/>
    <row r="902" ht="15.75" customHeight="1" s="226"/>
    <row r="903" ht="15.75" customHeight="1" s="226"/>
    <row r="904" ht="15.75" customHeight="1" s="226"/>
    <row r="905" ht="15.75" customHeight="1" s="226"/>
    <row r="906" ht="15.75" customHeight="1" s="226"/>
    <row r="907" ht="15.75" customHeight="1" s="226"/>
    <row r="908" ht="15.75" customHeight="1" s="226"/>
    <row r="909" ht="15.75" customHeight="1" s="226"/>
    <row r="910" ht="15.75" customHeight="1" s="226"/>
    <row r="911" ht="15.75" customHeight="1" s="226"/>
    <row r="912" ht="15.75" customHeight="1" s="226"/>
    <row r="913" ht="15.75" customHeight="1" s="226"/>
    <row r="914" ht="15.75" customHeight="1" s="226"/>
    <row r="915" ht="15.75" customHeight="1" s="226"/>
    <row r="916" ht="15.75" customHeight="1" s="226"/>
    <row r="917" ht="15.75" customHeight="1" s="226"/>
    <row r="918" ht="15.75" customHeight="1" s="226"/>
    <row r="919" ht="15.75" customHeight="1" s="226"/>
    <row r="920" ht="15.75" customHeight="1" s="226"/>
    <row r="921" ht="15.75" customHeight="1" s="226"/>
    <row r="922" ht="15.75" customHeight="1" s="226"/>
    <row r="923" ht="15.75" customHeight="1" s="226"/>
    <row r="924" ht="15.75" customHeight="1" s="226"/>
    <row r="925" ht="15.75" customHeight="1" s="226"/>
    <row r="926" ht="15.75" customHeight="1" s="226"/>
    <row r="927" ht="15.75" customHeight="1" s="226"/>
    <row r="928" ht="15.75" customHeight="1" s="226"/>
    <row r="929" ht="15.75" customHeight="1" s="226"/>
    <row r="930" ht="15.75" customHeight="1" s="226"/>
    <row r="931" ht="15.75" customHeight="1" s="226"/>
    <row r="932" ht="15.75" customHeight="1" s="226"/>
    <row r="933" ht="15.75" customHeight="1" s="226"/>
    <row r="934" ht="15.75" customHeight="1" s="226"/>
    <row r="935" ht="15.75" customHeight="1" s="226"/>
    <row r="936" ht="15.75" customHeight="1" s="226"/>
    <row r="937" ht="15.75" customHeight="1" s="226"/>
    <row r="938" ht="15.75" customHeight="1" s="226"/>
    <row r="939" ht="15.75" customHeight="1" s="226"/>
    <row r="940" ht="15.75" customHeight="1" s="226"/>
    <row r="941" ht="15.75" customHeight="1" s="226"/>
    <row r="942" ht="15.75" customHeight="1" s="226"/>
    <row r="943" ht="15.75" customHeight="1" s="226"/>
    <row r="944" ht="15.75" customHeight="1" s="226"/>
    <row r="945" ht="15.75" customHeight="1" s="226"/>
    <row r="946" ht="15.75" customHeight="1" s="226"/>
    <row r="947" ht="15.75" customHeight="1" s="226"/>
    <row r="948" ht="15.75" customHeight="1" s="226"/>
    <row r="949" ht="15.75" customHeight="1" s="226"/>
    <row r="950" ht="15.75" customHeight="1" s="226"/>
    <row r="951" ht="15.75" customHeight="1" s="226"/>
    <row r="952" ht="15.75" customHeight="1" s="226"/>
    <row r="953" ht="15.75" customHeight="1" s="226"/>
    <row r="954" ht="15.75" customHeight="1" s="226"/>
    <row r="955" ht="15.75" customHeight="1" s="226"/>
    <row r="956" ht="15.75" customHeight="1" s="226"/>
    <row r="957" ht="15.75" customHeight="1" s="226"/>
    <row r="958" ht="15.75" customHeight="1" s="226"/>
    <row r="959" ht="15.75" customHeight="1" s="226"/>
    <row r="960" ht="15.75" customHeight="1" s="226"/>
    <row r="961" ht="15.75" customHeight="1" s="226"/>
    <row r="962" ht="15.75" customHeight="1" s="226"/>
    <row r="963" ht="15.75" customHeight="1" s="226"/>
    <row r="964" ht="15.75" customHeight="1" s="226"/>
    <row r="965" ht="15.75" customHeight="1" s="226"/>
    <row r="966" ht="15.75" customHeight="1" s="226"/>
    <row r="967" ht="15.75" customHeight="1" s="226"/>
    <row r="968" ht="15.75" customHeight="1" s="226"/>
    <row r="969" ht="15.75" customHeight="1" s="226"/>
    <row r="970" ht="15.75" customHeight="1" s="226"/>
    <row r="971" ht="15.75" customHeight="1" s="226"/>
    <row r="972" ht="15.75" customHeight="1" s="226"/>
    <row r="973" ht="15.75" customHeight="1" s="226"/>
    <row r="974" ht="15.75" customHeight="1" s="226"/>
    <row r="975" ht="15.75" customHeight="1" s="226"/>
    <row r="976" ht="15.75" customHeight="1" s="226"/>
    <row r="977" ht="15.75" customHeight="1" s="226"/>
    <row r="978" ht="15.75" customHeight="1" s="226"/>
    <row r="979" ht="15.75" customHeight="1" s="226"/>
    <row r="980" ht="15.75" customHeight="1" s="226"/>
    <row r="981" ht="15.75" customHeight="1" s="226"/>
    <row r="982" ht="15.75" customHeight="1" s="226"/>
    <row r="983" ht="15.75" customHeight="1" s="226"/>
    <row r="984" ht="15.75" customHeight="1" s="226"/>
    <row r="985" ht="15.75" customHeight="1" s="226"/>
    <row r="986" ht="15.75" customHeight="1" s="226"/>
    <row r="987" ht="15.75" customHeight="1" s="226"/>
    <row r="988" ht="15.75" customHeight="1" s="226"/>
    <row r="989" ht="15.75" customHeight="1" s="226"/>
    <row r="990" ht="15.75" customHeight="1" s="226"/>
    <row r="991" ht="15.75" customHeight="1" s="226"/>
    <row r="992" ht="15.75" customHeight="1" s="226"/>
    <row r="993" ht="15.75" customHeight="1" s="226"/>
    <row r="994" ht="15.75" customHeight="1" s="226"/>
    <row r="995" ht="15.75" customHeight="1" s="226"/>
    <row r="996" ht="15.75" customHeight="1" s="226"/>
    <row r="997" ht="15.75" customHeight="1" s="226"/>
    <row r="998" ht="15.75" customHeight="1" s="226"/>
    <row r="999" ht="15.75" customHeight="1" s="226"/>
    <row r="1000" ht="15.75" customHeight="1" s="226"/>
  </sheetData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Xavier Quintuna</dc:creator>
  <dcterms:created xsi:type="dcterms:W3CDTF">2024-11-04T07:26:50Z</dcterms:created>
  <dcterms:modified xsi:type="dcterms:W3CDTF">2026-09-22T13:19:18Z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b5dcf0d8fce0488ab956941de1e2062a</vt:lpwstr>
  </property>
</Properties>
</file>